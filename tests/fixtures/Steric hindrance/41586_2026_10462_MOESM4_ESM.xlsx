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wu1428\OneDrive - Springer Nature\FromGoogle\Nature\Author queries\Sun2\"/>
    </mc:Choice>
  </mc:AlternateContent>
  <xr:revisionPtr revIDLastSave="0" documentId="8_{9A024B80-CED1-4FF5-808B-A1C5C04E208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igure 1b-e" sheetId="1" r:id="rId1"/>
    <sheet name="Figure 1f " sheetId="5" r:id="rId2"/>
    <sheet name="Figure 3e-g" sheetId="2" r:id="rId3"/>
    <sheet name="Figure 4b-f&amp;Extended Data Fig 9" sheetId="3" r:id="rId4"/>
    <sheet name="Figure 5" sheetId="4" r:id="rId5"/>
    <sheet name=" Extended Data Fig 8" sheetId="6" r:id="rId6"/>
    <sheet name="Supplementary Fig  6 " sheetId="7" r:id="rId7"/>
    <sheet name="Supplementary Fig 7  " sheetId="11" r:id="rId8"/>
    <sheet name=" Extended Data Fig 7 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2" l="1"/>
  <c r="N22" i="12"/>
  <c r="M22" i="12"/>
  <c r="L22" i="12"/>
  <c r="K22" i="12"/>
  <c r="H22" i="12"/>
  <c r="G22" i="12"/>
  <c r="F22" i="12"/>
  <c r="E22" i="12"/>
  <c r="D22" i="12"/>
  <c r="N19" i="12"/>
  <c r="M19" i="12"/>
  <c r="L19" i="12"/>
  <c r="K19" i="12"/>
  <c r="G19" i="12"/>
  <c r="F19" i="12"/>
  <c r="E19" i="12"/>
  <c r="D19" i="12"/>
  <c r="H10" i="12"/>
  <c r="G10" i="12"/>
  <c r="F10" i="12"/>
  <c r="E10" i="12"/>
  <c r="D10" i="12"/>
  <c r="N7" i="12"/>
  <c r="M7" i="12"/>
  <c r="L7" i="12"/>
  <c r="K7" i="12"/>
  <c r="G7" i="12"/>
  <c r="F7" i="12"/>
  <c r="E7" i="12"/>
  <c r="D7" i="12"/>
  <c r="B49" i="11"/>
  <c r="B48" i="11"/>
  <c r="B47" i="11"/>
  <c r="B46" i="11"/>
  <c r="B45" i="11"/>
  <c r="B44" i="11"/>
  <c r="B43" i="11"/>
  <c r="B42" i="11"/>
  <c r="AT81" i="3"/>
  <c r="AS81" i="3"/>
  <c r="AT80" i="3"/>
  <c r="AS80" i="3"/>
  <c r="AT79" i="3"/>
  <c r="AS79" i="3"/>
  <c r="AT78" i="3"/>
  <c r="AS78" i="3"/>
  <c r="AT74" i="3"/>
  <c r="AS74" i="3"/>
  <c r="AT73" i="3"/>
  <c r="AS73" i="3"/>
  <c r="AT72" i="3"/>
  <c r="AS72" i="3"/>
  <c r="AT71" i="3"/>
  <c r="AS71" i="3"/>
  <c r="BF37" i="3"/>
  <c r="BE37" i="3"/>
  <c r="BD37" i="3"/>
  <c r="BC37" i="3"/>
  <c r="BB37" i="3"/>
  <c r="BF36" i="3"/>
  <c r="BE36" i="3"/>
  <c r="BD36" i="3"/>
  <c r="BC36" i="3"/>
  <c r="BB36" i="3"/>
  <c r="BF35" i="3"/>
  <c r="BE35" i="3"/>
  <c r="BD35" i="3"/>
  <c r="BC35" i="3"/>
  <c r="BB35" i="3"/>
  <c r="BF34" i="3"/>
  <c r="BE34" i="3"/>
  <c r="BD34" i="3"/>
  <c r="BC34" i="3"/>
  <c r="BB34" i="3"/>
  <c r="R20" i="3"/>
  <c r="M20" i="3"/>
  <c r="H20" i="3"/>
  <c r="C20" i="3"/>
  <c r="AW32" i="5"/>
  <c r="AV32" i="5"/>
  <c r="AU32" i="5"/>
  <c r="AT32" i="5"/>
  <c r="AS32" i="5"/>
  <c r="AW31" i="5"/>
  <c r="AV31" i="5"/>
  <c r="AU31" i="5"/>
  <c r="AT31" i="5"/>
  <c r="AS31" i="5"/>
  <c r="AW30" i="5"/>
  <c r="AV30" i="5"/>
  <c r="AU30" i="5"/>
  <c r="AT30" i="5"/>
  <c r="AS30" i="5"/>
  <c r="AW29" i="5"/>
  <c r="AV29" i="5"/>
  <c r="AU29" i="5"/>
  <c r="AT29" i="5"/>
  <c r="AS29" i="5"/>
  <c r="AW28" i="5"/>
  <c r="AV28" i="5"/>
  <c r="AU28" i="5"/>
  <c r="AT28" i="5"/>
  <c r="AS28" i="5"/>
  <c r="AW27" i="5"/>
  <c r="AV27" i="5"/>
  <c r="AU27" i="5"/>
  <c r="AT27" i="5"/>
  <c r="AS27" i="5"/>
  <c r="AW26" i="5"/>
  <c r="AV26" i="5"/>
  <c r="AU26" i="5"/>
  <c r="AT26" i="5"/>
  <c r="AS26" i="5"/>
  <c r="AW22" i="5"/>
  <c r="AV22" i="5"/>
  <c r="AU22" i="5"/>
  <c r="AT22" i="5"/>
  <c r="AS22" i="5"/>
  <c r="AW21" i="5"/>
  <c r="AV21" i="5"/>
  <c r="AU21" i="5"/>
  <c r="AT21" i="5"/>
  <c r="AS21" i="5"/>
  <c r="AW20" i="5"/>
  <c r="AV20" i="5"/>
  <c r="AU20" i="5"/>
  <c r="AT20" i="5"/>
  <c r="AS20" i="5"/>
  <c r="AW19" i="5"/>
  <c r="AV19" i="5"/>
  <c r="AU19" i="5"/>
  <c r="AT19" i="5"/>
  <c r="AS19" i="5"/>
  <c r="AW18" i="5"/>
  <c r="AV18" i="5"/>
  <c r="AU18" i="5"/>
  <c r="AT18" i="5"/>
  <c r="AS18" i="5"/>
  <c r="AW17" i="5"/>
  <c r="AV17" i="5"/>
  <c r="AU17" i="5"/>
  <c r="AT17" i="5"/>
  <c r="AS17" i="5"/>
  <c r="AW16" i="5"/>
  <c r="AV16" i="5"/>
  <c r="AU16" i="5"/>
  <c r="AT16" i="5"/>
  <c r="AS16" i="5"/>
  <c r="AW12" i="5"/>
  <c r="AV12" i="5"/>
  <c r="AU12" i="5"/>
  <c r="AT12" i="5"/>
  <c r="AS12" i="5"/>
  <c r="AW11" i="5"/>
  <c r="AV11" i="5"/>
  <c r="AU11" i="5"/>
  <c r="AT11" i="5"/>
  <c r="AS11" i="5"/>
  <c r="AW10" i="5"/>
  <c r="AV10" i="5"/>
  <c r="AU10" i="5"/>
  <c r="AT10" i="5"/>
  <c r="AS10" i="5"/>
  <c r="AW9" i="5"/>
  <c r="AV9" i="5"/>
  <c r="AU9" i="5"/>
  <c r="AT9" i="5"/>
  <c r="AS9" i="5"/>
  <c r="AW8" i="5"/>
  <c r="AV8" i="5"/>
  <c r="AU8" i="5"/>
  <c r="AT8" i="5"/>
  <c r="AS8" i="5"/>
  <c r="AW7" i="5"/>
  <c r="AV7" i="5"/>
  <c r="AU7" i="5"/>
  <c r="AT7" i="5"/>
  <c r="AS7" i="5"/>
  <c r="AW6" i="5"/>
  <c r="AV6" i="5"/>
  <c r="AU6" i="5"/>
  <c r="AT6" i="5"/>
  <c r="AS6" i="5"/>
  <c r="V146" i="1"/>
  <c r="T146" i="1"/>
  <c r="P146" i="1"/>
  <c r="I146" i="1"/>
  <c r="E146" i="1"/>
  <c r="V145" i="1"/>
  <c r="T145" i="1"/>
  <c r="P145" i="1"/>
  <c r="I145" i="1"/>
  <c r="E145" i="1"/>
  <c r="V144" i="1"/>
  <c r="T144" i="1"/>
  <c r="P144" i="1"/>
  <c r="I144" i="1"/>
  <c r="E144" i="1"/>
  <c r="V143" i="1"/>
  <c r="T143" i="1"/>
  <c r="P143" i="1"/>
  <c r="I143" i="1"/>
  <c r="E143" i="1"/>
  <c r="V142" i="1"/>
  <c r="T142" i="1"/>
  <c r="P142" i="1"/>
  <c r="I142" i="1"/>
  <c r="E142" i="1"/>
  <c r="V141" i="1"/>
  <c r="T141" i="1"/>
  <c r="S141" i="1"/>
  <c r="R141" i="1"/>
  <c r="Q141" i="1"/>
  <c r="P141" i="1"/>
  <c r="O141" i="1"/>
  <c r="N141" i="1"/>
  <c r="M141" i="1"/>
  <c r="I141" i="1"/>
  <c r="E141" i="1"/>
  <c r="V136" i="1"/>
  <c r="T136" i="1"/>
  <c r="P136" i="1"/>
  <c r="V135" i="1"/>
  <c r="T135" i="1"/>
  <c r="P135" i="1"/>
  <c r="V134" i="1"/>
  <c r="T134" i="1"/>
  <c r="P134" i="1"/>
  <c r="V133" i="1"/>
  <c r="T133" i="1"/>
  <c r="P133" i="1"/>
  <c r="V132" i="1"/>
  <c r="T132" i="1"/>
  <c r="P132" i="1"/>
  <c r="V131" i="1"/>
  <c r="T131" i="1"/>
  <c r="S131" i="1"/>
  <c r="R131" i="1"/>
  <c r="Q131" i="1"/>
  <c r="P131" i="1"/>
  <c r="O131" i="1"/>
  <c r="N131" i="1"/>
  <c r="M131" i="1"/>
  <c r="V126" i="1"/>
  <c r="T126" i="1"/>
  <c r="P126" i="1"/>
  <c r="V125" i="1"/>
  <c r="T125" i="1"/>
  <c r="P125" i="1"/>
  <c r="V124" i="1"/>
  <c r="T124" i="1"/>
  <c r="P124" i="1"/>
  <c r="V123" i="1"/>
  <c r="T123" i="1"/>
  <c r="P123" i="1"/>
  <c r="V122" i="1"/>
  <c r="T122" i="1"/>
  <c r="P122" i="1"/>
  <c r="V121" i="1"/>
  <c r="T121" i="1"/>
  <c r="S121" i="1"/>
  <c r="R121" i="1"/>
  <c r="Q121" i="1"/>
  <c r="P121" i="1"/>
  <c r="O121" i="1"/>
  <c r="N121" i="1"/>
  <c r="M121" i="1"/>
  <c r="J110" i="1"/>
  <c r="I110" i="1"/>
  <c r="E110" i="1"/>
  <c r="J109" i="1"/>
  <c r="I109" i="1"/>
  <c r="E109" i="1"/>
  <c r="J108" i="1"/>
  <c r="I108" i="1"/>
  <c r="E108" i="1"/>
  <c r="J107" i="1"/>
  <c r="I107" i="1"/>
  <c r="E107" i="1"/>
  <c r="J106" i="1"/>
  <c r="I106" i="1"/>
  <c r="E106" i="1"/>
  <c r="J105" i="1"/>
  <c r="I105" i="1"/>
  <c r="E105" i="1"/>
  <c r="A100" i="1"/>
  <c r="A99" i="1"/>
  <c r="A98" i="1"/>
  <c r="A97" i="1"/>
  <c r="A96" i="1"/>
  <c r="A95" i="1"/>
  <c r="A94" i="1"/>
  <c r="A67" i="1"/>
  <c r="A66" i="1"/>
  <c r="A65" i="1"/>
  <c r="A64" i="1"/>
  <c r="A63" i="1"/>
  <c r="A62" i="1"/>
  <c r="A61" i="1"/>
  <c r="A56" i="1"/>
  <c r="A55" i="1"/>
  <c r="A54" i="1"/>
  <c r="A53" i="1"/>
  <c r="A52" i="1"/>
  <c r="A51" i="1"/>
  <c r="A50" i="1"/>
</calcChain>
</file>

<file path=xl/sharedStrings.xml><?xml version="1.0" encoding="utf-8"?>
<sst xmlns="http://schemas.openxmlformats.org/spreadsheetml/2006/main" count="1375" uniqueCount="234">
  <si>
    <t>Figure 1b</t>
  </si>
  <si>
    <r>
      <rPr>
        <b/>
        <sz val="10"/>
        <rFont val="Arial"/>
        <charset val="134"/>
      </rPr>
      <t>76E1 (</t>
    </r>
    <r>
      <rPr>
        <b/>
        <sz val="10"/>
        <rFont val="Calibri"/>
        <charset val="134"/>
      </rPr>
      <t>μ</t>
    </r>
    <r>
      <rPr>
        <b/>
        <sz val="10"/>
        <rFont val="Arial"/>
        <charset val="134"/>
      </rPr>
      <t>g/mL</t>
    </r>
    <r>
      <rPr>
        <b/>
        <sz val="10"/>
        <rFont val="宋体"/>
        <charset val="134"/>
      </rPr>
      <t>)</t>
    </r>
    <r>
      <rPr>
        <b/>
        <sz val="10"/>
        <rFont val="Arial"/>
        <charset val="134"/>
      </rPr>
      <t>- Experment 1</t>
    </r>
  </si>
  <si>
    <t>WT SARS-CoV-2</t>
  </si>
  <si>
    <t>Delta</t>
  </si>
  <si>
    <t>BA.2</t>
  </si>
  <si>
    <t>BA.5</t>
  </si>
  <si>
    <t>BF.7</t>
  </si>
  <si>
    <t>BQ.1.1</t>
  </si>
  <si>
    <t>XBB.1.5</t>
  </si>
  <si>
    <t>76E1</t>
  </si>
  <si>
    <t>IC50 (μg/mL)</t>
  </si>
  <si>
    <t>Experiment 1</t>
  </si>
  <si>
    <t>Experiment 2</t>
  </si>
  <si>
    <t>Experiment 3</t>
  </si>
  <si>
    <t>Mean ± SEM</t>
  </si>
  <si>
    <t>0.58±0.14</t>
  </si>
  <si>
    <t>1.17±0.14</t>
  </si>
  <si>
    <t>6.96±0.82</t>
  </si>
  <si>
    <t>10.38±1.13</t>
  </si>
  <si>
    <t>18.65±1.27</t>
  </si>
  <si>
    <t>13.59±2.16</t>
  </si>
  <si>
    <t>15.76±0.15</t>
  </si>
  <si>
    <t>COV44-62</t>
  </si>
  <si>
    <r>
      <rPr>
        <b/>
        <sz val="10"/>
        <rFont val="Arial"/>
        <charset val="134"/>
      </rPr>
      <t>76E1 (</t>
    </r>
    <r>
      <rPr>
        <b/>
        <sz val="10"/>
        <rFont val="Calibri"/>
        <charset val="134"/>
      </rPr>
      <t>μ</t>
    </r>
    <r>
      <rPr>
        <b/>
        <sz val="10"/>
        <rFont val="Arial"/>
        <charset val="134"/>
      </rPr>
      <t>g/mL</t>
    </r>
    <r>
      <rPr>
        <b/>
        <sz val="10"/>
        <rFont val="宋体"/>
        <charset val="134"/>
      </rPr>
      <t>)</t>
    </r>
    <r>
      <rPr>
        <b/>
        <sz val="10"/>
        <rFont val="Arial"/>
        <charset val="134"/>
      </rPr>
      <t>- Experment 2</t>
    </r>
  </si>
  <si>
    <t>5.88±0.77</t>
  </si>
  <si>
    <t>6.94±0.85</t>
  </si>
  <si>
    <t>41.68±3.04</t>
  </si>
  <si>
    <t>20.55±1.86</t>
  </si>
  <si>
    <t>45.97±3.40</t>
  </si>
  <si>
    <t>43.96±4.86</t>
  </si>
  <si>
    <t>53.72±4.00</t>
  </si>
  <si>
    <t>C77G12</t>
  </si>
  <si>
    <r>
      <rPr>
        <b/>
        <sz val="10"/>
        <rFont val="Arial"/>
        <charset val="134"/>
      </rPr>
      <t>76E1 (</t>
    </r>
    <r>
      <rPr>
        <b/>
        <sz val="10"/>
        <rFont val="Calibri"/>
        <charset val="134"/>
      </rPr>
      <t>μ</t>
    </r>
    <r>
      <rPr>
        <b/>
        <sz val="10"/>
        <rFont val="Arial"/>
        <charset val="134"/>
      </rPr>
      <t>g/mL</t>
    </r>
    <r>
      <rPr>
        <b/>
        <sz val="10"/>
        <rFont val="宋体"/>
        <charset val="134"/>
      </rPr>
      <t>)</t>
    </r>
    <r>
      <rPr>
        <b/>
        <sz val="10"/>
        <rFont val="Arial"/>
        <charset val="134"/>
      </rPr>
      <t>- Experment 3</t>
    </r>
  </si>
  <si>
    <t>10.09±0.91</t>
  </si>
  <si>
    <t>6.64±0.69</t>
  </si>
  <si>
    <t>25.39±3.54</t>
  </si>
  <si>
    <t>28.67±1.37</t>
  </si>
  <si>
    <t>47.84±2.66</t>
  </si>
  <si>
    <t>47.37±4.39</t>
  </si>
  <si>
    <t>60.90±1.67</t>
  </si>
  <si>
    <r>
      <rPr>
        <b/>
        <sz val="10"/>
        <rFont val="Arial"/>
        <charset val="134"/>
      </rPr>
      <t>COV44-62 (</t>
    </r>
    <r>
      <rPr>
        <b/>
        <sz val="10"/>
        <rFont val="Calibri"/>
        <charset val="134"/>
      </rPr>
      <t>μ</t>
    </r>
    <r>
      <rPr>
        <b/>
        <sz val="10"/>
        <rFont val="Arial"/>
        <charset val="134"/>
      </rPr>
      <t>g/mL</t>
    </r>
    <r>
      <rPr>
        <b/>
        <sz val="10"/>
        <rFont val="宋体"/>
        <charset val="134"/>
      </rPr>
      <t>)</t>
    </r>
    <r>
      <rPr>
        <b/>
        <sz val="10"/>
        <rFont val="Arial"/>
        <charset val="134"/>
      </rPr>
      <t>- Experment 1</t>
    </r>
  </si>
  <si>
    <r>
      <rPr>
        <b/>
        <sz val="10"/>
        <rFont val="Arial"/>
        <charset val="134"/>
      </rPr>
      <t>COV44-62 (</t>
    </r>
    <r>
      <rPr>
        <b/>
        <sz val="10"/>
        <rFont val="Calibri"/>
        <charset val="134"/>
      </rPr>
      <t>μ</t>
    </r>
    <r>
      <rPr>
        <b/>
        <sz val="10"/>
        <rFont val="Arial"/>
        <charset val="134"/>
      </rPr>
      <t>g/mL</t>
    </r>
    <r>
      <rPr>
        <b/>
        <sz val="10"/>
        <rFont val="宋体"/>
        <charset val="134"/>
      </rPr>
      <t>)</t>
    </r>
    <r>
      <rPr>
        <b/>
        <sz val="10"/>
        <rFont val="Arial"/>
        <charset val="134"/>
      </rPr>
      <t>- Experment 2</t>
    </r>
  </si>
  <si>
    <r>
      <rPr>
        <b/>
        <sz val="10"/>
        <rFont val="Arial"/>
        <charset val="134"/>
      </rPr>
      <t>COV44-62 (</t>
    </r>
    <r>
      <rPr>
        <b/>
        <sz val="10"/>
        <rFont val="Calibri"/>
        <charset val="134"/>
      </rPr>
      <t>μ</t>
    </r>
    <r>
      <rPr>
        <b/>
        <sz val="10"/>
        <rFont val="Arial"/>
        <charset val="134"/>
      </rPr>
      <t>g/mL</t>
    </r>
    <r>
      <rPr>
        <b/>
        <sz val="10"/>
        <rFont val="宋体"/>
        <charset val="134"/>
      </rPr>
      <t>)</t>
    </r>
    <r>
      <rPr>
        <b/>
        <sz val="10"/>
        <rFont val="Arial"/>
        <charset val="134"/>
      </rPr>
      <t>- Experment 3</t>
    </r>
  </si>
  <si>
    <r>
      <rPr>
        <b/>
        <sz val="10"/>
        <rFont val="Arial"/>
        <charset val="134"/>
      </rPr>
      <t>C77G12 (</t>
    </r>
    <r>
      <rPr>
        <b/>
        <sz val="10"/>
        <rFont val="Calibri"/>
        <charset val="134"/>
      </rPr>
      <t>μ</t>
    </r>
    <r>
      <rPr>
        <b/>
        <sz val="10"/>
        <rFont val="Arial"/>
        <charset val="134"/>
      </rPr>
      <t>g/mL</t>
    </r>
    <r>
      <rPr>
        <b/>
        <sz val="10"/>
        <rFont val="宋体"/>
        <charset val="134"/>
      </rPr>
      <t>)</t>
    </r>
    <r>
      <rPr>
        <b/>
        <sz val="10"/>
        <rFont val="Arial"/>
        <charset val="134"/>
      </rPr>
      <t>- Experment 1</t>
    </r>
  </si>
  <si>
    <r>
      <rPr>
        <b/>
        <sz val="10"/>
        <rFont val="Arial"/>
        <charset val="134"/>
      </rPr>
      <t>C77G12 (</t>
    </r>
    <r>
      <rPr>
        <b/>
        <sz val="10"/>
        <rFont val="Calibri"/>
        <charset val="134"/>
      </rPr>
      <t>μ</t>
    </r>
    <r>
      <rPr>
        <b/>
        <sz val="10"/>
        <rFont val="Arial"/>
        <charset val="134"/>
      </rPr>
      <t>g/mL</t>
    </r>
    <r>
      <rPr>
        <b/>
        <sz val="10"/>
        <rFont val="宋体"/>
        <charset val="134"/>
      </rPr>
      <t>)</t>
    </r>
    <r>
      <rPr>
        <b/>
        <sz val="10"/>
        <rFont val="Arial"/>
        <charset val="134"/>
      </rPr>
      <t>- Experment 2</t>
    </r>
  </si>
  <si>
    <r>
      <rPr>
        <b/>
        <sz val="10"/>
        <rFont val="Arial"/>
        <charset val="134"/>
      </rPr>
      <t>C77G12 (</t>
    </r>
    <r>
      <rPr>
        <b/>
        <sz val="10"/>
        <rFont val="Calibri"/>
        <charset val="134"/>
      </rPr>
      <t>μ</t>
    </r>
    <r>
      <rPr>
        <b/>
        <sz val="10"/>
        <rFont val="Arial"/>
        <charset val="134"/>
      </rPr>
      <t>g/mL</t>
    </r>
    <r>
      <rPr>
        <b/>
        <sz val="10"/>
        <rFont val="宋体"/>
        <charset val="134"/>
      </rPr>
      <t>)</t>
    </r>
    <r>
      <rPr>
        <b/>
        <sz val="10"/>
        <rFont val="Arial"/>
        <charset val="134"/>
      </rPr>
      <t>- Experment 3</t>
    </r>
  </si>
  <si>
    <t>Figure 1c （left pannel）</t>
  </si>
  <si>
    <t>non-ACE2</t>
  </si>
  <si>
    <t>Average value of the non ACE2 group</t>
  </si>
  <si>
    <t>ACE2-treated</t>
  </si>
  <si>
    <t>Average value of the ACE2- treated group</t>
  </si>
  <si>
    <t>Normalised to WT</t>
  </si>
  <si>
    <t>WT</t>
  </si>
  <si>
    <t>BQ.1,1</t>
  </si>
  <si>
    <t>Figure 1c (right 3 pannels)</t>
  </si>
  <si>
    <t>Original MFI values</t>
  </si>
  <si>
    <t>Normalised MFI to S3H3 binding</t>
  </si>
  <si>
    <t xml:space="preserve">Relative MFI of the ACE2 treated group to the non-treated group </t>
  </si>
  <si>
    <t>Average value of the no ACE2 group</t>
  </si>
  <si>
    <t>Figure 1e</t>
  </si>
  <si>
    <t>ImageJ-intDen</t>
  </si>
  <si>
    <t>SARS-CoV-2 WT-S cell</t>
  </si>
  <si>
    <t>SARS-CoV-2 BF.7-S cell</t>
  </si>
  <si>
    <t>Ab</t>
  </si>
  <si>
    <t>under ACE2 treatment</t>
  </si>
  <si>
    <t>Fab</t>
  </si>
  <si>
    <t>scFv</t>
  </si>
  <si>
    <t>Ab-His band quantification</t>
  </si>
  <si>
    <t>scFv/Fab binding ratios</t>
  </si>
  <si>
    <t>WT+ACE2</t>
  </si>
  <si>
    <t>BF.7+ACE2</t>
  </si>
  <si>
    <t>Figure 1f</t>
  </si>
  <si>
    <t>Experment 1</t>
  </si>
  <si>
    <t xml:space="preserve">SARS-CoV-2 WT </t>
  </si>
  <si>
    <t>Mean</t>
  </si>
  <si>
    <t>Ab (nM)</t>
  </si>
  <si>
    <t>76E1 full-length</t>
  </si>
  <si>
    <t>76E1-Fab</t>
  </si>
  <si>
    <t>76E1-scFv</t>
  </si>
  <si>
    <t>COV44-62 full-length</t>
  </si>
  <si>
    <t>COV44-62-Fab</t>
  </si>
  <si>
    <t>COV44-62-scFv</t>
  </si>
  <si>
    <t>C77G12 full-length</t>
  </si>
  <si>
    <t>C77G12-Fab</t>
  </si>
  <si>
    <t>C77G12-scFv</t>
  </si>
  <si>
    <t>IC50 (nM)</t>
  </si>
  <si>
    <t>FL</t>
  </si>
  <si>
    <t>FL/Fab</t>
  </si>
  <si>
    <t>FL/scFv</t>
  </si>
  <si>
    <t>Figure 3a</t>
  </si>
  <si>
    <t>SARS-CoV-2 WT S-cell</t>
  </si>
  <si>
    <t>SARS-CoV-2 BF.7 S-cell</t>
  </si>
  <si>
    <t>ACE2</t>
  </si>
  <si>
    <t>-</t>
  </si>
  <si>
    <t>+</t>
  </si>
  <si>
    <t>TMPRSS2 Cell / Spike Cell</t>
  </si>
  <si>
    <t>1/16</t>
  </si>
  <si>
    <t>1/8</t>
  </si>
  <si>
    <t>1/4</t>
  </si>
  <si>
    <t>1/2</t>
  </si>
  <si>
    <t>TMPRSS2</t>
  </si>
  <si>
    <t>S2</t>
  </si>
  <si>
    <t>S2'</t>
  </si>
  <si>
    <t>S2'/(S2'+S2)*100</t>
  </si>
  <si>
    <t>Figure 3b</t>
  </si>
  <si>
    <t>CTSL</t>
  </si>
  <si>
    <t>0.2μg/mL</t>
  </si>
  <si>
    <t>0.4μg/mL</t>
  </si>
  <si>
    <t>0.8μg/mL</t>
  </si>
  <si>
    <t>1.6μg/mL</t>
  </si>
  <si>
    <t>3.2μg/mL</t>
  </si>
  <si>
    <t>29.4082840236686</t>
  </si>
  <si>
    <t>38.8007054673721</t>
  </si>
  <si>
    <t>38.5225885225885</t>
  </si>
  <si>
    <t>45.3150684931507</t>
  </si>
  <si>
    <t>48.0068337129841</t>
  </si>
  <si>
    <t>Figure 3c</t>
  </si>
  <si>
    <t>80μg/mL</t>
  </si>
  <si>
    <t>2.5μg/mL</t>
  </si>
  <si>
    <t>5μg/mL</t>
  </si>
  <si>
    <t>10μg/mL</t>
  </si>
  <si>
    <t>20μg/mL</t>
  </si>
  <si>
    <t>40μg/mL</t>
  </si>
  <si>
    <t>0.8879(NC)</t>
  </si>
  <si>
    <t>2.609(PC)</t>
  </si>
  <si>
    <t>1.24(NC)</t>
  </si>
  <si>
    <t>0.79(NC)</t>
  </si>
  <si>
    <t>1.94(PC)</t>
  </si>
  <si>
    <t>0.702(NC)</t>
  </si>
  <si>
    <t>NC Average</t>
  </si>
  <si>
    <t>(PC-S2')/(PC-NC)*100</t>
  </si>
  <si>
    <t>Figure 3d</t>
  </si>
  <si>
    <t>80μg/ml</t>
  </si>
  <si>
    <t>2.5μg/ml</t>
  </si>
  <si>
    <t>5μg/ml</t>
  </si>
  <si>
    <t>10μg/ml</t>
  </si>
  <si>
    <t>20μg/ml</t>
  </si>
  <si>
    <t>40μg/ml</t>
  </si>
  <si>
    <t>0.456(NC)</t>
  </si>
  <si>
    <t>1.517(PC)</t>
  </si>
  <si>
    <t>0.392(NC)</t>
  </si>
  <si>
    <t>1.327(PC)</t>
  </si>
  <si>
    <t>0.4529(NC)</t>
  </si>
  <si>
    <t>Figure 3e</t>
  </si>
  <si>
    <t>76E1-FL</t>
  </si>
  <si>
    <t xml:space="preserve"> nM</t>
  </si>
  <si>
    <t>Caco-2</t>
  </si>
  <si>
    <t>293T-ACE2</t>
  </si>
  <si>
    <t>Figure 3f</t>
  </si>
  <si>
    <t>Figure 4b</t>
  </si>
  <si>
    <r>
      <rPr>
        <sz val="10"/>
        <rFont val="Arial"/>
        <charset val="134"/>
      </rPr>
      <t>76E1 (</t>
    </r>
    <r>
      <rPr>
        <sz val="10"/>
        <rFont val="Calibri"/>
        <charset val="134"/>
      </rPr>
      <t>μ</t>
    </r>
    <r>
      <rPr>
        <sz val="10"/>
        <rFont val="Arial"/>
        <charset val="134"/>
      </rPr>
      <t>g/mL</t>
    </r>
    <r>
      <rPr>
        <sz val="10"/>
        <rFont val="宋体"/>
        <charset val="134"/>
      </rPr>
      <t>)</t>
    </r>
  </si>
  <si>
    <t>S373P</t>
  </si>
  <si>
    <t>N440K</t>
  </si>
  <si>
    <t>S477N</t>
  </si>
  <si>
    <t>Q498R</t>
  </si>
  <si>
    <t>Y505H</t>
  </si>
  <si>
    <t>D614G</t>
  </si>
  <si>
    <t>H655Y</t>
  </si>
  <si>
    <t>N679K</t>
  </si>
  <si>
    <t>N764K</t>
  </si>
  <si>
    <t>D796Y</t>
  </si>
  <si>
    <t>Q954H</t>
  </si>
  <si>
    <t>N969K</t>
  </si>
  <si>
    <t>Figure 4c</t>
  </si>
  <si>
    <t>WT-S cell</t>
  </si>
  <si>
    <t>WT-H655Y-S cell</t>
  </si>
  <si>
    <t>BF.7-S cell</t>
  </si>
  <si>
    <t>BF.7-Y655H-S cell</t>
  </si>
  <si>
    <t>Ab-His</t>
  </si>
  <si>
    <t>ACE2 treated-scFv/fab</t>
  </si>
  <si>
    <t>Figure 4d &amp; Extended Data Fig. 9a</t>
  </si>
  <si>
    <t>WT-H655Y</t>
  </si>
  <si>
    <t>BF.7-Y655H</t>
  </si>
  <si>
    <t>Figure 4e</t>
  </si>
  <si>
    <t>DMSO</t>
  </si>
  <si>
    <t>Camostat</t>
  </si>
  <si>
    <t>E64d</t>
  </si>
  <si>
    <t>Figure 4f &amp; Extended Data Fig. 9b-c</t>
  </si>
  <si>
    <t>Figure 5a</t>
  </si>
  <si>
    <t>EG.5.1</t>
  </si>
  <si>
    <t>JN.1</t>
  </si>
  <si>
    <t>Figure 5b</t>
  </si>
  <si>
    <t>SARS-CoV</t>
  </si>
  <si>
    <t>MERS-CoV</t>
  </si>
  <si>
    <t>Figure 5c</t>
  </si>
  <si>
    <t>HCoV-229E</t>
  </si>
  <si>
    <t>HCoV-NL63</t>
  </si>
  <si>
    <t>Figure 5d</t>
  </si>
  <si>
    <t xml:space="preserve">SARS-CoV </t>
  </si>
  <si>
    <t xml:space="preserve">MERS-CoV </t>
  </si>
  <si>
    <t>Actin</t>
  </si>
  <si>
    <t>Ab-His/Actin</t>
  </si>
  <si>
    <t xml:space="preserve"> Extended Data Fig 8a</t>
  </si>
  <si>
    <t>SARS-CoV-2 WT  SECD</t>
  </si>
  <si>
    <t>pH 7.4</t>
  </si>
  <si>
    <t>pH 6.5</t>
  </si>
  <si>
    <t>pH 6.0</t>
  </si>
  <si>
    <t>pH 5.5</t>
  </si>
  <si>
    <t>pH 5.0</t>
  </si>
  <si>
    <t>BF.7 SECD</t>
  </si>
  <si>
    <t xml:space="preserve"> Extended Data Fig 8c</t>
  </si>
  <si>
    <t>20min</t>
  </si>
  <si>
    <t>40min</t>
  </si>
  <si>
    <t>60min</t>
  </si>
  <si>
    <t>SARS-CoV-2 WT</t>
  </si>
  <si>
    <t xml:space="preserve"> Extended Data Fig 8d</t>
  </si>
  <si>
    <t>Supplementary Fig. 6</t>
  </si>
  <si>
    <t>S375F</t>
  </si>
  <si>
    <t>Supplementary Fig 7a</t>
  </si>
  <si>
    <t>WT-69-70del</t>
  </si>
  <si>
    <t>WT-211del</t>
  </si>
  <si>
    <t>WT-S373P</t>
  </si>
  <si>
    <t>WT-T547K</t>
  </si>
  <si>
    <t>WT-N679K</t>
  </si>
  <si>
    <t>WT-N969K</t>
  </si>
  <si>
    <t>E64D</t>
  </si>
  <si>
    <t>Supplementary Fig 7b</t>
  </si>
  <si>
    <t>BF.7-69-70 ins</t>
  </si>
  <si>
    <t>BA.2-211 ins</t>
  </si>
  <si>
    <t>BF.7-P373S</t>
  </si>
  <si>
    <t>BF.7-K547T</t>
  </si>
  <si>
    <t>BF.7-K679N</t>
  </si>
  <si>
    <t>BF.7-K969N</t>
  </si>
  <si>
    <t>Supplementary Fig 7c</t>
  </si>
  <si>
    <t>76E1 μg/mL</t>
  </si>
  <si>
    <t xml:space="preserve"> Extended Data Fig CTSL/CTSB cleavage</t>
  </si>
  <si>
    <t>CTSB</t>
  </si>
  <si>
    <t>CTSL/B nM</t>
  </si>
  <si>
    <r>
      <rPr>
        <sz val="10"/>
        <rFont val="Arial"/>
        <charset val="134"/>
      </rPr>
      <t>1.453</t>
    </r>
    <r>
      <rPr>
        <sz val="10"/>
        <rFont val="宋体"/>
        <charset val="134"/>
      </rPr>
      <t>（</t>
    </r>
    <r>
      <rPr>
        <sz val="10"/>
        <rFont val="Arial"/>
        <charset val="134"/>
      </rPr>
      <t>NC)</t>
    </r>
  </si>
  <si>
    <t>1.374(NC)</t>
  </si>
  <si>
    <t>S2'-NC</t>
  </si>
  <si>
    <t>(S2'-NC)/(S2+S2'-NC)*100</t>
  </si>
  <si>
    <r>
      <rPr>
        <sz val="10"/>
        <rFont val="Arial"/>
        <charset val="134"/>
      </rPr>
      <t>1.244</t>
    </r>
    <r>
      <rPr>
        <sz val="10"/>
        <rFont val="宋体"/>
        <charset val="134"/>
      </rPr>
      <t>（</t>
    </r>
    <r>
      <rPr>
        <sz val="10"/>
        <rFont val="Arial"/>
        <charset val="134"/>
      </rPr>
      <t>NC)</t>
    </r>
  </si>
  <si>
    <r>
      <rPr>
        <sz val="10"/>
        <color theme="1"/>
        <rFont val="Arial"/>
        <charset val="134"/>
      </rPr>
      <t>1.245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NC)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</si>
</sst>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#,##0.000"/>
    <numFmt numFmtId="169" formatCode="0.0000"/>
    <numFmt numFmtId="170" formatCode="0.000_ "/>
    <numFmt numFmtId="171" formatCode="0.00000"/>
    <numFmt numFmtId="172" formatCode="0.00_ "/>
    <numFmt numFmtId="173" formatCode="0.000000"/>
    <numFmt numFmtId="174" formatCode="0.000"/>
  </numFmts>
  <fonts count="3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1"/>
      <color rgb="FFC00000"/>
      <name val="Calibri"/>
      <charset val="134"/>
      <scheme val="minor"/>
    </font>
    <font>
      <sz val="10"/>
      <color rgb="FFFF0000"/>
      <name val="Arial"/>
      <charset val="134"/>
    </font>
    <font>
      <sz val="10"/>
      <name val="Arial"/>
    </font>
    <font>
      <b/>
      <sz val="11"/>
      <name val="Calibri"/>
      <charset val="134"/>
      <scheme val="minor"/>
    </font>
    <font>
      <b/>
      <sz val="12"/>
      <color rgb="FF000000"/>
      <name val="Times New Roman"/>
      <charset val="134"/>
    </font>
    <font>
      <sz val="11"/>
      <color rgb="FFFF0000"/>
      <name val="Arial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sz val="11"/>
      <color rgb="FFC00000"/>
      <name val="Calibri"/>
      <charset val="134"/>
      <scheme val="minor"/>
    </font>
    <font>
      <sz val="11"/>
      <color rgb="FFC00000"/>
      <name val="Arial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微软雅黑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1"/>
      <color theme="1"/>
      <name val="等线"/>
      <charset val="134"/>
    </font>
    <font>
      <b/>
      <sz val="11"/>
      <color rgb="FFFF0000"/>
      <name val="Calibri"/>
      <charset val="134"/>
      <scheme val="minor"/>
    </font>
    <font>
      <sz val="9"/>
      <name val="Arial"/>
      <charset val="134"/>
    </font>
    <font>
      <sz val="8"/>
      <name val="Arial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sz val="11"/>
      <name val="Calibri"/>
      <charset val="134"/>
    </font>
    <font>
      <sz val="10"/>
      <name val="Calibri"/>
      <charset val="134"/>
    </font>
    <font>
      <sz val="10"/>
      <name val="宋体"/>
      <charset val="134"/>
    </font>
    <font>
      <b/>
      <sz val="10"/>
      <name val="Calibri"/>
      <charset val="134"/>
    </font>
    <font>
      <b/>
      <sz val="10"/>
      <name val="宋体"/>
      <charset val="134"/>
    </font>
    <font>
      <sz val="10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3" fillId="0" borderId="0"/>
    <xf numFmtId="0" fontId="33" fillId="0" borderId="0"/>
  </cellStyleXfs>
  <cellXfs count="25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4" fillId="0" borderId="0" xfId="0" applyFont="1"/>
    <xf numFmtId="0" fontId="10" fillId="0" borderId="0" xfId="0" applyFont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7" xfId="0" applyFont="1" applyBorder="1"/>
    <xf numFmtId="0" fontId="5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9" fillId="0" borderId="2" xfId="0" applyFont="1" applyBorder="1"/>
    <xf numFmtId="0" fontId="5" fillId="0" borderId="2" xfId="0" applyFont="1" applyBorder="1" applyAlignment="1">
      <alignment horizontal="center" vertical="center"/>
    </xf>
    <xf numFmtId="0" fontId="9" fillId="0" borderId="4" xfId="0" applyFont="1" applyBorder="1"/>
    <xf numFmtId="0" fontId="8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169" fontId="7" fillId="0" borderId="0" xfId="0" applyNumberFormat="1" applyFont="1" applyAlignment="1">
      <alignment horizontal="center"/>
    </xf>
    <xf numFmtId="0" fontId="17" fillId="0" borderId="0" xfId="0" applyFont="1"/>
    <xf numFmtId="0" fontId="3" fillId="0" borderId="0" xfId="0" applyFont="1"/>
    <xf numFmtId="0" fontId="18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2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70" fontId="20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171" fontId="7" fillId="0" borderId="0" xfId="0" applyNumberFormat="1" applyFont="1"/>
    <xf numFmtId="170" fontId="3" fillId="0" borderId="0" xfId="0" applyNumberFormat="1" applyFont="1" applyAlignment="1">
      <alignment horizontal="center"/>
    </xf>
    <xf numFmtId="170" fontId="7" fillId="0" borderId="0" xfId="0" applyNumberFormat="1" applyFont="1"/>
    <xf numFmtId="0" fontId="21" fillId="0" borderId="0" xfId="0" applyFont="1"/>
    <xf numFmtId="0" fontId="22" fillId="0" borderId="0" xfId="0" applyFont="1"/>
    <xf numFmtId="171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4" fillId="0" borderId="7" xfId="0" applyFont="1" applyBorder="1"/>
    <xf numFmtId="0" fontId="5" fillId="0" borderId="8" xfId="0" applyFont="1" applyBorder="1"/>
    <xf numFmtId="0" fontId="8" fillId="0" borderId="2" xfId="0" applyFont="1" applyBorder="1" applyAlignment="1">
      <alignment horizontal="right"/>
    </xf>
    <xf numFmtId="0" fontId="8" fillId="0" borderId="2" xfId="0" applyFont="1" applyBorder="1"/>
    <xf numFmtId="0" fontId="8" fillId="0" borderId="3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3" xfId="0" applyBorder="1"/>
    <xf numFmtId="172" fontId="7" fillId="0" borderId="0" xfId="0" applyNumberFormat="1" applyFont="1" applyAlignment="1">
      <alignment horizontal="center"/>
    </xf>
    <xf numFmtId="172" fontId="7" fillId="0" borderId="3" xfId="0" applyNumberFormat="1" applyFont="1" applyBorder="1" applyAlignment="1">
      <alignment horizontal="center"/>
    </xf>
    <xf numFmtId="172" fontId="0" fillId="0" borderId="0" xfId="0" applyNumberFormat="1" applyAlignment="1">
      <alignment horizontal="center"/>
    </xf>
    <xf numFmtId="172" fontId="0" fillId="0" borderId="1" xfId="0" applyNumberFormat="1" applyBorder="1" applyAlignment="1">
      <alignment horizontal="center"/>
    </xf>
    <xf numFmtId="172" fontId="0" fillId="0" borderId="14" xfId="0" applyNumberFormat="1" applyBorder="1" applyAlignment="1">
      <alignment horizontal="center"/>
    </xf>
    <xf numFmtId="172" fontId="0" fillId="0" borderId="7" xfId="0" applyNumberFormat="1" applyBorder="1"/>
    <xf numFmtId="172" fontId="0" fillId="0" borderId="13" xfId="0" applyNumberFormat="1" applyBorder="1"/>
    <xf numFmtId="0" fontId="8" fillId="0" borderId="4" xfId="0" applyFont="1" applyBorder="1"/>
    <xf numFmtId="0" fontId="8" fillId="0" borderId="5" xfId="0" applyFont="1" applyBorder="1"/>
    <xf numFmtId="0" fontId="5" fillId="0" borderId="5" xfId="0" applyFont="1" applyBorder="1"/>
    <xf numFmtId="0" fontId="8" fillId="0" borderId="6" xfId="0" applyFont="1" applyBorder="1"/>
    <xf numFmtId="172" fontId="0" fillId="0" borderId="2" xfId="0" applyNumberFormat="1" applyBorder="1"/>
    <xf numFmtId="172" fontId="0" fillId="0" borderId="15" xfId="0" applyNumberFormat="1" applyBorder="1"/>
    <xf numFmtId="0" fontId="2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172" fontId="7" fillId="0" borderId="5" xfId="0" applyNumberFormat="1" applyFont="1" applyBorder="1" applyAlignment="1">
      <alignment horizontal="center"/>
    </xf>
    <xf numFmtId="172" fontId="7" fillId="0" borderId="6" xfId="0" applyNumberFormat="1" applyFont="1" applyBorder="1" applyAlignment="1">
      <alignment horizontal="center"/>
    </xf>
    <xf numFmtId="172" fontId="0" fillId="0" borderId="4" xfId="0" applyNumberFormat="1" applyBorder="1"/>
    <xf numFmtId="172" fontId="0" fillId="0" borderId="14" xfId="0" applyNumberFormat="1" applyBorder="1"/>
    <xf numFmtId="0" fontId="7" fillId="0" borderId="2" xfId="0" applyFont="1" applyBorder="1" applyAlignment="1">
      <alignment horizontal="right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6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3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7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172" fontId="0" fillId="0" borderId="0" xfId="0" applyNumberFormat="1"/>
    <xf numFmtId="171" fontId="7" fillId="0" borderId="3" xfId="0" applyNumberFormat="1" applyFont="1" applyBorder="1"/>
    <xf numFmtId="172" fontId="0" fillId="0" borderId="6" xfId="0" applyNumberFormat="1" applyBorder="1" applyAlignment="1">
      <alignment horizontal="center"/>
    </xf>
    <xf numFmtId="172" fontId="0" fillId="0" borderId="13" xfId="0" applyNumberFormat="1" applyBorder="1" applyAlignment="1">
      <alignment horizontal="center"/>
    </xf>
    <xf numFmtId="172" fontId="7" fillId="0" borderId="0" xfId="0" applyNumberFormat="1" applyFont="1"/>
    <xf numFmtId="172" fontId="0" fillId="0" borderId="7" xfId="0" applyNumberFormat="1" applyBorder="1" applyAlignment="1">
      <alignment horizontal="center"/>
    </xf>
    <xf numFmtId="172" fontId="0" fillId="0" borderId="8" xfId="0" applyNumberFormat="1" applyBorder="1" applyAlignment="1">
      <alignment horizontal="center"/>
    </xf>
    <xf numFmtId="172" fontId="0" fillId="0" borderId="9" xfId="0" applyNumberFormat="1" applyBorder="1" applyAlignment="1">
      <alignment horizontal="center"/>
    </xf>
    <xf numFmtId="172" fontId="0" fillId="0" borderId="2" xfId="0" applyNumberFormat="1" applyBorder="1" applyAlignment="1">
      <alignment horizontal="center"/>
    </xf>
    <xf numFmtId="172" fontId="0" fillId="0" borderId="3" xfId="0" applyNumberFormat="1" applyBorder="1" applyAlignment="1">
      <alignment horizontal="center"/>
    </xf>
    <xf numFmtId="172" fontId="0" fillId="0" borderId="15" xfId="0" applyNumberFormat="1" applyBorder="1" applyAlignment="1">
      <alignment horizontal="center"/>
    </xf>
    <xf numFmtId="172" fontId="0" fillId="0" borderId="4" xfId="0" applyNumberFormat="1" applyBorder="1" applyAlignment="1">
      <alignment horizontal="center"/>
    </xf>
    <xf numFmtId="172" fontId="0" fillId="0" borderId="5" xfId="0" applyNumberFormat="1" applyBorder="1" applyAlignment="1">
      <alignment horizontal="center"/>
    </xf>
    <xf numFmtId="0" fontId="3" fillId="0" borderId="3" xfId="0" applyFont="1" applyBorder="1"/>
    <xf numFmtId="0" fontId="5" fillId="0" borderId="3" xfId="0" applyFont="1" applyBorder="1"/>
    <xf numFmtId="171" fontId="7" fillId="0" borderId="5" xfId="0" applyNumberFormat="1" applyFont="1" applyBorder="1" applyAlignment="1">
      <alignment horizontal="center"/>
    </xf>
    <xf numFmtId="0" fontId="5" fillId="0" borderId="6" xfId="0" applyFont="1" applyBorder="1"/>
    <xf numFmtId="0" fontId="20" fillId="0" borderId="0" xfId="0" applyFont="1"/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173" fontId="7" fillId="0" borderId="0" xfId="0" applyNumberFormat="1" applyFont="1" applyAlignment="1">
      <alignment horizontal="center"/>
    </xf>
    <xf numFmtId="172" fontId="5" fillId="0" borderId="5" xfId="0" applyNumberFormat="1" applyFont="1" applyBorder="1" applyAlignment="1">
      <alignment horizontal="center"/>
    </xf>
    <xf numFmtId="172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72" fontId="3" fillId="0" borderId="2" xfId="0" applyNumberFormat="1" applyFont="1" applyBorder="1" applyAlignment="1">
      <alignment horizontal="center"/>
    </xf>
    <xf numFmtId="172" fontId="3" fillId="0" borderId="0" xfId="0" applyNumberFormat="1" applyFont="1" applyAlignment="1">
      <alignment horizontal="center"/>
    </xf>
    <xf numFmtId="172" fontId="3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right" wrapText="1"/>
    </xf>
    <xf numFmtId="172" fontId="5" fillId="0" borderId="4" xfId="0" applyNumberFormat="1" applyFont="1" applyBorder="1" applyAlignment="1">
      <alignment horizontal="center"/>
    </xf>
    <xf numFmtId="0" fontId="27" fillId="0" borderId="0" xfId="0" applyFont="1"/>
    <xf numFmtId="0" fontId="5" fillId="0" borderId="0" xfId="0" applyFont="1" applyAlignment="1">
      <alignment vertical="center"/>
    </xf>
    <xf numFmtId="0" fontId="16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/>
    <xf numFmtId="0" fontId="28" fillId="0" borderId="0" xfId="0" applyFont="1"/>
    <xf numFmtId="0" fontId="2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wrapText="1"/>
    </xf>
    <xf numFmtId="172" fontId="1" fillId="0" borderId="0" xfId="0" applyNumberFormat="1" applyFont="1"/>
    <xf numFmtId="172" fontId="14" fillId="0" borderId="0" xfId="0" applyNumberFormat="1" applyFont="1"/>
    <xf numFmtId="1" fontId="1" fillId="0" borderId="0" xfId="0" applyNumberFormat="1" applyFont="1"/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0" fontId="32" fillId="0" borderId="0" xfId="0" applyFont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wrapText="1"/>
    </xf>
    <xf numFmtId="0" fontId="20" fillId="0" borderId="0" xfId="0" applyFont="1" applyAlignment="1">
      <alignment horizontal="center" vertical="center"/>
    </xf>
    <xf numFmtId="174" fontId="7" fillId="0" borderId="1" xfId="0" applyNumberFormat="1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quotePrefix="1" applyFont="1"/>
    <xf numFmtId="0" fontId="2" fillId="0" borderId="0" xfId="0" quotePrefix="1" applyFont="1"/>
    <xf numFmtId="0" fontId="7" fillId="0" borderId="0" xfId="0" applyFont="1" applyAlignment="1">
      <alignment horizontal="center"/>
    </xf>
    <xf numFmtId="0" fontId="4" fillId="0" borderId="11" xfId="0" quotePrefix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4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72" fontId="0" fillId="0" borderId="11" xfId="0" quotePrefix="1" applyNumberFormat="1" applyBorder="1" applyAlignment="1">
      <alignment horizontal="center"/>
    </xf>
    <xf numFmtId="172" fontId="0" fillId="0" borderId="11" xfId="0" applyNumberFormat="1" applyBorder="1" applyAlignment="1">
      <alignment horizontal="center"/>
    </xf>
    <xf numFmtId="172" fontId="0" fillId="0" borderId="12" xfId="0" applyNumberFormat="1" applyBorder="1" applyAlignment="1">
      <alignment horizontal="center"/>
    </xf>
    <xf numFmtId="172" fontId="0" fillId="0" borderId="1" xfId="0" quotePrefix="1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172" fontId="0" fillId="0" borderId="10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71" fontId="7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9" fontId="7" fillId="0" borderId="0" xfId="0" applyNumberFormat="1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0" xfId="0"/>
  </cellXfs>
  <cellStyles count="3">
    <cellStyle name="Normal" xfId="0" builtinId="0"/>
    <cellStyle name="常规 3" xfId="1" xr:uid="{00000000-0005-0000-0000-000031000000}"/>
    <cellStyle name="常规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154</xdr:row>
      <xdr:rowOff>0</xdr:rowOff>
    </xdr:from>
    <xdr:to>
      <xdr:col>9</xdr:col>
      <xdr:colOff>0</xdr:colOff>
      <xdr:row>154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6276975" y="274637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5"/>
  <sheetViews>
    <sheetView topLeftCell="A129" zoomScale="85" zoomScaleNormal="85" workbookViewId="0">
      <selection activeCell="AE77" sqref="AE77"/>
    </sheetView>
  </sheetViews>
  <sheetFormatPr defaultColWidth="9" defaultRowHeight="14.5"/>
  <cols>
    <col min="1" max="1" width="28.453125" style="141" customWidth="1"/>
    <col min="2" max="9" width="10.6328125" customWidth="1"/>
    <col min="10" max="10" width="15.90625" customWidth="1"/>
    <col min="11" max="12" width="10.6328125" customWidth="1"/>
    <col min="13" max="13" width="15.26953125" customWidth="1"/>
    <col min="14" max="22" width="10.6328125" customWidth="1"/>
    <col min="23" max="23" width="3.26953125" customWidth="1"/>
    <col min="24" max="24" width="13.6328125" style="141" customWidth="1"/>
    <col min="25" max="25" width="16.08984375" customWidth="1"/>
    <col min="26" max="27" width="12.6328125"/>
    <col min="28" max="28" width="12.26953125" customWidth="1"/>
    <col min="29" max="29" width="12.6328125"/>
    <col min="30" max="30" width="13.90625"/>
    <col min="31" max="31" width="12.6328125"/>
  </cols>
  <sheetData>
    <row r="1" spans="1:31">
      <c r="A1" s="142" t="s">
        <v>0</v>
      </c>
    </row>
    <row r="2" spans="1:31">
      <c r="A2" s="142"/>
    </row>
    <row r="3" spans="1:31">
      <c r="A3" s="101" t="s">
        <v>1</v>
      </c>
      <c r="B3" s="193" t="s">
        <v>2</v>
      </c>
      <c r="C3" s="193"/>
      <c r="D3" s="193"/>
      <c r="E3" s="193" t="s">
        <v>3</v>
      </c>
      <c r="F3" s="193"/>
      <c r="G3" s="193"/>
      <c r="H3" s="193" t="s">
        <v>4</v>
      </c>
      <c r="I3" s="193"/>
      <c r="J3" s="193"/>
      <c r="K3" s="193" t="s">
        <v>5</v>
      </c>
      <c r="L3" s="193"/>
      <c r="M3" s="193"/>
      <c r="N3" s="193" t="s">
        <v>6</v>
      </c>
      <c r="O3" s="193"/>
      <c r="P3" s="193"/>
      <c r="Q3" s="193" t="s">
        <v>7</v>
      </c>
      <c r="R3" s="193"/>
      <c r="S3" s="193"/>
      <c r="T3" s="193" t="s">
        <v>8</v>
      </c>
      <c r="U3" s="193"/>
      <c r="V3" s="193"/>
      <c r="W3" s="10"/>
    </row>
    <row r="4" spans="1:31">
      <c r="A4" s="58">
        <v>300</v>
      </c>
      <c r="B4" s="27">
        <v>89.493172999999999</v>
      </c>
      <c r="C4" s="27">
        <v>84.522812999999999</v>
      </c>
      <c r="D4" s="27">
        <v>85.765403000000006</v>
      </c>
      <c r="E4" s="27">
        <v>82.313609</v>
      </c>
      <c r="F4" s="27">
        <v>86.605202000000006</v>
      </c>
      <c r="G4" s="27">
        <v>90.910476000000003</v>
      </c>
      <c r="H4" s="143">
        <v>95.680499999999995</v>
      </c>
      <c r="I4" s="143">
        <v>99.407340000000005</v>
      </c>
      <c r="J4" s="143">
        <v>91.953649999999996</v>
      </c>
      <c r="K4" s="143">
        <v>86.194851</v>
      </c>
      <c r="L4" s="143">
        <v>87.706142999999997</v>
      </c>
      <c r="M4" s="143">
        <v>88.713669999999993</v>
      </c>
      <c r="N4" s="143">
        <v>95.016720000000007</v>
      </c>
      <c r="O4" s="143">
        <v>94.810469999999995</v>
      </c>
      <c r="P4" s="143">
        <v>93.985860000000002</v>
      </c>
      <c r="Q4" s="143">
        <v>92.927499999999995</v>
      </c>
      <c r="R4" s="143">
        <v>95.089609999999993</v>
      </c>
      <c r="S4" s="143">
        <v>97.633150000000001</v>
      </c>
      <c r="T4" s="143">
        <v>95.543000000000006</v>
      </c>
      <c r="U4" s="143">
        <v>95.79513</v>
      </c>
      <c r="V4" s="143">
        <v>94.029520000000005</v>
      </c>
      <c r="W4" s="143"/>
      <c r="X4" s="5"/>
      <c r="Y4" s="194" t="s">
        <v>9</v>
      </c>
      <c r="Z4" s="195"/>
      <c r="AA4" s="195"/>
      <c r="AB4" s="195"/>
      <c r="AC4" s="195"/>
      <c r="AD4" s="195"/>
      <c r="AE4" s="196"/>
    </row>
    <row r="5" spans="1:31">
      <c r="A5" s="58">
        <v>100</v>
      </c>
      <c r="B5" s="27">
        <v>87.007992999999999</v>
      </c>
      <c r="C5" s="27">
        <v>70.850764999999996</v>
      </c>
      <c r="D5" s="27">
        <v>77.067273999999998</v>
      </c>
      <c r="E5" s="27">
        <v>66.344481000000002</v>
      </c>
      <c r="F5" s="27">
        <v>92.138599999999997</v>
      </c>
      <c r="G5" s="27">
        <v>82.313609</v>
      </c>
      <c r="H5" s="143">
        <v>88.221469999999997</v>
      </c>
      <c r="I5" s="143">
        <v>90.090230000000005</v>
      </c>
      <c r="J5" s="143">
        <v>84.494630000000001</v>
      </c>
      <c r="K5" s="143">
        <v>91.736253000000005</v>
      </c>
      <c r="L5" s="143">
        <v>85.185879999999997</v>
      </c>
      <c r="M5" s="143">
        <v>92.745223999999993</v>
      </c>
      <c r="N5" s="143">
        <v>88.212609999999998</v>
      </c>
      <c r="O5" s="143">
        <v>85.875169999999997</v>
      </c>
      <c r="P5" s="143">
        <v>81.337059999999994</v>
      </c>
      <c r="Q5" s="143">
        <v>83.896159999999995</v>
      </c>
      <c r="R5" s="143">
        <v>77.661540000000002</v>
      </c>
      <c r="S5" s="143">
        <v>88.22148</v>
      </c>
      <c r="T5" s="143">
        <v>84.756299999999996</v>
      </c>
      <c r="U5" s="143">
        <v>84.251499999999993</v>
      </c>
      <c r="V5" s="143">
        <v>87.595609999999994</v>
      </c>
      <c r="W5" s="143"/>
      <c r="X5" s="5" t="s">
        <v>10</v>
      </c>
      <c r="Y5" s="51" t="s">
        <v>2</v>
      </c>
      <c r="Z5" s="51" t="s">
        <v>3</v>
      </c>
      <c r="AA5" s="51" t="s">
        <v>4</v>
      </c>
      <c r="AB5" s="51" t="s">
        <v>5</v>
      </c>
      <c r="AC5" s="51" t="s">
        <v>6</v>
      </c>
      <c r="AD5" s="51" t="s">
        <v>7</v>
      </c>
      <c r="AE5" s="51" t="s">
        <v>8</v>
      </c>
    </row>
    <row r="6" spans="1:31">
      <c r="A6" s="58">
        <v>33.333329999999997</v>
      </c>
      <c r="B6" s="27">
        <v>85.765403000000006</v>
      </c>
      <c r="C6" s="27">
        <v>69.608175000000003</v>
      </c>
      <c r="D6" s="27">
        <v>83.280224000000004</v>
      </c>
      <c r="E6" s="27">
        <v>54.059722999999998</v>
      </c>
      <c r="F6" s="27">
        <v>78.625719000000004</v>
      </c>
      <c r="G6" s="27">
        <v>52.831600000000002</v>
      </c>
      <c r="H6" s="143">
        <v>63.997010000000003</v>
      </c>
      <c r="I6" s="143">
        <v>77.040949999999995</v>
      </c>
      <c r="J6" s="143">
        <v>62.133589999999998</v>
      </c>
      <c r="K6" s="143">
        <v>72.085134999999994</v>
      </c>
      <c r="L6" s="143">
        <v>69.061108000000004</v>
      </c>
      <c r="M6" s="143">
        <v>80.148241999999996</v>
      </c>
      <c r="N6" s="143">
        <v>68.678420000000003</v>
      </c>
      <c r="O6" s="143">
        <v>62.001249999999999</v>
      </c>
      <c r="P6" s="143">
        <v>71.018230000000003</v>
      </c>
      <c r="Q6" s="143">
        <v>57.040379999999999</v>
      </c>
      <c r="R6" s="143">
        <v>72.061899999999994</v>
      </c>
      <c r="S6" s="143">
        <v>71.425830000000005</v>
      </c>
      <c r="T6" s="143">
        <v>67.077299999999994</v>
      </c>
      <c r="U6" s="143">
        <v>69.035610000000005</v>
      </c>
      <c r="V6" s="143">
        <v>63.412799999999997</v>
      </c>
      <c r="W6" s="143"/>
      <c r="X6" s="5" t="s">
        <v>11</v>
      </c>
      <c r="Y6" s="74">
        <v>0.3175</v>
      </c>
      <c r="Z6" s="74">
        <v>1.448</v>
      </c>
      <c r="AA6" s="74">
        <v>7.8940000000000001</v>
      </c>
      <c r="AB6" s="74">
        <v>9.4440000000000008</v>
      </c>
      <c r="AC6" s="74">
        <v>19.47</v>
      </c>
      <c r="AD6" s="74">
        <v>11.38</v>
      </c>
      <c r="AE6" s="75">
        <v>15.54</v>
      </c>
    </row>
    <row r="7" spans="1:31">
      <c r="A7" s="58">
        <v>11.11111</v>
      </c>
      <c r="B7" s="27">
        <v>84.522812999999999</v>
      </c>
      <c r="C7" s="27">
        <v>70.850764999999996</v>
      </c>
      <c r="D7" s="27">
        <v>85.765403000000006</v>
      </c>
      <c r="E7" s="27">
        <v>79.853842999999998</v>
      </c>
      <c r="F7" s="27">
        <v>81.085486000000003</v>
      </c>
      <c r="G7" s="27">
        <v>68.800728000000007</v>
      </c>
      <c r="H7" s="143">
        <v>57.468521000000003</v>
      </c>
      <c r="I7" s="143">
        <v>77.040949999999995</v>
      </c>
      <c r="J7" s="143">
        <v>37.898449999999997</v>
      </c>
      <c r="K7" s="143">
        <v>38.315638999999997</v>
      </c>
      <c r="L7" s="143">
        <v>46.381633999999998</v>
      </c>
      <c r="M7" s="143">
        <v>62.509292000000002</v>
      </c>
      <c r="N7" s="143">
        <v>45.468910000000001</v>
      </c>
      <c r="O7" s="143">
        <v>50.085940000000001</v>
      </c>
      <c r="P7" s="143">
        <v>50.292580000000001</v>
      </c>
      <c r="Q7" s="143">
        <v>38.189</v>
      </c>
      <c r="R7" s="143">
        <v>50.545659999999998</v>
      </c>
      <c r="S7" s="143">
        <v>55.767159999999997</v>
      </c>
      <c r="T7" s="143">
        <v>46.278509999999997</v>
      </c>
      <c r="U7" s="143">
        <v>37.545839999999998</v>
      </c>
      <c r="V7" s="143">
        <v>43.558039999999998</v>
      </c>
      <c r="W7" s="143"/>
      <c r="X7" s="5" t="s">
        <v>12</v>
      </c>
      <c r="Y7" s="74">
        <v>0.65249999999999997</v>
      </c>
      <c r="Z7" s="74">
        <v>1.06</v>
      </c>
      <c r="AA7" s="74">
        <v>5.3419999999999996</v>
      </c>
      <c r="AB7" s="74">
        <v>12.62</v>
      </c>
      <c r="AC7" s="74">
        <v>20.32</v>
      </c>
      <c r="AD7" s="74">
        <v>17.91</v>
      </c>
      <c r="AE7" s="75">
        <v>16.04</v>
      </c>
    </row>
    <row r="8" spans="1:31">
      <c r="A8" s="58">
        <v>3.7037040000000001</v>
      </c>
      <c r="B8" s="27">
        <v>80.795044000000004</v>
      </c>
      <c r="C8" s="27">
        <v>78.309864000000005</v>
      </c>
      <c r="D8" s="27">
        <v>84.522812999999999</v>
      </c>
      <c r="E8" s="27">
        <v>79.853842999999998</v>
      </c>
      <c r="F8" s="27">
        <v>63.884714000000002</v>
      </c>
      <c r="G8" s="27">
        <v>67.572603999999998</v>
      </c>
      <c r="H8" s="143">
        <v>24.854500000000002</v>
      </c>
      <c r="I8" s="143">
        <v>15.53206</v>
      </c>
      <c r="J8" s="143">
        <v>47.220889999999997</v>
      </c>
      <c r="K8" s="143">
        <v>28.738353</v>
      </c>
      <c r="L8" s="143">
        <v>50.413187000000001</v>
      </c>
      <c r="M8" s="143">
        <v>54.949947999999999</v>
      </c>
      <c r="N8" s="143">
        <v>26.43657</v>
      </c>
      <c r="O8" s="143">
        <v>29.679120000000001</v>
      </c>
      <c r="P8" s="143">
        <v>39.471899999999998</v>
      </c>
      <c r="Q8" s="143">
        <v>25.955100000000002</v>
      </c>
      <c r="R8" s="143">
        <v>37.679340000000003</v>
      </c>
      <c r="S8" s="143">
        <v>26.337620000000001</v>
      </c>
      <c r="T8" s="143">
        <v>27.288129999999999</v>
      </c>
      <c r="U8" s="143">
        <v>35.520159999999997</v>
      </c>
      <c r="V8" s="143">
        <v>34.50732</v>
      </c>
      <c r="W8" s="143"/>
      <c r="X8" s="5" t="s">
        <v>13</v>
      </c>
      <c r="Y8" s="74">
        <v>0.77480000000000004</v>
      </c>
      <c r="Z8" s="74">
        <v>1.0149999999999999</v>
      </c>
      <c r="AA8" s="74">
        <v>7.6680000000000001</v>
      </c>
      <c r="AB8" s="74">
        <v>9.0739999999999998</v>
      </c>
      <c r="AC8" s="74">
        <v>16.16</v>
      </c>
      <c r="AD8" s="74">
        <v>11.49</v>
      </c>
      <c r="AE8" s="75">
        <v>15.7</v>
      </c>
    </row>
    <row r="9" spans="1:31">
      <c r="A9" s="58">
        <v>1.2345680000000001</v>
      </c>
      <c r="B9" s="27">
        <v>60.910046000000001</v>
      </c>
      <c r="C9" s="27">
        <v>68.365584999999996</v>
      </c>
      <c r="D9" s="27">
        <v>73.335943999999998</v>
      </c>
      <c r="E9" s="27">
        <v>51.603476000000001</v>
      </c>
      <c r="F9" s="27">
        <v>63.884714000000002</v>
      </c>
      <c r="G9" s="27">
        <v>55.287846999999999</v>
      </c>
      <c r="H9" s="143">
        <v>22.99108</v>
      </c>
      <c r="I9" s="143">
        <v>56.537990000000001</v>
      </c>
      <c r="J9" s="143">
        <v>21.127659999999999</v>
      </c>
      <c r="K9" s="143">
        <v>27.225618000000001</v>
      </c>
      <c r="L9" s="143">
        <v>43.356164</v>
      </c>
      <c r="M9" s="143">
        <v>35.288564999999998</v>
      </c>
      <c r="N9" s="143">
        <v>26.16046</v>
      </c>
      <c r="O9" s="143">
        <v>26.712489999999999</v>
      </c>
      <c r="P9" s="143">
        <v>8.1420510000000004</v>
      </c>
      <c r="Q9" s="143">
        <v>14.609</v>
      </c>
      <c r="R9" s="143">
        <v>23.150729999999999</v>
      </c>
      <c r="S9" s="143">
        <v>28.121949999999998</v>
      </c>
      <c r="T9" s="143">
        <v>17.910879999999999</v>
      </c>
      <c r="U9" s="143">
        <v>28.681509999999999</v>
      </c>
      <c r="V9" s="143">
        <v>19.558730000000001</v>
      </c>
      <c r="W9" s="143"/>
      <c r="X9" s="5" t="s">
        <v>14</v>
      </c>
      <c r="Y9" s="144" t="s">
        <v>15</v>
      </c>
      <c r="Z9" s="144" t="s">
        <v>16</v>
      </c>
      <c r="AA9" s="144" t="s">
        <v>17</v>
      </c>
      <c r="AB9" s="144" t="s">
        <v>18</v>
      </c>
      <c r="AC9" s="144" t="s">
        <v>19</v>
      </c>
      <c r="AD9" s="144" t="s">
        <v>20</v>
      </c>
      <c r="AE9" s="145" t="s">
        <v>21</v>
      </c>
    </row>
    <row r="10" spans="1:31">
      <c r="A10" s="58">
        <v>0.41152300000000003</v>
      </c>
      <c r="B10" s="27">
        <v>24.860697999999999</v>
      </c>
      <c r="C10" s="27">
        <v>68.365584999999996</v>
      </c>
      <c r="D10" s="27">
        <v>55.936126000000002</v>
      </c>
      <c r="E10" s="27">
        <v>38.087076000000003</v>
      </c>
      <c r="F10" s="27">
        <v>25.802319000000001</v>
      </c>
      <c r="G10" s="27">
        <v>11.057795</v>
      </c>
      <c r="H10" s="143">
        <v>-10.561199999999999</v>
      </c>
      <c r="I10" s="143">
        <v>30.444759999999999</v>
      </c>
      <c r="J10" s="143">
        <v>11.80522</v>
      </c>
      <c r="K10" s="143">
        <v>32.266143</v>
      </c>
      <c r="L10" s="143">
        <v>25.209119999999999</v>
      </c>
      <c r="M10" s="143">
        <v>28.736211000000001</v>
      </c>
      <c r="N10" s="143">
        <v>6.5532510000000004</v>
      </c>
      <c r="O10" s="143">
        <v>26.36749</v>
      </c>
      <c r="P10" s="143">
        <v>20.156549999999999</v>
      </c>
      <c r="Q10" s="143">
        <v>5.5543480000000001</v>
      </c>
      <c r="R10" s="143">
        <v>9.7630960000000009</v>
      </c>
      <c r="S10" s="143">
        <v>1.0898620000000001</v>
      </c>
      <c r="T10" s="143">
        <v>5.3567640000000001</v>
      </c>
      <c r="U10" s="143">
        <v>11.44482</v>
      </c>
      <c r="V10" s="143">
        <v>16.389810000000001</v>
      </c>
      <c r="W10" s="143"/>
      <c r="Y10" s="123"/>
      <c r="Z10" s="123"/>
      <c r="AA10" s="123"/>
      <c r="AB10" s="123"/>
      <c r="AC10" s="123"/>
      <c r="AD10" s="123"/>
      <c r="AE10" s="123"/>
    </row>
    <row r="11" spans="1:31">
      <c r="A11" s="58">
        <v>0.13717399999999999</v>
      </c>
      <c r="B11" s="27">
        <v>54.693536000000002</v>
      </c>
      <c r="C11" s="27">
        <v>44.749257</v>
      </c>
      <c r="D11" s="27">
        <v>65.880404999999996</v>
      </c>
      <c r="E11" s="27">
        <v>29.490209</v>
      </c>
      <c r="F11" s="27">
        <v>45.459338000000002</v>
      </c>
      <c r="G11" s="27">
        <v>38.087076000000003</v>
      </c>
      <c r="H11" s="143">
        <v>-12.4299</v>
      </c>
      <c r="I11" s="143">
        <v>-23.610399999999998</v>
      </c>
      <c r="J11" s="143">
        <v>-7.5812900000000001</v>
      </c>
      <c r="K11" s="143">
        <v>44.868898999999999</v>
      </c>
      <c r="L11" s="143">
        <v>6.5539813999999996</v>
      </c>
      <c r="M11" s="143">
        <v>25.705351</v>
      </c>
      <c r="N11" s="143">
        <v>25.815460000000002</v>
      </c>
      <c r="O11" s="143">
        <v>11.66445</v>
      </c>
      <c r="P11" s="143">
        <v>24.15935</v>
      </c>
      <c r="Q11" s="143">
        <v>13.20645</v>
      </c>
      <c r="R11" s="143">
        <v>-4.6511300000000002</v>
      </c>
      <c r="S11" s="143">
        <v>11.293519999999999</v>
      </c>
      <c r="T11" s="143">
        <v>1.8676330000000001</v>
      </c>
      <c r="U11" s="143">
        <v>16.199639999999999</v>
      </c>
      <c r="V11" s="143">
        <v>6.0544460000000004</v>
      </c>
      <c r="W11" s="143"/>
      <c r="X11" s="146"/>
    </row>
    <row r="12" spans="1:31">
      <c r="A12" s="58">
        <v>4.5725000000000002E-2</v>
      </c>
      <c r="B12" s="27">
        <v>47.234436000000002</v>
      </c>
      <c r="C12" s="27">
        <v>8.6999092000000005</v>
      </c>
      <c r="D12" s="27">
        <v>22.375518</v>
      </c>
      <c r="E12" s="27">
        <v>34.402704</v>
      </c>
      <c r="F12" s="27">
        <v>34.402704</v>
      </c>
      <c r="G12" s="27">
        <v>30.718333000000001</v>
      </c>
      <c r="H12" s="143">
        <v>15.53206</v>
      </c>
      <c r="I12" s="143">
        <v>21.127659999999999</v>
      </c>
      <c r="J12" s="143">
        <v>4.35154</v>
      </c>
      <c r="K12" s="143">
        <v>-2.01722</v>
      </c>
      <c r="L12" s="143">
        <v>1.122566</v>
      </c>
      <c r="M12" s="143">
        <v>4.2015919999999998</v>
      </c>
      <c r="N12" s="143">
        <v>13.252660000000001</v>
      </c>
      <c r="O12" s="143">
        <v>21.606010000000001</v>
      </c>
      <c r="P12" s="143">
        <v>18.08578</v>
      </c>
      <c r="Q12" s="143">
        <v>-12.1797</v>
      </c>
      <c r="R12" s="143">
        <v>14.609</v>
      </c>
      <c r="S12" s="143">
        <v>-1.8442000000000001</v>
      </c>
      <c r="T12" s="143">
        <v>0.72548000000000001</v>
      </c>
      <c r="U12" s="143">
        <v>-4.6686800000000002</v>
      </c>
      <c r="V12" s="143">
        <v>12.90321</v>
      </c>
      <c r="W12" s="143"/>
      <c r="X12" s="7"/>
      <c r="Y12" s="197" t="s">
        <v>22</v>
      </c>
      <c r="Z12" s="197"/>
      <c r="AA12" s="197"/>
      <c r="AB12" s="197"/>
      <c r="AC12" s="197"/>
      <c r="AD12" s="197"/>
      <c r="AE12" s="197"/>
    </row>
    <row r="13" spans="1:31">
      <c r="A13" s="58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7" t="s">
        <v>10</v>
      </c>
      <c r="Y13" s="148" t="s">
        <v>2</v>
      </c>
      <c r="Z13" s="88" t="s">
        <v>3</v>
      </c>
      <c r="AA13" s="88" t="s">
        <v>4</v>
      </c>
      <c r="AB13" s="88" t="s">
        <v>5</v>
      </c>
      <c r="AC13" s="88" t="s">
        <v>6</v>
      </c>
      <c r="AD13" s="88" t="s">
        <v>7</v>
      </c>
      <c r="AE13" s="90" t="s">
        <v>8</v>
      </c>
    </row>
    <row r="14" spans="1:31">
      <c r="A14" s="101" t="s">
        <v>23</v>
      </c>
      <c r="B14" s="193" t="s">
        <v>2</v>
      </c>
      <c r="C14" s="193"/>
      <c r="D14" s="193"/>
      <c r="E14" s="193" t="s">
        <v>3</v>
      </c>
      <c r="F14" s="193"/>
      <c r="G14" s="193"/>
      <c r="H14" s="193" t="s">
        <v>4</v>
      </c>
      <c r="I14" s="193"/>
      <c r="J14" s="193"/>
      <c r="K14" s="193" t="s">
        <v>5</v>
      </c>
      <c r="L14" s="193"/>
      <c r="M14" s="193"/>
      <c r="N14" s="193" t="s">
        <v>6</v>
      </c>
      <c r="O14" s="193"/>
      <c r="P14" s="193"/>
      <c r="Q14" s="193" t="s">
        <v>7</v>
      </c>
      <c r="R14" s="193"/>
      <c r="S14" s="193"/>
      <c r="T14" s="193" t="s">
        <v>8</v>
      </c>
      <c r="U14" s="193"/>
      <c r="V14" s="193"/>
      <c r="W14" s="10"/>
      <c r="X14" s="147" t="s">
        <v>11</v>
      </c>
      <c r="Y14" s="149">
        <v>4.4809999999999999</v>
      </c>
      <c r="Z14" s="150">
        <v>5.9459999999999997</v>
      </c>
      <c r="AA14" s="150">
        <v>47.43</v>
      </c>
      <c r="AB14" s="150">
        <v>23.7</v>
      </c>
      <c r="AC14" s="150">
        <v>52.65</v>
      </c>
      <c r="AD14" s="150">
        <v>41.52</v>
      </c>
      <c r="AE14" s="151">
        <v>56.17</v>
      </c>
    </row>
    <row r="15" spans="1:31">
      <c r="A15" s="152">
        <v>300</v>
      </c>
      <c r="B15" s="10">
        <v>96.161204715176197</v>
      </c>
      <c r="C15" s="10">
        <v>91.989137813985096</v>
      </c>
      <c r="D15" s="10">
        <v>93.521775802834895</v>
      </c>
      <c r="E15" s="10">
        <v>94.443182248475907</v>
      </c>
      <c r="F15" s="10">
        <v>92.310859934113395</v>
      </c>
      <c r="G15" s="10">
        <v>83.670812980423307</v>
      </c>
      <c r="H15" s="10">
        <v>87.600451934246706</v>
      </c>
      <c r="I15" s="10">
        <v>88.825766617335802</v>
      </c>
      <c r="J15" s="10">
        <v>87.840740917553802</v>
      </c>
      <c r="K15" s="10">
        <v>92.565877562559606</v>
      </c>
      <c r="L15" s="10">
        <v>89.848710327198802</v>
      </c>
      <c r="M15" s="10">
        <v>89.050640615367698</v>
      </c>
      <c r="N15" s="10">
        <v>94.684404212842196</v>
      </c>
      <c r="O15" s="10">
        <v>94.464399300518707</v>
      </c>
      <c r="P15" s="10">
        <v>93.584799507927897</v>
      </c>
      <c r="Q15" s="10">
        <v>93.328614039669603</v>
      </c>
      <c r="R15" s="10">
        <v>95.368104905774501</v>
      </c>
      <c r="S15" s="10">
        <v>97.767384640760994</v>
      </c>
      <c r="T15" s="10">
        <v>93.5475056067488</v>
      </c>
      <c r="U15" s="10">
        <v>95.455654472028698</v>
      </c>
      <c r="V15" s="10">
        <v>95.183173312461307</v>
      </c>
      <c r="W15" s="10"/>
      <c r="X15" s="147" t="s">
        <v>12</v>
      </c>
      <c r="Y15" s="149">
        <v>6.024</v>
      </c>
      <c r="Z15" s="150">
        <v>6.2229999999999999</v>
      </c>
      <c r="AA15" s="150">
        <v>37.119999999999997</v>
      </c>
      <c r="AB15" s="150">
        <v>20.68</v>
      </c>
      <c r="AC15" s="150">
        <v>43.79</v>
      </c>
      <c r="AD15" s="150">
        <v>53.34</v>
      </c>
      <c r="AE15" s="151">
        <v>59.08</v>
      </c>
    </row>
    <row r="16" spans="1:31">
      <c r="A16" s="152">
        <v>100</v>
      </c>
      <c r="B16" s="10">
        <v>91.756670575407895</v>
      </c>
      <c r="C16" s="10">
        <v>86.010821041370903</v>
      </c>
      <c r="D16" s="10">
        <v>87.156699376658594</v>
      </c>
      <c r="E16" s="10">
        <v>84.827615585595794</v>
      </c>
      <c r="F16" s="10">
        <v>85.654038396001397</v>
      </c>
      <c r="G16" s="10">
        <v>78.8774660153735</v>
      </c>
      <c r="H16" s="10">
        <v>81.886228736016307</v>
      </c>
      <c r="I16" s="10">
        <v>80.566827389761499</v>
      </c>
      <c r="J16" s="10">
        <v>84.014218424277104</v>
      </c>
      <c r="K16" s="10">
        <v>83.890378793530601</v>
      </c>
      <c r="L16" s="10">
        <v>81.790071345272594</v>
      </c>
      <c r="M16" s="10">
        <v>84.277339532034702</v>
      </c>
      <c r="N16" s="10">
        <v>87.426551318035195</v>
      </c>
      <c r="O16" s="10">
        <v>84.933232287820204</v>
      </c>
      <c r="P16" s="10">
        <v>80.092494431650493</v>
      </c>
      <c r="Q16" s="10">
        <v>84.809487154815699</v>
      </c>
      <c r="R16" s="10">
        <v>78.928468337205004</v>
      </c>
      <c r="S16" s="10">
        <v>88.889499800690004</v>
      </c>
      <c r="T16" s="10">
        <v>86.594161173776996</v>
      </c>
      <c r="U16" s="10">
        <v>82.980077255045103</v>
      </c>
      <c r="V16" s="10">
        <v>83.525625135411005</v>
      </c>
      <c r="W16" s="10"/>
      <c r="X16" s="147" t="s">
        <v>13</v>
      </c>
      <c r="Y16" s="149">
        <v>7.149</v>
      </c>
      <c r="Z16" s="150">
        <v>8.6359999999999992</v>
      </c>
      <c r="AA16" s="150">
        <v>40.479999999999997</v>
      </c>
      <c r="AB16" s="150">
        <v>17.27</v>
      </c>
      <c r="AC16" s="150">
        <v>41.48</v>
      </c>
      <c r="AD16" s="150">
        <v>37.03</v>
      </c>
      <c r="AE16" s="151">
        <v>45.9</v>
      </c>
    </row>
    <row r="17" spans="1:31">
      <c r="A17" s="152">
        <v>33.333329999999997</v>
      </c>
      <c r="B17" s="10">
        <v>87.228702503651604</v>
      </c>
      <c r="C17" s="10">
        <v>86.728795079100607</v>
      </c>
      <c r="D17" s="10">
        <v>79.742434528585207</v>
      </c>
      <c r="E17" s="10">
        <v>68.2967927600439</v>
      </c>
      <c r="F17" s="10">
        <v>84.496762467340702</v>
      </c>
      <c r="G17" s="10">
        <v>82.678726949146096</v>
      </c>
      <c r="H17" s="10">
        <v>77.069110930761795</v>
      </c>
      <c r="I17" s="10">
        <v>74.593617224423596</v>
      </c>
      <c r="J17" s="10">
        <v>75.546816568800594</v>
      </c>
      <c r="K17" s="10">
        <v>63.1986791111879</v>
      </c>
      <c r="L17" s="10">
        <v>68.514235678918794</v>
      </c>
      <c r="M17" s="10">
        <v>64.595153861558003</v>
      </c>
      <c r="N17" s="10">
        <v>66.589692937800294</v>
      </c>
      <c r="O17" s="10">
        <v>59.467243829680903</v>
      </c>
      <c r="P17" s="10">
        <v>69.0855311082328</v>
      </c>
      <c r="Q17" s="10">
        <v>59.476845679097202</v>
      </c>
      <c r="R17" s="10">
        <v>66.773652595840602</v>
      </c>
      <c r="S17" s="10">
        <v>73.046418605929802</v>
      </c>
      <c r="T17" s="10">
        <v>60.459001930400198</v>
      </c>
      <c r="U17" s="10">
        <v>66.535761200322497</v>
      </c>
      <c r="V17" s="10">
        <v>64.419347723825894</v>
      </c>
      <c r="W17" s="10"/>
      <c r="X17" s="5" t="s">
        <v>14</v>
      </c>
      <c r="Y17" s="153" t="s">
        <v>24</v>
      </c>
      <c r="Z17" s="144" t="s">
        <v>25</v>
      </c>
      <c r="AA17" s="144" t="s">
        <v>26</v>
      </c>
      <c r="AB17" s="144" t="s">
        <v>27</v>
      </c>
      <c r="AC17" s="144" t="s">
        <v>28</v>
      </c>
      <c r="AD17" s="144" t="s">
        <v>29</v>
      </c>
      <c r="AE17" s="145" t="s">
        <v>30</v>
      </c>
    </row>
    <row r="18" spans="1:31">
      <c r="A18" s="152">
        <v>11.11111</v>
      </c>
      <c r="B18" s="10">
        <v>79.546997469604406</v>
      </c>
      <c r="C18" s="10">
        <v>80.557098479705402</v>
      </c>
      <c r="D18" s="10">
        <v>74.984056450451604</v>
      </c>
      <c r="E18" s="10">
        <v>73.256749592941802</v>
      </c>
      <c r="F18" s="10">
        <v>74.248835624218998</v>
      </c>
      <c r="G18" s="10">
        <v>71.768620546026</v>
      </c>
      <c r="H18" s="10">
        <v>65.563485622443906</v>
      </c>
      <c r="I18" s="10">
        <v>62.5570885250076</v>
      </c>
      <c r="J18" s="10">
        <v>63.308986171448602</v>
      </c>
      <c r="K18" s="10">
        <v>43.531021647027401</v>
      </c>
      <c r="L18" s="10">
        <v>44.051877476175697</v>
      </c>
      <c r="M18" s="10">
        <v>45.219631140621303</v>
      </c>
      <c r="N18" s="10">
        <v>41.832422594168598</v>
      </c>
      <c r="O18" s="10">
        <v>46.757341719271203</v>
      </c>
      <c r="P18" s="10">
        <v>46.977766488297497</v>
      </c>
      <c r="Q18" s="10">
        <v>41.694615881568602</v>
      </c>
      <c r="R18" s="10">
        <v>39.604953883795403</v>
      </c>
      <c r="S18" s="10">
        <v>44.530315734491602</v>
      </c>
      <c r="T18" s="10">
        <v>39.001305801545499</v>
      </c>
      <c r="U18" s="10">
        <v>32.5037231934948</v>
      </c>
      <c r="V18" s="10">
        <v>41.941408743209898</v>
      </c>
      <c r="W18" s="10"/>
      <c r="X18" s="4"/>
      <c r="Y18" s="123"/>
      <c r="Z18" s="123"/>
      <c r="AA18" s="123"/>
      <c r="AB18" s="123"/>
      <c r="AC18" s="123"/>
      <c r="AD18" s="123"/>
      <c r="AE18" s="123"/>
    </row>
    <row r="19" spans="1:31">
      <c r="A19" s="152">
        <v>3.7037040000000001</v>
      </c>
      <c r="B19" s="10">
        <v>71.879693060955802</v>
      </c>
      <c r="C19" s="10">
        <v>73.838178115163899</v>
      </c>
      <c r="D19" s="10">
        <v>69.493303709189703</v>
      </c>
      <c r="E19" s="10">
        <v>65.816577681850902</v>
      </c>
      <c r="F19" s="10">
        <v>69.619731909576302</v>
      </c>
      <c r="G19" s="10">
        <v>67.304706728766703</v>
      </c>
      <c r="H19" s="10">
        <v>31.423752009038701</v>
      </c>
      <c r="I19" s="10">
        <v>35.2576343470027</v>
      </c>
      <c r="J19" s="10">
        <v>30.517496538883801</v>
      </c>
      <c r="K19" s="10">
        <v>33.903925364285001</v>
      </c>
      <c r="L19" s="10">
        <v>34.2476941380651</v>
      </c>
      <c r="M19" s="10">
        <v>30.7395249669189</v>
      </c>
      <c r="N19" s="10">
        <v>21.530881510140599</v>
      </c>
      <c r="O19" s="10">
        <v>24.9896610286909</v>
      </c>
      <c r="P19" s="10">
        <v>20.740501266917601</v>
      </c>
      <c r="Q19" s="10">
        <v>30.154568322084899</v>
      </c>
      <c r="R19" s="10">
        <v>34.341108713282303</v>
      </c>
      <c r="S19" s="10">
        <v>30.515388104630901</v>
      </c>
      <c r="T19" s="10">
        <v>29.219895809138301</v>
      </c>
      <c r="U19" s="10">
        <v>24.458892625636999</v>
      </c>
      <c r="V19" s="10">
        <v>21.417877965135698</v>
      </c>
      <c r="W19" s="10"/>
    </row>
    <row r="20" spans="1:31">
      <c r="A20" s="152">
        <v>1.2345680000000001</v>
      </c>
      <c r="B20" s="10">
        <v>58.877985558230002</v>
      </c>
      <c r="C20" s="10">
        <v>59.0117056512169</v>
      </c>
      <c r="D20" s="10">
        <v>59.437552716575098</v>
      </c>
      <c r="E20" s="10">
        <v>65.699666780264295</v>
      </c>
      <c r="F20" s="10">
        <v>56.8234314059601</v>
      </c>
      <c r="G20" s="10">
        <v>55.334355712067897</v>
      </c>
      <c r="H20" s="10">
        <v>11.404178800464701</v>
      </c>
      <c r="I20" s="10">
        <v>17.405634856224399</v>
      </c>
      <c r="J20" s="10">
        <v>16.638022946802199</v>
      </c>
      <c r="K20" s="10">
        <v>23.104167239287399</v>
      </c>
      <c r="L20" s="10">
        <v>7.6066939692237598</v>
      </c>
      <c r="M20" s="10">
        <v>15.391652956490001</v>
      </c>
      <c r="N20" s="10">
        <v>21.236352033051102</v>
      </c>
      <c r="O20" s="10">
        <v>21.825201058878601</v>
      </c>
      <c r="P20" s="10">
        <v>2.0163618157123002</v>
      </c>
      <c r="Q20" s="10">
        <v>19.451966295995899</v>
      </c>
      <c r="R20" s="10">
        <v>27.509243859190899</v>
      </c>
      <c r="S20" s="10">
        <v>32.198526480735701</v>
      </c>
      <c r="T20" s="10">
        <v>13.064456628455501</v>
      </c>
      <c r="U20" s="10">
        <v>15.1162631824472</v>
      </c>
      <c r="V20" s="10">
        <v>11.283569737414799</v>
      </c>
      <c r="W20" s="10"/>
      <c r="X20" s="7"/>
      <c r="Y20" s="195" t="s">
        <v>31</v>
      </c>
      <c r="Z20" s="195"/>
      <c r="AA20" s="195"/>
      <c r="AB20" s="195"/>
      <c r="AC20" s="195"/>
      <c r="AD20" s="195"/>
      <c r="AE20" s="196"/>
    </row>
    <row r="21" spans="1:31">
      <c r="A21" s="152">
        <v>0.41152300000000003</v>
      </c>
      <c r="B21" s="10">
        <v>44.3559834598531</v>
      </c>
      <c r="C21" s="10">
        <v>55.092678310600903</v>
      </c>
      <c r="D21" s="10">
        <v>48.920981711205698</v>
      </c>
      <c r="E21" s="10">
        <v>38.193418910219997</v>
      </c>
      <c r="F21" s="10">
        <v>28.760555113786999</v>
      </c>
      <c r="G21" s="10">
        <v>34.718277859820503</v>
      </c>
      <c r="H21" s="10">
        <v>14.474825352874699</v>
      </c>
      <c r="I21" s="10">
        <v>-2.7006651708279601</v>
      </c>
      <c r="J21" s="10">
        <v>-5.2155439919797599</v>
      </c>
      <c r="K21" s="10">
        <v>7.9512480514534101</v>
      </c>
      <c r="L21" s="10">
        <v>6.2973884567510998</v>
      </c>
      <c r="M21" s="10">
        <v>7.1932290705481803</v>
      </c>
      <c r="N21" s="10">
        <v>0.32161023442698999</v>
      </c>
      <c r="O21" s="10">
        <v>15.1593461151709</v>
      </c>
      <c r="P21" s="10">
        <v>14.8320678152547</v>
      </c>
      <c r="Q21" s="10">
        <v>10.910846586301201</v>
      </c>
      <c r="R21" s="10">
        <v>14.880895107971</v>
      </c>
      <c r="S21" s="10">
        <v>6.6995642671578404</v>
      </c>
      <c r="T21" s="10">
        <v>9.6397041744660203</v>
      </c>
      <c r="U21" s="10">
        <v>4.2954820047274298</v>
      </c>
      <c r="V21" s="10">
        <v>-2.2840791756859402</v>
      </c>
      <c r="W21" s="10"/>
      <c r="X21" s="5" t="s">
        <v>10</v>
      </c>
      <c r="Y21" s="7" t="s">
        <v>2</v>
      </c>
      <c r="Z21" s="7" t="s">
        <v>3</v>
      </c>
      <c r="AA21" s="7" t="s">
        <v>4</v>
      </c>
      <c r="AB21" s="7" t="s">
        <v>5</v>
      </c>
      <c r="AC21" s="7" t="s">
        <v>6</v>
      </c>
      <c r="AD21" s="7" t="s">
        <v>7</v>
      </c>
      <c r="AE21" s="7" t="s">
        <v>8</v>
      </c>
    </row>
    <row r="22" spans="1:31">
      <c r="A22" s="152">
        <v>0.13717399999999999</v>
      </c>
      <c r="B22" s="10">
        <v>28.8115369581765</v>
      </c>
      <c r="C22" s="10">
        <v>37.429282643131899</v>
      </c>
      <c r="D22" s="10">
        <v>41.251620070357298</v>
      </c>
      <c r="E22" s="10">
        <v>31.243136809420999</v>
      </c>
      <c r="F22" s="10">
        <v>28.429701995531801</v>
      </c>
      <c r="G22" s="10">
        <v>24.2919080616456</v>
      </c>
      <c r="H22" s="10">
        <v>21.172880762559501</v>
      </c>
      <c r="I22" s="10">
        <v>3.6548590888114401</v>
      </c>
      <c r="J22" s="10">
        <v>-5.4252001082096104</v>
      </c>
      <c r="K22" s="10">
        <v>6.5041209060888896</v>
      </c>
      <c r="L22" s="10">
        <v>-3.4912850394813799</v>
      </c>
      <c r="M22" s="10">
        <v>5.4015478429540202</v>
      </c>
      <c r="N22" s="10">
        <v>20.868347632952901</v>
      </c>
      <c r="O22" s="10">
        <v>5.7736594500297</v>
      </c>
      <c r="P22" s="10">
        <v>19.101800555470401</v>
      </c>
      <c r="Q22" s="10">
        <v>18.1289604266608</v>
      </c>
      <c r="R22" s="10">
        <v>1.28417478797542</v>
      </c>
      <c r="S22" s="10">
        <v>16.324517876042901</v>
      </c>
      <c r="T22" s="10">
        <v>-1.5300714970263201</v>
      </c>
      <c r="U22" s="10">
        <v>9.4341721823281492</v>
      </c>
      <c r="V22" s="10">
        <v>-6.05489831729221</v>
      </c>
      <c r="W22" s="10"/>
      <c r="X22" s="5" t="s">
        <v>11</v>
      </c>
      <c r="Y22" s="150">
        <v>11.25</v>
      </c>
      <c r="Z22" s="150">
        <v>7.48</v>
      </c>
      <c r="AA22" s="150">
        <v>31.53</v>
      </c>
      <c r="AB22" s="150">
        <v>31.33</v>
      </c>
      <c r="AC22" s="150">
        <v>52.61</v>
      </c>
      <c r="AD22" s="150">
        <v>39.090000000000003</v>
      </c>
      <c r="AE22" s="151">
        <v>62.69</v>
      </c>
    </row>
    <row r="23" spans="1:31">
      <c r="A23" s="152">
        <v>4.5725000000000002E-2</v>
      </c>
      <c r="B23" s="10">
        <v>15.517702483079299</v>
      </c>
      <c r="C23" s="10">
        <v>17.708654775864598</v>
      </c>
      <c r="D23" s="10">
        <v>14.4438272747845</v>
      </c>
      <c r="E23" s="10">
        <v>21.1807527736756</v>
      </c>
      <c r="F23" s="10">
        <v>21.808853042523399</v>
      </c>
      <c r="G23" s="10">
        <v>22.137812866825701</v>
      </c>
      <c r="H23" s="10">
        <v>1.49007017711367</v>
      </c>
      <c r="I23" s="10">
        <v>-7.7310195572953999</v>
      </c>
      <c r="J23" s="10">
        <v>-4.3074982893333997</v>
      </c>
      <c r="K23" s="10">
        <v>20.212268873907</v>
      </c>
      <c r="L23" s="10">
        <v>0.231862319722629</v>
      </c>
      <c r="M23" s="10">
        <v>9.1227319310342097</v>
      </c>
      <c r="N23" s="10">
        <v>7.4677812462606497</v>
      </c>
      <c r="O23" s="10">
        <v>16.378190123710802</v>
      </c>
      <c r="P23" s="10">
        <v>12.623201701259401</v>
      </c>
      <c r="Q23" s="10">
        <v>-5.81744580830504</v>
      </c>
      <c r="R23" s="10">
        <v>19.451966295995899</v>
      </c>
      <c r="S23" s="10">
        <v>3.9319047160863798</v>
      </c>
      <c r="T23" s="10">
        <v>5.8716176519385002</v>
      </c>
      <c r="U23" s="10">
        <v>-13.1189138229536</v>
      </c>
      <c r="V23" s="10">
        <v>-7.2892613925817198</v>
      </c>
      <c r="W23" s="10"/>
      <c r="X23" s="5" t="s">
        <v>12</v>
      </c>
      <c r="Y23" s="150">
        <v>10.73</v>
      </c>
      <c r="Z23" s="150">
        <v>5.274</v>
      </c>
      <c r="AA23" s="150">
        <v>19.25</v>
      </c>
      <c r="AB23" s="150">
        <v>26.77</v>
      </c>
      <c r="AC23" s="150">
        <v>43.42</v>
      </c>
      <c r="AD23" s="150">
        <v>48.99</v>
      </c>
      <c r="AE23" s="151">
        <v>62.44</v>
      </c>
    </row>
    <row r="24" spans="1:31">
      <c r="A24" s="152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5" t="s">
        <v>13</v>
      </c>
      <c r="Y24" s="150">
        <v>8.3019999999999996</v>
      </c>
      <c r="Z24" s="150">
        <v>7.1609999999999996</v>
      </c>
      <c r="AA24" s="150">
        <v>25.4</v>
      </c>
      <c r="AB24" s="150">
        <v>27.91</v>
      </c>
      <c r="AC24" s="150">
        <v>47.5</v>
      </c>
      <c r="AD24" s="150">
        <v>54.02</v>
      </c>
      <c r="AE24" s="151">
        <v>57.57</v>
      </c>
    </row>
    <row r="25" spans="1:31">
      <c r="A25" s="101" t="s">
        <v>32</v>
      </c>
      <c r="B25" s="193" t="s">
        <v>2</v>
      </c>
      <c r="C25" s="193"/>
      <c r="D25" s="193"/>
      <c r="E25" s="193" t="s">
        <v>3</v>
      </c>
      <c r="F25" s="193"/>
      <c r="G25" s="193"/>
      <c r="H25" s="193" t="s">
        <v>4</v>
      </c>
      <c r="I25" s="193"/>
      <c r="J25" s="193"/>
      <c r="K25" s="193" t="s">
        <v>5</v>
      </c>
      <c r="L25" s="193"/>
      <c r="M25" s="193"/>
      <c r="N25" s="193" t="s">
        <v>6</v>
      </c>
      <c r="O25" s="193"/>
      <c r="P25" s="193"/>
      <c r="Q25" s="193" t="s">
        <v>7</v>
      </c>
      <c r="R25" s="193"/>
      <c r="S25" s="193"/>
      <c r="T25" s="193" t="s">
        <v>8</v>
      </c>
      <c r="U25" s="193"/>
      <c r="V25" s="193"/>
      <c r="W25" s="10"/>
      <c r="X25" s="5" t="s">
        <v>14</v>
      </c>
      <c r="Y25" s="144" t="s">
        <v>33</v>
      </c>
      <c r="Z25" s="144" t="s">
        <v>34</v>
      </c>
      <c r="AA25" s="144" t="s">
        <v>35</v>
      </c>
      <c r="AB25" s="144" t="s">
        <v>36</v>
      </c>
      <c r="AC25" s="144" t="s">
        <v>37</v>
      </c>
      <c r="AD25" s="144" t="s">
        <v>38</v>
      </c>
      <c r="AE25" s="145" t="s">
        <v>39</v>
      </c>
    </row>
    <row r="26" spans="1:31">
      <c r="A26" s="152">
        <v>300</v>
      </c>
      <c r="B26" s="10">
        <v>94.768648436990105</v>
      </c>
      <c r="C26" s="10">
        <v>90.520133133198499</v>
      </c>
      <c r="D26" s="10">
        <v>95.679697187234893</v>
      </c>
      <c r="E26" s="10">
        <v>87.194095507313094</v>
      </c>
      <c r="F26" s="10">
        <v>89.9653003859042</v>
      </c>
      <c r="G26" s="10">
        <v>92.738490368276402</v>
      </c>
      <c r="H26" s="10">
        <v>79.965879202900297</v>
      </c>
      <c r="I26" s="10">
        <v>86.857174450473494</v>
      </c>
      <c r="J26" s="10">
        <v>96.504987797075998</v>
      </c>
      <c r="K26" s="10">
        <v>88.760864080792402</v>
      </c>
      <c r="L26" s="10">
        <v>92.795475073037096</v>
      </c>
      <c r="M26" s="10">
        <v>85.400293111118401</v>
      </c>
      <c r="N26" s="10">
        <v>92.499063364876804</v>
      </c>
      <c r="O26" s="10">
        <v>90.580472064102096</v>
      </c>
      <c r="P26" s="10">
        <v>93.413340101277498</v>
      </c>
      <c r="Q26" s="10">
        <v>83.791074555152903</v>
      </c>
      <c r="R26" s="10">
        <v>97.294270939370506</v>
      </c>
      <c r="S26" s="10">
        <v>92.320534223706204</v>
      </c>
      <c r="T26" s="10">
        <v>95.496550182925404</v>
      </c>
      <c r="U26" s="10">
        <v>92.958330242968103</v>
      </c>
      <c r="V26" s="10">
        <v>93.635059623445699</v>
      </c>
      <c r="W26" s="10"/>
      <c r="Y26" s="123"/>
      <c r="Z26" s="123"/>
      <c r="AA26" s="123"/>
      <c r="AB26" s="123"/>
      <c r="AC26" s="123"/>
      <c r="AD26" s="123"/>
      <c r="AE26" s="123"/>
    </row>
    <row r="27" spans="1:31">
      <c r="A27" s="152">
        <v>100</v>
      </c>
      <c r="B27" s="10">
        <v>94.792142530836003</v>
      </c>
      <c r="C27" s="10">
        <v>89.632578476799594</v>
      </c>
      <c r="D27" s="10">
        <v>93.980291065718205</v>
      </c>
      <c r="E27" s="10">
        <v>83.730089409074296</v>
      </c>
      <c r="F27" s="10">
        <v>88.579697946608604</v>
      </c>
      <c r="G27" s="10">
        <v>91.352887928980905</v>
      </c>
      <c r="H27" s="10">
        <v>86.110782013916904</v>
      </c>
      <c r="I27" s="10">
        <v>86.857174450473494</v>
      </c>
      <c r="J27" s="10">
        <v>82.722397301929604</v>
      </c>
      <c r="K27" s="10">
        <v>86.744521498987993</v>
      </c>
      <c r="L27" s="10">
        <v>75.988768567395297</v>
      </c>
      <c r="M27" s="10">
        <v>87.416635692922796</v>
      </c>
      <c r="N27" s="10">
        <v>78.284769305761998</v>
      </c>
      <c r="O27" s="10">
        <v>76.113387235174002</v>
      </c>
      <c r="P27" s="10">
        <v>81.522706855363396</v>
      </c>
      <c r="Q27" s="10">
        <v>82.014740013844204</v>
      </c>
      <c r="R27" s="10">
        <v>81.304206197320696</v>
      </c>
      <c r="S27" s="10">
        <v>78.104768109450703</v>
      </c>
      <c r="T27" s="10">
        <v>75.184973505269099</v>
      </c>
      <c r="U27" s="10">
        <v>82.803026667306597</v>
      </c>
      <c r="V27" s="10">
        <v>79.925472510777496</v>
      </c>
      <c r="W27" s="10"/>
    </row>
    <row r="28" spans="1:31">
      <c r="A28" s="152">
        <v>33.333329999999997</v>
      </c>
      <c r="B28" s="10">
        <v>85.907459374796105</v>
      </c>
      <c r="C28" s="10">
        <v>85.385368400443795</v>
      </c>
      <c r="D28" s="10">
        <v>88.721529726554806</v>
      </c>
      <c r="E28" s="10">
        <v>76.1072908891677</v>
      </c>
      <c r="F28" s="10">
        <v>74.590671600311296</v>
      </c>
      <c r="G28" s="10">
        <v>87.194095507313094</v>
      </c>
      <c r="H28" s="10">
        <v>71.246119944079794</v>
      </c>
      <c r="I28" s="10">
        <v>64.801080491908195</v>
      </c>
      <c r="J28" s="10">
        <v>55.149317978974601</v>
      </c>
      <c r="K28" s="10">
        <v>76.6608827613301</v>
      </c>
      <c r="L28" s="10">
        <v>66.575318195036402</v>
      </c>
      <c r="M28" s="10">
        <v>84.728178917183598</v>
      </c>
      <c r="N28" s="10">
        <v>56.888598834141099</v>
      </c>
      <c r="O28" s="10">
        <v>63.465993095085601</v>
      </c>
      <c r="P28" s="10">
        <v>65.326976300110005</v>
      </c>
      <c r="Q28" s="10">
        <v>67.668675434667506</v>
      </c>
      <c r="R28" s="10">
        <v>70.027281241092894</v>
      </c>
      <c r="S28" s="10">
        <v>57.133840954436302</v>
      </c>
      <c r="T28" s="10">
        <v>64.856124715989395</v>
      </c>
      <c r="U28" s="10">
        <v>59.0976230607655</v>
      </c>
      <c r="V28" s="10">
        <v>62.823512758724199</v>
      </c>
      <c r="W28" s="10"/>
    </row>
    <row r="29" spans="1:31">
      <c r="A29" s="152">
        <v>11.11111</v>
      </c>
      <c r="B29" s="10">
        <v>74.491940220583402</v>
      </c>
      <c r="C29" s="10">
        <v>84.0005220909744</v>
      </c>
      <c r="D29" s="10">
        <v>83.855641845591606</v>
      </c>
      <c r="E29" s="10">
        <v>70.562896028204406</v>
      </c>
      <c r="F29" s="10">
        <v>70.469596150486794</v>
      </c>
      <c r="G29" s="10">
        <v>77.492893328463197</v>
      </c>
      <c r="H29" s="10">
        <v>56.527577028489297</v>
      </c>
      <c r="I29" s="10">
        <v>60.547828353434603</v>
      </c>
      <c r="J29" s="10">
        <v>52.392799879945301</v>
      </c>
      <c r="K29" s="10">
        <v>49.766685860758699</v>
      </c>
      <c r="L29" s="10">
        <v>43.715732286709702</v>
      </c>
      <c r="M29" s="10">
        <v>53.8012968530034</v>
      </c>
      <c r="N29" s="10">
        <v>39.311079688513402</v>
      </c>
      <c r="O29" s="10">
        <v>49.092974632295203</v>
      </c>
      <c r="P29" s="10">
        <v>47.211647309540801</v>
      </c>
      <c r="Q29" s="10">
        <v>55.936723807972598</v>
      </c>
      <c r="R29" s="10">
        <v>57.003542489514999</v>
      </c>
      <c r="S29" s="10">
        <v>30.8237306079238</v>
      </c>
      <c r="T29" s="10">
        <v>45.0375521786953</v>
      </c>
      <c r="U29" s="10">
        <v>52.491755390445199</v>
      </c>
      <c r="V29" s="10">
        <v>44.8678850704094</v>
      </c>
      <c r="W29" s="10"/>
    </row>
    <row r="30" spans="1:31">
      <c r="A30" s="152">
        <v>3.7037040000000001</v>
      </c>
      <c r="B30" s="10">
        <v>66.390393526071904</v>
      </c>
      <c r="C30" s="10">
        <v>81.618482020492095</v>
      </c>
      <c r="D30" s="10">
        <v>70.285192194739906</v>
      </c>
      <c r="E30" s="10">
        <v>68.8001238704759</v>
      </c>
      <c r="F30" s="10">
        <v>66.556956597690899</v>
      </c>
      <c r="G30" s="10">
        <v>74.497371722593698</v>
      </c>
      <c r="H30" s="10">
        <v>46.8797636818868</v>
      </c>
      <c r="I30" s="10">
        <v>52.392799879945301</v>
      </c>
      <c r="J30" s="10">
        <v>36.923915361467202</v>
      </c>
      <c r="K30" s="10">
        <v>45.059960674579301</v>
      </c>
      <c r="L30" s="10">
        <v>42.612232478329602</v>
      </c>
      <c r="M30" s="10">
        <v>45.732074868513998</v>
      </c>
      <c r="N30" s="10">
        <v>27.947379234497198</v>
      </c>
      <c r="O30" s="10">
        <v>24.1966087765732</v>
      </c>
      <c r="P30" s="10">
        <v>35.243666130871098</v>
      </c>
      <c r="Q30" s="10">
        <v>24.067551610407602</v>
      </c>
      <c r="R30" s="10">
        <v>35.4462722423551</v>
      </c>
      <c r="S30" s="10">
        <v>43.003583207785297</v>
      </c>
      <c r="T30" s="10">
        <v>29.107749763314398</v>
      </c>
      <c r="U30" s="10">
        <v>34.362097725345798</v>
      </c>
      <c r="V30" s="10">
        <v>24.869950161498799</v>
      </c>
      <c r="W30" s="10"/>
    </row>
    <row r="31" spans="1:31">
      <c r="A31" s="152">
        <v>1.2345680000000001</v>
      </c>
      <c r="B31" s="10">
        <v>53.545650329569902</v>
      </c>
      <c r="C31" s="10">
        <v>63.200417672779501</v>
      </c>
      <c r="D31" s="10">
        <v>61.085949226652701</v>
      </c>
      <c r="E31" s="10">
        <v>70.032873318617106</v>
      </c>
      <c r="F31" s="10">
        <v>63.384760755292298</v>
      </c>
      <c r="G31" s="10">
        <v>64.700884562244894</v>
      </c>
      <c r="H31" s="10">
        <v>30.822453380091499</v>
      </c>
      <c r="I31" s="10">
        <v>17.924476143086199</v>
      </c>
      <c r="J31" s="10">
        <v>8.2727136301526691</v>
      </c>
      <c r="K31" s="10">
        <v>16.143643706295698</v>
      </c>
      <c r="L31" s="10">
        <v>10.090764303610699</v>
      </c>
      <c r="M31" s="10">
        <v>38.334967077959497</v>
      </c>
      <c r="N31" s="10">
        <v>25.970374130339302</v>
      </c>
      <c r="O31" s="10">
        <v>21.339770937320001</v>
      </c>
      <c r="P31" s="10">
        <v>19.956370931679999</v>
      </c>
      <c r="Q31" s="10">
        <v>34.024186652551002</v>
      </c>
      <c r="R31" s="10">
        <v>14.1088806547498</v>
      </c>
      <c r="S31" s="10">
        <v>18.020888472657699</v>
      </c>
      <c r="T31" s="10">
        <v>19.3106861677193</v>
      </c>
      <c r="U31" s="10">
        <v>22.700150228105301</v>
      </c>
      <c r="V31" s="10">
        <v>29.277416871600298</v>
      </c>
      <c r="W31" s="10"/>
    </row>
    <row r="32" spans="1:31">
      <c r="A32" s="152">
        <v>0.41152300000000003</v>
      </c>
      <c r="B32" s="10">
        <v>38.006917705410203</v>
      </c>
      <c r="C32" s="10">
        <v>51.718331919336897</v>
      </c>
      <c r="D32" s="10">
        <v>44.512171245839603</v>
      </c>
      <c r="E32" s="10">
        <v>38.682129301719897</v>
      </c>
      <c r="F32" s="10">
        <v>45.362003525544303</v>
      </c>
      <c r="G32" s="10">
        <v>46.999714145055499</v>
      </c>
      <c r="H32" s="10">
        <v>3.1593330647871499E-3</v>
      </c>
      <c r="I32" s="10">
        <v>13.856834822169001</v>
      </c>
      <c r="J32" s="10">
        <v>16.546217093571499</v>
      </c>
      <c r="K32" s="10">
        <v>0.67346227397993097</v>
      </c>
      <c r="L32" s="10">
        <v>-6.7255713452105699</v>
      </c>
      <c r="M32" s="10">
        <v>23.540751496850302</v>
      </c>
      <c r="N32" s="10">
        <v>18.695639913144699</v>
      </c>
      <c r="O32" s="10">
        <v>18.271837698254402</v>
      </c>
      <c r="P32" s="10">
        <v>0.42360078798206502</v>
      </c>
      <c r="Q32" s="10">
        <v>1.66028747098823</v>
      </c>
      <c r="R32" s="10">
        <v>6.7215684677714904</v>
      </c>
      <c r="S32" s="10">
        <v>-1.1859196221344499</v>
      </c>
      <c r="T32" s="10">
        <v>13.649137145801699</v>
      </c>
      <c r="U32" s="10">
        <v>20.5313198210448</v>
      </c>
      <c r="V32" s="10">
        <v>19.1061161114432</v>
      </c>
      <c r="W32" s="10"/>
      <c r="X32" s="58"/>
      <c r="Y32" s="127"/>
      <c r="Z32" s="127"/>
      <c r="AA32" s="123"/>
      <c r="AB32" s="123"/>
      <c r="AC32" s="123"/>
      <c r="AD32" s="123"/>
      <c r="AE32" s="123"/>
    </row>
    <row r="33" spans="1:26">
      <c r="A33" s="152">
        <v>0.13717399999999999</v>
      </c>
      <c r="B33" s="10">
        <v>23.2539319976506</v>
      </c>
      <c r="C33" s="10">
        <v>13.223259152907399</v>
      </c>
      <c r="D33" s="10">
        <v>23.6520263655942</v>
      </c>
      <c r="E33" s="10">
        <v>40.760532960663198</v>
      </c>
      <c r="F33" s="10">
        <v>46.588797662341797</v>
      </c>
      <c r="G33" s="10">
        <v>22.7377757309152</v>
      </c>
      <c r="H33" s="10">
        <v>4.1379364816087296</v>
      </c>
      <c r="I33" s="10">
        <v>14.674312252683499</v>
      </c>
      <c r="J33" s="10">
        <v>22.063202457961101</v>
      </c>
      <c r="K33" s="10">
        <v>6.0542274827301297</v>
      </c>
      <c r="L33" s="10">
        <v>32.284013503910401</v>
      </c>
      <c r="M33" s="10">
        <v>10.090764303610699</v>
      </c>
      <c r="N33" s="10">
        <v>10.852478960959401</v>
      </c>
      <c r="O33" s="10">
        <v>-0.45804478928731102</v>
      </c>
      <c r="P33" s="10">
        <v>9.6149120368691801</v>
      </c>
      <c r="Q33" s="10">
        <v>7.7069506087381399</v>
      </c>
      <c r="R33" s="10">
        <v>12.330510199926699</v>
      </c>
      <c r="S33" s="10">
        <v>17.310354656134201</v>
      </c>
      <c r="T33" s="10">
        <v>-19.2270160451761</v>
      </c>
      <c r="U33" s="10">
        <v>23.5140675847111</v>
      </c>
      <c r="V33" s="10">
        <v>5.2016542058294704</v>
      </c>
      <c r="W33" s="10"/>
    </row>
    <row r="34" spans="1:26">
      <c r="A34" s="152">
        <v>4.5725000000000002E-2</v>
      </c>
      <c r="B34" s="10">
        <v>15.0466618808327</v>
      </c>
      <c r="C34" s="10">
        <v>28.724140181426598</v>
      </c>
      <c r="D34" s="10">
        <v>5.0159890360895396</v>
      </c>
      <c r="E34" s="10">
        <v>38.682129301719897</v>
      </c>
      <c r="F34" s="10">
        <v>40.0677317410154</v>
      </c>
      <c r="G34" s="10">
        <v>18.578983309247398</v>
      </c>
      <c r="H34" s="10">
        <v>44.1232455828575</v>
      </c>
      <c r="I34" s="10">
        <v>6.8944545806380297</v>
      </c>
      <c r="J34" s="10">
        <v>2.75967743209408</v>
      </c>
      <c r="K34" s="10">
        <v>17.487872094165301</v>
      </c>
      <c r="L34" s="10">
        <v>10.762878497545501</v>
      </c>
      <c r="M34" s="10">
        <v>28.921516705600499</v>
      </c>
      <c r="N34" s="10">
        <v>7.7424474980763698</v>
      </c>
      <c r="O34" s="10">
        <v>10.9938806505283</v>
      </c>
      <c r="P34" s="10">
        <v>10.852478960959401</v>
      </c>
      <c r="Q34" s="10">
        <v>16.732155218046302</v>
      </c>
      <c r="R34" s="10">
        <v>-0.47436784885378103</v>
      </c>
      <c r="S34" s="10">
        <v>11.753328718596</v>
      </c>
      <c r="T34" s="10">
        <v>-1.2432720932025101</v>
      </c>
      <c r="U34" s="10">
        <v>5.8803226389731096</v>
      </c>
      <c r="V34" s="10">
        <v>26.0566503931672</v>
      </c>
      <c r="W34" s="10"/>
    </row>
    <row r="35" spans="1:26">
      <c r="A35" s="15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6">
      <c r="A36" s="101" t="s">
        <v>40</v>
      </c>
      <c r="B36" s="193" t="s">
        <v>2</v>
      </c>
      <c r="C36" s="193"/>
      <c r="D36" s="193"/>
      <c r="E36" s="193" t="s">
        <v>3</v>
      </c>
      <c r="F36" s="193"/>
      <c r="G36" s="193"/>
      <c r="H36" s="193" t="s">
        <v>4</v>
      </c>
      <c r="I36" s="193"/>
      <c r="J36" s="193"/>
      <c r="K36" s="193" t="s">
        <v>5</v>
      </c>
      <c r="L36" s="193"/>
      <c r="M36" s="193"/>
      <c r="N36" s="193" t="s">
        <v>6</v>
      </c>
      <c r="O36" s="193"/>
      <c r="P36" s="193"/>
      <c r="Q36" s="193" t="s">
        <v>7</v>
      </c>
      <c r="R36" s="193"/>
      <c r="S36" s="193"/>
      <c r="T36" s="193" t="s">
        <v>8</v>
      </c>
      <c r="U36" s="193"/>
      <c r="V36" s="193"/>
      <c r="W36" s="10"/>
    </row>
    <row r="37" spans="1:26">
      <c r="A37" s="58">
        <v>300</v>
      </c>
      <c r="B37" s="143">
        <v>79.434299999999993</v>
      </c>
      <c r="C37" s="143">
        <v>77.526380000000003</v>
      </c>
      <c r="D37" s="143">
        <v>82.058130000000006</v>
      </c>
      <c r="E37" s="143">
        <v>85.073319999999995</v>
      </c>
      <c r="F37" s="143">
        <v>85.662360000000007</v>
      </c>
      <c r="G37" s="143">
        <v>76.321179999999998</v>
      </c>
      <c r="H37" s="143">
        <v>90.450130000000001</v>
      </c>
      <c r="I37" s="143">
        <v>75.194280000000006</v>
      </c>
      <c r="J37" s="143">
        <v>73.868020000000001</v>
      </c>
      <c r="K37" s="143">
        <v>89.638649999999998</v>
      </c>
      <c r="L37" s="143">
        <v>93.114630000000005</v>
      </c>
      <c r="M37" s="143">
        <v>88.334810000000004</v>
      </c>
      <c r="N37" s="143">
        <v>83.049570000000003</v>
      </c>
      <c r="O37" s="143">
        <v>87.661490000000001</v>
      </c>
      <c r="P37" s="143">
        <v>89.045159999999996</v>
      </c>
      <c r="Q37" s="143">
        <v>92.867180000000005</v>
      </c>
      <c r="R37" s="143">
        <v>90.666989999999998</v>
      </c>
      <c r="S37" s="143">
        <v>87.112939999999995</v>
      </c>
      <c r="T37" s="143">
        <v>86.278790000000001</v>
      </c>
      <c r="U37" s="143">
        <v>83.936700000000002</v>
      </c>
      <c r="V37" s="143">
        <v>86.680250000000001</v>
      </c>
      <c r="W37" s="143"/>
    </row>
    <row r="38" spans="1:26">
      <c r="A38" s="58">
        <v>100</v>
      </c>
      <c r="B38" s="143">
        <v>70.131029999999996</v>
      </c>
      <c r="C38" s="143">
        <v>71.475390000000004</v>
      </c>
      <c r="D38" s="143">
        <v>75.140960000000007</v>
      </c>
      <c r="E38" s="143">
        <v>71.947190000000006</v>
      </c>
      <c r="F38" s="143">
        <v>77.779169999999993</v>
      </c>
      <c r="G38" s="143">
        <v>77.779169999999993</v>
      </c>
      <c r="H38" s="143">
        <v>55.955840000000002</v>
      </c>
      <c r="I38" s="143">
        <v>71.876720000000006</v>
      </c>
      <c r="J38" s="143">
        <v>69.224189999999993</v>
      </c>
      <c r="K38" s="143">
        <v>73.447509999999994</v>
      </c>
      <c r="L38" s="143">
        <v>75.621200000000002</v>
      </c>
      <c r="M38" s="143">
        <v>72.143050000000002</v>
      </c>
      <c r="N38" s="143">
        <v>65.055850000000007</v>
      </c>
      <c r="O38" s="143">
        <v>69.209180000000003</v>
      </c>
      <c r="P38" s="143">
        <v>59.747630000000001</v>
      </c>
      <c r="Q38" s="143">
        <v>63.073189999999997</v>
      </c>
      <c r="R38" s="143">
        <v>65.61318</v>
      </c>
      <c r="S38" s="143">
        <v>68.492000000000004</v>
      </c>
      <c r="T38" s="143">
        <v>64.651970000000006</v>
      </c>
      <c r="U38" s="143">
        <v>59.089979999999997</v>
      </c>
      <c r="V38" s="143">
        <v>58.419800000000002</v>
      </c>
      <c r="W38" s="143"/>
    </row>
    <row r="39" spans="1:26">
      <c r="A39" s="58">
        <v>33.333333000000003</v>
      </c>
      <c r="B39" s="143">
        <v>69.177409999999995</v>
      </c>
      <c r="C39" s="143">
        <v>59.156880000000001</v>
      </c>
      <c r="D39" s="143">
        <v>62.01979</v>
      </c>
      <c r="E39" s="143">
        <v>63.19923</v>
      </c>
      <c r="F39" s="143">
        <v>58.821069999999999</v>
      </c>
      <c r="G39" s="143">
        <v>85.073319999999995</v>
      </c>
      <c r="H39" s="143">
        <v>31.408539999999999</v>
      </c>
      <c r="I39" s="143">
        <v>36.052370000000003</v>
      </c>
      <c r="J39" s="143">
        <v>46.005049999999997</v>
      </c>
      <c r="K39" s="143">
        <v>57.354990000000001</v>
      </c>
      <c r="L39" s="143">
        <v>56.049900000000001</v>
      </c>
      <c r="M39" s="143">
        <v>52.677520000000001</v>
      </c>
      <c r="N39" s="143">
        <v>41.045729999999999</v>
      </c>
      <c r="O39" s="143">
        <v>42.77805</v>
      </c>
      <c r="P39" s="143">
        <v>42.316160000000004</v>
      </c>
      <c r="Q39" s="143">
        <v>42.40766</v>
      </c>
      <c r="R39" s="143">
        <v>51.89481</v>
      </c>
      <c r="S39" s="143">
        <v>54.266120000000001</v>
      </c>
      <c r="T39" s="143">
        <v>44.271079999999998</v>
      </c>
      <c r="U39" s="143">
        <v>37.896790000000003</v>
      </c>
      <c r="V39" s="143">
        <v>42.66104</v>
      </c>
      <c r="W39" s="143"/>
    </row>
    <row r="40" spans="1:26">
      <c r="A40" s="58">
        <v>11.111110999999999</v>
      </c>
      <c r="B40" s="143">
        <v>48.656799999999997</v>
      </c>
      <c r="C40" s="143">
        <v>47.464089999999999</v>
      </c>
      <c r="D40" s="143">
        <v>54.145589999999999</v>
      </c>
      <c r="E40" s="143">
        <v>61.741239999999998</v>
      </c>
      <c r="F40" s="143">
        <v>64.657229999999998</v>
      </c>
      <c r="G40" s="143">
        <v>64.657229999999998</v>
      </c>
      <c r="H40" s="143">
        <v>23.447150000000001</v>
      </c>
      <c r="I40" s="143">
        <v>24.110279999999999</v>
      </c>
      <c r="J40" s="143">
        <v>8.8487340000000003</v>
      </c>
      <c r="K40" s="143">
        <v>41.68806</v>
      </c>
      <c r="L40" s="143">
        <v>36.89922</v>
      </c>
      <c r="M40" s="143">
        <v>26.011790000000001</v>
      </c>
      <c r="N40" s="143">
        <v>35.617669999999997</v>
      </c>
      <c r="O40" s="143">
        <v>37.349989999999998</v>
      </c>
      <c r="P40" s="143">
        <v>35.617669999999997</v>
      </c>
      <c r="Q40" s="143">
        <v>36.816290000000002</v>
      </c>
      <c r="R40" s="143">
        <v>44.949100000000001</v>
      </c>
      <c r="S40" s="143">
        <v>38.680079999999997</v>
      </c>
      <c r="T40" s="143">
        <v>33.332500000000003</v>
      </c>
      <c r="U40" s="143">
        <v>15.06291</v>
      </c>
      <c r="V40" s="143">
        <v>14.861219999999999</v>
      </c>
      <c r="W40" s="143"/>
    </row>
    <row r="41" spans="1:26">
      <c r="A41" s="58">
        <v>3.7037037000000002</v>
      </c>
      <c r="B41" s="143">
        <v>44.122320000000002</v>
      </c>
      <c r="C41" s="143">
        <v>31.710899999999999</v>
      </c>
      <c r="D41" s="143">
        <v>55.577379999999998</v>
      </c>
      <c r="E41" s="143">
        <v>36.94699</v>
      </c>
      <c r="F41" s="143">
        <v>28.194839999999999</v>
      </c>
      <c r="G41" s="143">
        <v>47.157119999999999</v>
      </c>
      <c r="H41" s="143">
        <v>-6.4147100000000004</v>
      </c>
      <c r="I41" s="143">
        <v>15.48386</v>
      </c>
      <c r="J41" s="143">
        <v>16.81202</v>
      </c>
      <c r="K41" s="143">
        <v>18.823709999999998</v>
      </c>
      <c r="L41" s="143">
        <v>27.536200000000001</v>
      </c>
      <c r="M41" s="143">
        <v>9.7814490000000003</v>
      </c>
      <c r="N41" s="143">
        <v>21.060189999999999</v>
      </c>
      <c r="O41" s="143">
        <v>24.2957</v>
      </c>
      <c r="P41" s="143">
        <v>28.2242</v>
      </c>
      <c r="Q41" s="143">
        <v>20.376149999999999</v>
      </c>
      <c r="R41" s="143">
        <v>10.54241</v>
      </c>
      <c r="S41" s="143">
        <v>11.05138</v>
      </c>
      <c r="T41" s="143">
        <v>16.675640000000001</v>
      </c>
      <c r="U41" s="143">
        <v>13.51703</v>
      </c>
      <c r="V41" s="143">
        <v>10.290620000000001</v>
      </c>
      <c r="W41" s="143"/>
      <c r="X41" s="58"/>
      <c r="Y41" s="27"/>
      <c r="Z41" s="27"/>
    </row>
    <row r="42" spans="1:26">
      <c r="A42" s="58">
        <v>1.2345679000000001</v>
      </c>
      <c r="B42" s="143">
        <v>22.877610000000001</v>
      </c>
      <c r="C42" s="143">
        <v>31.949310000000001</v>
      </c>
      <c r="D42" s="143">
        <v>29.56184</v>
      </c>
      <c r="E42" s="143">
        <v>21.844740000000002</v>
      </c>
      <c r="F42" s="143">
        <v>16.606839999999998</v>
      </c>
      <c r="G42" s="143">
        <v>14.36144</v>
      </c>
      <c r="H42" s="143">
        <v>1.548576</v>
      </c>
      <c r="I42" s="143">
        <v>-11.723599999999999</v>
      </c>
      <c r="J42" s="143">
        <v>12.1663</v>
      </c>
      <c r="K42" s="143">
        <v>31.891670000000001</v>
      </c>
      <c r="L42" s="143">
        <v>6.1853870000000004</v>
      </c>
      <c r="M42" s="143">
        <v>10.870939999999999</v>
      </c>
      <c r="N42" s="143">
        <v>21.98462</v>
      </c>
      <c r="O42" s="143">
        <v>16.55293</v>
      </c>
      <c r="P42" s="143">
        <v>23.486820000000002</v>
      </c>
      <c r="Q42" s="143">
        <v>16.476980000000001</v>
      </c>
      <c r="R42" s="143">
        <v>23.766359999999999</v>
      </c>
      <c r="S42" s="143">
        <v>7.1512359999999999</v>
      </c>
      <c r="T42" s="143">
        <v>8.7443519999999992</v>
      </c>
      <c r="U42" s="143">
        <v>8.2065210000000004</v>
      </c>
      <c r="V42" s="143">
        <v>8.3409790000000008</v>
      </c>
      <c r="W42" s="143"/>
      <c r="X42" s="58"/>
      <c r="Y42" s="27"/>
      <c r="Z42" s="27"/>
    </row>
    <row r="43" spans="1:26">
      <c r="A43" s="58">
        <v>0.41152260000000002</v>
      </c>
      <c r="B43" s="143">
        <v>2.8187829999999998</v>
      </c>
      <c r="C43" s="143">
        <v>18.818580000000001</v>
      </c>
      <c r="D43" s="143">
        <v>31.233409999999999</v>
      </c>
      <c r="E43" s="143">
        <v>35.279629999999997</v>
      </c>
      <c r="F43" s="143">
        <v>-2.3330600000000001</v>
      </c>
      <c r="G43" s="143">
        <v>20.980799999999999</v>
      </c>
      <c r="H43" s="143">
        <v>7.5205690000000001</v>
      </c>
      <c r="I43" s="143">
        <v>0</v>
      </c>
      <c r="J43" s="143">
        <v>0</v>
      </c>
      <c r="K43" s="143">
        <v>15.882529999999999</v>
      </c>
      <c r="L43" s="143">
        <v>5.7495289999999999</v>
      </c>
      <c r="M43" s="143">
        <v>-9.9481999999999999</v>
      </c>
      <c r="N43" s="143">
        <v>20.713529999999999</v>
      </c>
      <c r="O43" s="143">
        <v>16.437370000000001</v>
      </c>
      <c r="P43" s="143">
        <v>7.1891020000000001</v>
      </c>
      <c r="Q43" s="143">
        <v>11.899179999999999</v>
      </c>
      <c r="R43" s="143">
        <v>38.510910000000003</v>
      </c>
      <c r="S43" s="143">
        <v>17.83325</v>
      </c>
      <c r="T43" s="143">
        <v>15.66778</v>
      </c>
      <c r="U43" s="143">
        <v>2.759449</v>
      </c>
      <c r="V43" s="143">
        <v>6.6598740000000003</v>
      </c>
      <c r="W43" s="143"/>
      <c r="X43" s="58"/>
      <c r="Y43" s="27"/>
      <c r="Z43" s="27"/>
    </row>
    <row r="44" spans="1:26">
      <c r="A44" s="58">
        <v>0.1371742</v>
      </c>
      <c r="B44" s="143">
        <v>19.534469999999999</v>
      </c>
      <c r="C44" s="143">
        <v>-0.76412999999999998</v>
      </c>
      <c r="D44" s="143">
        <v>13.326370000000001</v>
      </c>
      <c r="E44" s="143">
        <v>0</v>
      </c>
      <c r="F44" s="143">
        <v>31.115010000000002</v>
      </c>
      <c r="G44" s="143">
        <v>10.694739999999999</v>
      </c>
      <c r="H44" s="143">
        <v>-3.7602799999999998</v>
      </c>
      <c r="I44" s="143">
        <v>6.1943039999999998</v>
      </c>
      <c r="J44" s="143">
        <v>0.22231100000000001</v>
      </c>
      <c r="K44" s="143">
        <v>15.555870000000001</v>
      </c>
      <c r="L44" s="143">
        <v>9.8903359999999996</v>
      </c>
      <c r="M44" s="143">
        <v>-5.6957100000000001</v>
      </c>
      <c r="N44" s="143">
        <v>7.3046559999999996</v>
      </c>
      <c r="O44" s="143">
        <v>8.1138630000000003</v>
      </c>
      <c r="P44" s="143">
        <v>18.171009999999999</v>
      </c>
      <c r="Q44" s="143">
        <v>2.5724670000000001</v>
      </c>
      <c r="R44" s="143">
        <v>26.478429999999999</v>
      </c>
      <c r="S44" s="143">
        <v>14.2729</v>
      </c>
      <c r="T44" s="143">
        <v>9.6855569999999993</v>
      </c>
      <c r="U44" s="143">
        <v>-2.8910300000000002</v>
      </c>
      <c r="V44" s="143">
        <v>1.8850899999999999</v>
      </c>
      <c r="W44" s="143"/>
      <c r="X44" s="58"/>
      <c r="Y44" s="27"/>
      <c r="Z44" s="27"/>
    </row>
    <row r="45" spans="1:26">
      <c r="A45" s="58">
        <v>4.57247E-2</v>
      </c>
      <c r="B45" s="143">
        <v>10.938219999999999</v>
      </c>
      <c r="C45" s="143">
        <v>0</v>
      </c>
      <c r="D45" s="143">
        <v>15.237030000000001</v>
      </c>
      <c r="E45" s="143">
        <v>17.59599</v>
      </c>
      <c r="F45" s="143">
        <v>5.8138560000000004</v>
      </c>
      <c r="G45" s="143">
        <v>17.274619999999999</v>
      </c>
      <c r="H45" s="143">
        <v>0</v>
      </c>
      <c r="I45" s="143">
        <v>0.22231100000000001</v>
      </c>
      <c r="J45" s="143">
        <v>10.175000000000001</v>
      </c>
      <c r="K45" s="143">
        <v>1.063045</v>
      </c>
      <c r="L45" s="143">
        <v>-1.0079800000000001</v>
      </c>
      <c r="M45" s="143">
        <v>0</v>
      </c>
      <c r="N45" s="143">
        <v>0.71346299999999996</v>
      </c>
      <c r="O45" s="143">
        <v>12.275779999999999</v>
      </c>
      <c r="P45" s="143">
        <v>8.4608550000000005</v>
      </c>
      <c r="Q45" s="143">
        <v>0</v>
      </c>
      <c r="R45" s="143">
        <v>7.1512359999999999</v>
      </c>
      <c r="S45" s="143">
        <v>7.8293749999999998</v>
      </c>
      <c r="T45" s="143">
        <v>0.74162499999999998</v>
      </c>
      <c r="U45" s="143">
        <v>5.2478749999999996</v>
      </c>
      <c r="V45" s="143">
        <v>-3.1601400000000002</v>
      </c>
      <c r="W45" s="143"/>
      <c r="X45" s="58"/>
      <c r="Y45" s="27"/>
      <c r="Z45" s="27"/>
    </row>
    <row r="46" spans="1:26">
      <c r="A46" s="58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58"/>
      <c r="Y46" s="27"/>
      <c r="Z46" s="27"/>
    </row>
    <row r="47" spans="1:26">
      <c r="A47" s="101" t="s">
        <v>41</v>
      </c>
      <c r="B47" s="193" t="s">
        <v>2</v>
      </c>
      <c r="C47" s="193"/>
      <c r="D47" s="193"/>
      <c r="E47" s="193" t="s">
        <v>3</v>
      </c>
      <c r="F47" s="193"/>
      <c r="G47" s="193"/>
      <c r="H47" s="193" t="s">
        <v>4</v>
      </c>
      <c r="I47" s="193"/>
      <c r="J47" s="193"/>
      <c r="K47" s="193" t="s">
        <v>5</v>
      </c>
      <c r="L47" s="193"/>
      <c r="M47" s="193"/>
      <c r="N47" s="193" t="s">
        <v>6</v>
      </c>
      <c r="O47" s="193"/>
      <c r="P47" s="193"/>
      <c r="Q47" s="193" t="s">
        <v>7</v>
      </c>
      <c r="R47" s="193"/>
      <c r="S47" s="193"/>
      <c r="T47" s="193" t="s">
        <v>8</v>
      </c>
      <c r="U47" s="193"/>
      <c r="V47" s="193"/>
      <c r="W47" s="10"/>
    </row>
    <row r="48" spans="1:26">
      <c r="A48" s="154">
        <v>300</v>
      </c>
      <c r="B48" s="143">
        <v>88.818690636535194</v>
      </c>
      <c r="C48" s="143">
        <v>86.598965398850794</v>
      </c>
      <c r="D48" s="143">
        <v>96.590909090547697</v>
      </c>
      <c r="E48" s="143">
        <v>84.290021453006304</v>
      </c>
      <c r="F48" s="143">
        <v>81.253551342262398</v>
      </c>
      <c r="G48" s="143">
        <v>83.480025511683195</v>
      </c>
      <c r="H48" s="143">
        <v>85.035405644939303</v>
      </c>
      <c r="I48" s="143">
        <v>81.026748579085705</v>
      </c>
      <c r="J48" s="143">
        <v>86.072015172551502</v>
      </c>
      <c r="K48" s="143">
        <v>89.284763568131197</v>
      </c>
      <c r="L48" s="143">
        <v>92.304520870801696</v>
      </c>
      <c r="M48" s="143">
        <v>89.494477954018706</v>
      </c>
      <c r="N48" s="143">
        <v>74.630055045724404</v>
      </c>
      <c r="O48" s="143">
        <v>79.884857013418696</v>
      </c>
      <c r="P48" s="143">
        <v>81.005616828837105</v>
      </c>
      <c r="Q48" s="143">
        <v>87.485595003758405</v>
      </c>
      <c r="R48" s="143">
        <v>85.449891256698606</v>
      </c>
      <c r="S48" s="143">
        <v>87.960276818794</v>
      </c>
      <c r="T48" s="143">
        <v>78.365013653961</v>
      </c>
      <c r="U48" s="143">
        <v>82.892962339222095</v>
      </c>
      <c r="V48" s="143">
        <v>80.159654054924502</v>
      </c>
      <c r="W48" s="143"/>
      <c r="X48" s="58"/>
      <c r="Y48" s="27"/>
      <c r="Z48" s="27"/>
    </row>
    <row r="49" spans="1:26">
      <c r="A49" s="154">
        <v>100</v>
      </c>
      <c r="B49" s="143">
        <v>80.655317162128497</v>
      </c>
      <c r="C49" s="143">
        <v>77.325729305601897</v>
      </c>
      <c r="D49" s="143">
        <v>78.829927066955307</v>
      </c>
      <c r="E49" s="143">
        <v>72.1418217661043</v>
      </c>
      <c r="F49" s="143">
        <v>75.786513596567502</v>
      </c>
      <c r="G49" s="143">
        <v>81.030903925320303</v>
      </c>
      <c r="H49" s="143">
        <v>70.309319201323703</v>
      </c>
      <c r="I49" s="143">
        <v>68.462357492657205</v>
      </c>
      <c r="J49" s="143">
        <v>68.868743515518901</v>
      </c>
      <c r="K49" s="143">
        <v>82.185639434095805</v>
      </c>
      <c r="L49" s="143">
        <v>80.185886156902697</v>
      </c>
      <c r="M49" s="143">
        <v>79.257753913478197</v>
      </c>
      <c r="N49" s="143">
        <v>58.753192291193102</v>
      </c>
      <c r="O49" s="143">
        <v>59.708774841738503</v>
      </c>
      <c r="P49" s="143">
        <v>62.916300831098198</v>
      </c>
      <c r="Q49" s="143">
        <v>77.517641187178199</v>
      </c>
      <c r="R49" s="143">
        <v>68.853878389651996</v>
      </c>
      <c r="S49" s="143">
        <v>66.1515071663718</v>
      </c>
      <c r="T49" s="143">
        <v>58.062714286672801</v>
      </c>
      <c r="U49" s="143">
        <v>54.1035688166344</v>
      </c>
      <c r="V49" s="143">
        <v>50.226280016908099</v>
      </c>
      <c r="W49" s="143"/>
      <c r="X49" s="58"/>
      <c r="Y49" s="27"/>
      <c r="Z49" s="27"/>
    </row>
    <row r="50" spans="1:26">
      <c r="A50" s="154">
        <f>100/3</f>
        <v>33.3333333333333</v>
      </c>
      <c r="B50" s="143">
        <v>67.839425030512203</v>
      </c>
      <c r="C50" s="143">
        <v>69.4962686534829</v>
      </c>
      <c r="D50" s="143">
        <v>77.268487107495403</v>
      </c>
      <c r="E50" s="143">
        <v>56.142517539282203</v>
      </c>
      <c r="F50" s="143">
        <v>70.852322142981393</v>
      </c>
      <c r="G50" s="143">
        <v>60.851162521018097</v>
      </c>
      <c r="H50" s="143">
        <v>44.161471519705302</v>
      </c>
      <c r="I50" s="143">
        <v>47.342837351821103</v>
      </c>
      <c r="J50" s="143">
        <v>47.662713212763599</v>
      </c>
      <c r="K50" s="143">
        <v>63.460352294197499</v>
      </c>
      <c r="L50" s="143">
        <v>60.296456930638399</v>
      </c>
      <c r="M50" s="143">
        <v>58.812873736357197</v>
      </c>
      <c r="N50" s="143">
        <v>26.561666847078701</v>
      </c>
      <c r="O50" s="143">
        <v>40.345749692297197</v>
      </c>
      <c r="P50" s="143">
        <v>38.167574740707799</v>
      </c>
      <c r="Q50" s="143">
        <v>38.481163911553097</v>
      </c>
      <c r="R50" s="143">
        <v>31.577330391415199</v>
      </c>
      <c r="S50" s="143">
        <v>45.236363371418797</v>
      </c>
      <c r="T50" s="143">
        <v>42.537456136231</v>
      </c>
      <c r="U50" s="143">
        <v>43.911071450137896</v>
      </c>
      <c r="V50" s="143">
        <v>38.446970967720297</v>
      </c>
      <c r="W50" s="143"/>
      <c r="X50" s="58"/>
      <c r="Y50" s="27"/>
      <c r="Z50" s="27"/>
    </row>
    <row r="51" spans="1:26">
      <c r="A51" s="154">
        <f t="shared" ref="A51:A56" si="0">A50/3</f>
        <v>11.1111111111111</v>
      </c>
      <c r="B51" s="143">
        <v>54.406589208192699</v>
      </c>
      <c r="C51" s="143">
        <v>58.8460396835615</v>
      </c>
      <c r="D51" s="143">
        <v>60.556945382521697</v>
      </c>
      <c r="E51" s="143">
        <v>45.857250536325203</v>
      </c>
      <c r="F51" s="143">
        <v>63.433640633153601</v>
      </c>
      <c r="G51" s="143">
        <v>51.655360352525101</v>
      </c>
      <c r="H51" s="143">
        <v>37.386304170939198</v>
      </c>
      <c r="I51" s="143">
        <v>34.261048950837399</v>
      </c>
      <c r="J51" s="143">
        <v>27.710475291669301</v>
      </c>
      <c r="K51" s="143">
        <v>43.906920574734301</v>
      </c>
      <c r="L51" s="143">
        <v>43.531642199988298</v>
      </c>
      <c r="M51" s="143">
        <v>40.868334426272099</v>
      </c>
      <c r="N51" s="143">
        <v>22.242802561049398</v>
      </c>
      <c r="O51" s="143">
        <v>27.691848181246002</v>
      </c>
      <c r="P51" s="143">
        <v>29.091244402214699</v>
      </c>
      <c r="Q51" s="143">
        <v>31.9059282403501</v>
      </c>
      <c r="R51" s="143">
        <v>21.614476763177699</v>
      </c>
      <c r="S51" s="143">
        <v>33.797369517145803</v>
      </c>
      <c r="T51" s="143">
        <v>13.9875940177535</v>
      </c>
      <c r="U51" s="143">
        <v>13.2218651243618</v>
      </c>
      <c r="V51" s="143">
        <v>24.233264672137199</v>
      </c>
      <c r="W51" s="143"/>
      <c r="X51" s="58"/>
      <c r="Y51" s="27"/>
      <c r="Z51" s="27"/>
    </row>
    <row r="52" spans="1:26">
      <c r="A52" s="154">
        <f t="shared" si="0"/>
        <v>3.7037037037037002</v>
      </c>
      <c r="B52" s="143">
        <v>53.201322925839698</v>
      </c>
      <c r="C52" s="143">
        <v>47.950941310629098</v>
      </c>
      <c r="D52" s="143">
        <v>41.081877537852101</v>
      </c>
      <c r="E52" s="143">
        <v>28.952861367194298</v>
      </c>
      <c r="F52" s="143">
        <v>31.0610540963646</v>
      </c>
      <c r="G52" s="143">
        <v>45.980750275410202</v>
      </c>
      <c r="H52" s="143">
        <v>11.507212709129201</v>
      </c>
      <c r="I52" s="143">
        <v>13.0486665033258</v>
      </c>
      <c r="J52" s="143">
        <v>22.5058001131287</v>
      </c>
      <c r="K52" s="143">
        <v>28.573747394801899</v>
      </c>
      <c r="L52" s="143">
        <v>39.014342386328998</v>
      </c>
      <c r="M52" s="143">
        <v>37.310656477447601</v>
      </c>
      <c r="N52" s="143">
        <v>8.4216350143728302</v>
      </c>
      <c r="O52" s="143">
        <v>15.8065020506838</v>
      </c>
      <c r="P52" s="143">
        <v>18.830007737672801</v>
      </c>
      <c r="Q52" s="143">
        <v>9.3740247407708903</v>
      </c>
      <c r="R52" s="143">
        <v>18.809737473876801</v>
      </c>
      <c r="S52" s="143">
        <v>10.011548283604601</v>
      </c>
      <c r="T52" s="143">
        <v>7.5655356579733102</v>
      </c>
      <c r="U52" s="143">
        <v>15.1067491495629</v>
      </c>
      <c r="V52" s="143">
        <v>5.0902100764219202</v>
      </c>
      <c r="W52" s="143"/>
      <c r="X52" s="58"/>
      <c r="Y52" s="27"/>
      <c r="Z52" s="27"/>
    </row>
    <row r="53" spans="1:26">
      <c r="A53" s="154">
        <f t="shared" si="0"/>
        <v>1.2345679012345701</v>
      </c>
      <c r="B53" s="143">
        <v>39.068860237774402</v>
      </c>
      <c r="C53" s="143">
        <v>24.427578010984899</v>
      </c>
      <c r="D53" s="143">
        <v>1.1109226489474799</v>
      </c>
      <c r="E53" s="143">
        <v>18.857192555227002</v>
      </c>
      <c r="F53" s="143">
        <v>16.221371832782499</v>
      </c>
      <c r="G53" s="143">
        <v>26.559401635067001</v>
      </c>
      <c r="H53" s="143">
        <v>-0.35209030934945001</v>
      </c>
      <c r="I53" s="143">
        <v>10.922512908465601</v>
      </c>
      <c r="J53" s="143">
        <v>23.6210552424856</v>
      </c>
      <c r="K53" s="143">
        <v>9.9263727202487999</v>
      </c>
      <c r="L53" s="143">
        <v>23.028327673858399</v>
      </c>
      <c r="M53" s="143">
        <v>14.198248268070801</v>
      </c>
      <c r="N53" s="143">
        <v>-5.0904265342041199</v>
      </c>
      <c r="O53" s="143">
        <v>8.3512743105252394</v>
      </c>
      <c r="P53" s="143">
        <v>12.993677559546001</v>
      </c>
      <c r="Q53" s="143">
        <v>3.63449135943103</v>
      </c>
      <c r="R53" s="143">
        <v>8.2261180645029093</v>
      </c>
      <c r="S53" s="143">
        <v>20.7219438032105</v>
      </c>
      <c r="T53" s="143">
        <v>4.7366160989257997</v>
      </c>
      <c r="U53" s="143">
        <v>7.2119416804771799</v>
      </c>
      <c r="V53" s="143">
        <v>2.2607873001388898</v>
      </c>
      <c r="W53" s="143"/>
      <c r="X53" s="58"/>
      <c r="Y53" s="27"/>
      <c r="Z53" s="27"/>
    </row>
    <row r="54" spans="1:26">
      <c r="A54" s="154">
        <f t="shared" si="0"/>
        <v>0.41152263374485598</v>
      </c>
      <c r="B54" s="143">
        <v>18.878264916773901</v>
      </c>
      <c r="C54" s="143">
        <v>9.5923083350568596</v>
      </c>
      <c r="D54" s="143">
        <v>27.7603459896286</v>
      </c>
      <c r="E54" s="143">
        <v>20.681277903403501</v>
      </c>
      <c r="F54" s="143">
        <v>18.857192555227002</v>
      </c>
      <c r="G54" s="143">
        <v>3.4481359076940898</v>
      </c>
      <c r="H54" s="143">
        <v>4.3822236741410201</v>
      </c>
      <c r="I54" s="143">
        <v>18.946935392638199</v>
      </c>
      <c r="J54" s="143">
        <v>20.699976103836399</v>
      </c>
      <c r="K54" s="143">
        <v>6.4021322044682796</v>
      </c>
      <c r="L54" s="143">
        <v>12.2351787766444</v>
      </c>
      <c r="M54" s="143">
        <v>37.765145858627797</v>
      </c>
      <c r="N54" s="143">
        <v>-8.6814283824254606</v>
      </c>
      <c r="O54" s="143">
        <v>-3.6120499220219</v>
      </c>
      <c r="P54" s="143">
        <v>9.8286486334788705</v>
      </c>
      <c r="Q54" s="143">
        <v>14.2195679654742</v>
      </c>
      <c r="R54" s="143">
        <v>11.7969785027062</v>
      </c>
      <c r="S54" s="143">
        <v>17.534690388209398</v>
      </c>
      <c r="T54" s="143">
        <v>-3.1638944988291802</v>
      </c>
      <c r="U54" s="143">
        <v>11.9257452647258</v>
      </c>
      <c r="V54" s="143">
        <v>6.3868331532933897</v>
      </c>
      <c r="W54" s="143"/>
      <c r="X54" s="58"/>
      <c r="Y54" s="27"/>
      <c r="Z54" s="27"/>
    </row>
    <row r="55" spans="1:26">
      <c r="A55" s="154">
        <f t="shared" si="0"/>
        <v>0.13717421124828499</v>
      </c>
      <c r="B55" s="143">
        <v>9.9930037218021806</v>
      </c>
      <c r="C55" s="143">
        <v>23.317715392142699</v>
      </c>
      <c r="D55" s="143">
        <v>8.8831411029599696</v>
      </c>
      <c r="E55" s="143">
        <v>12.7749753580333</v>
      </c>
      <c r="F55" s="143">
        <v>20.8842117469705</v>
      </c>
      <c r="G55" s="143">
        <v>16.6272395199165</v>
      </c>
      <c r="H55" s="143">
        <v>-6.15280840419</v>
      </c>
      <c r="I55" s="143">
        <v>14.908786226130299</v>
      </c>
      <c r="J55" s="143">
        <v>10.922512908465601</v>
      </c>
      <c r="K55" s="143">
        <v>19.815087748914099</v>
      </c>
      <c r="L55" s="143">
        <v>5.4814665723060099</v>
      </c>
      <c r="M55" s="143">
        <v>5.8333712074484296</v>
      </c>
      <c r="N55" s="143">
        <v>6.52209646833367</v>
      </c>
      <c r="O55" s="143">
        <v>7.01462139526679</v>
      </c>
      <c r="P55" s="143">
        <v>5.6779684800083396</v>
      </c>
      <c r="Q55" s="143">
        <v>-14.993946562169301</v>
      </c>
      <c r="R55" s="143">
        <v>6.5681925539679904</v>
      </c>
      <c r="S55" s="143">
        <v>19.447261016710499</v>
      </c>
      <c r="T55" s="143">
        <v>-7.05678303285673</v>
      </c>
      <c r="U55" s="143">
        <v>13.3984943740313</v>
      </c>
      <c r="V55" s="143">
        <v>9.4512583785669708</v>
      </c>
      <c r="W55" s="143"/>
      <c r="X55" s="58"/>
      <c r="Y55" s="27"/>
      <c r="Z55" s="27"/>
    </row>
    <row r="56" spans="1:26">
      <c r="A56" s="154">
        <f t="shared" si="0"/>
        <v>4.5724737082761799E-2</v>
      </c>
      <c r="B56" s="143">
        <v>13.7773490410636</v>
      </c>
      <c r="C56" s="143">
        <v>13.325771700445801</v>
      </c>
      <c r="D56" s="143">
        <v>12.161847005614201</v>
      </c>
      <c r="E56" s="143">
        <v>-7.5033339131443197</v>
      </c>
      <c r="F56" s="143">
        <v>-10.545602133704399</v>
      </c>
      <c r="G56" s="143">
        <v>2.2316924682553498</v>
      </c>
      <c r="H56" s="143">
        <v>4.5417835007577203</v>
      </c>
      <c r="I56" s="143">
        <v>9.5403164578020991</v>
      </c>
      <c r="J56" s="143">
        <v>14.855549203410799</v>
      </c>
      <c r="K56" s="143">
        <v>19.474220713028899</v>
      </c>
      <c r="L56" s="143">
        <v>1.7400450593757899</v>
      </c>
      <c r="M56" s="143">
        <v>34.811938786773098</v>
      </c>
      <c r="N56" s="143">
        <v>-12.4845146314182</v>
      </c>
      <c r="O56" s="143">
        <v>-1.35950510967049</v>
      </c>
      <c r="P56" s="143">
        <v>11.516704152283801</v>
      </c>
      <c r="Q56" s="143">
        <v>-5.9334619714169703</v>
      </c>
      <c r="R56" s="143">
        <v>8.0986133559361804</v>
      </c>
      <c r="S56" s="143">
        <v>4.7823980356989999</v>
      </c>
      <c r="T56" s="143">
        <v>6.5637978811199602</v>
      </c>
      <c r="U56" s="143">
        <v>2.3198314557739099</v>
      </c>
      <c r="V56" s="143">
        <v>5.9154863426842299</v>
      </c>
      <c r="W56" s="143"/>
      <c r="X56" s="58"/>
      <c r="Y56" s="27"/>
      <c r="Z56" s="27"/>
    </row>
    <row r="57" spans="1:26">
      <c r="A57" s="154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58"/>
      <c r="Y57" s="27"/>
      <c r="Z57" s="27"/>
    </row>
    <row r="58" spans="1:26">
      <c r="A58" s="101" t="s">
        <v>42</v>
      </c>
      <c r="B58" s="193" t="s">
        <v>2</v>
      </c>
      <c r="C58" s="193"/>
      <c r="D58" s="193"/>
      <c r="E58" s="193" t="s">
        <v>3</v>
      </c>
      <c r="F58" s="193"/>
      <c r="G58" s="193"/>
      <c r="H58" s="193" t="s">
        <v>4</v>
      </c>
      <c r="I58" s="193"/>
      <c r="J58" s="193"/>
      <c r="K58" s="193" t="s">
        <v>5</v>
      </c>
      <c r="L58" s="193"/>
      <c r="M58" s="193"/>
      <c r="N58" s="193" t="s">
        <v>6</v>
      </c>
      <c r="O58" s="193"/>
      <c r="P58" s="193"/>
      <c r="Q58" s="193" t="s">
        <v>7</v>
      </c>
      <c r="R58" s="193"/>
      <c r="S58" s="193"/>
      <c r="T58" s="193" t="s">
        <v>8</v>
      </c>
      <c r="U58" s="193"/>
      <c r="V58" s="193"/>
      <c r="W58" s="10"/>
    </row>
    <row r="59" spans="1:26">
      <c r="A59" s="154">
        <v>300</v>
      </c>
      <c r="B59" s="143">
        <v>91.115754771469199</v>
      </c>
      <c r="C59" s="143">
        <v>89.613415275191002</v>
      </c>
      <c r="D59" s="143">
        <v>88.026711141972697</v>
      </c>
      <c r="E59" s="143">
        <v>84.858909321496498</v>
      </c>
      <c r="F59" s="143">
        <v>90.1870640456563</v>
      </c>
      <c r="G59" s="143">
        <v>89.543436905516799</v>
      </c>
      <c r="H59" s="143">
        <v>81.870392847627201</v>
      </c>
      <c r="I59" s="143">
        <v>80.260516889191507</v>
      </c>
      <c r="J59" s="143">
        <v>76.681962165842705</v>
      </c>
      <c r="K59" s="143">
        <v>89.106054722286302</v>
      </c>
      <c r="L59" s="143">
        <v>87.468940971056298</v>
      </c>
      <c r="M59" s="143">
        <v>88.207350223216196</v>
      </c>
      <c r="N59" s="143">
        <v>72.983623784919899</v>
      </c>
      <c r="O59" s="143">
        <v>73.795361307402601</v>
      </c>
      <c r="P59" s="143">
        <v>77.551920887589503</v>
      </c>
      <c r="Q59" s="143">
        <v>81.417814326761103</v>
      </c>
      <c r="R59" s="143">
        <v>77.653128931242506</v>
      </c>
      <c r="S59" s="143">
        <v>78.500250698804194</v>
      </c>
      <c r="T59" s="143">
        <v>78.304129969264196</v>
      </c>
      <c r="U59" s="143">
        <v>81.813503755151203</v>
      </c>
      <c r="V59" s="143">
        <v>81.464627148733797</v>
      </c>
      <c r="W59" s="143"/>
      <c r="X59" s="58"/>
      <c r="Y59" s="27"/>
      <c r="Z59" s="27"/>
    </row>
    <row r="60" spans="1:26">
      <c r="A60" s="154">
        <v>100</v>
      </c>
      <c r="B60" s="143">
        <v>80.828460734751104</v>
      </c>
      <c r="C60" s="143">
        <v>81.310637082800596</v>
      </c>
      <c r="D60" s="143">
        <v>77.301369951912207</v>
      </c>
      <c r="E60" s="143">
        <v>84.216867469879503</v>
      </c>
      <c r="F60" s="143">
        <v>80.401077996195298</v>
      </c>
      <c r="G60" s="143">
        <v>80.114140773620804</v>
      </c>
      <c r="H60" s="143">
        <v>49.5029456170994</v>
      </c>
      <c r="I60" s="143">
        <v>58.243287249474498</v>
      </c>
      <c r="J60" s="143">
        <v>51.364457207140497</v>
      </c>
      <c r="K60" s="143">
        <v>86.259573188357095</v>
      </c>
      <c r="L60" s="143">
        <v>76.709305007693601</v>
      </c>
      <c r="M60" s="143">
        <v>80.9601948069012</v>
      </c>
      <c r="N60" s="143">
        <v>48.254932736936397</v>
      </c>
      <c r="O60" s="143">
        <v>47.106374665705602</v>
      </c>
      <c r="P60" s="143">
        <v>64.237067775030795</v>
      </c>
      <c r="Q60" s="143">
        <v>73.656209374033594</v>
      </c>
      <c r="R60" s="143">
        <v>69.7311968390934</v>
      </c>
      <c r="S60" s="143">
        <v>63.316610071786897</v>
      </c>
      <c r="T60" s="143">
        <v>63.238794399790997</v>
      </c>
      <c r="U60" s="143">
        <v>64.334640307370194</v>
      </c>
      <c r="V60" s="143">
        <v>62.798031598910697</v>
      </c>
      <c r="W60" s="143"/>
      <c r="X60" s="58"/>
      <c r="Y60" s="27"/>
      <c r="Z60" s="27"/>
    </row>
    <row r="61" spans="1:26">
      <c r="A61" s="154">
        <f>100/3</f>
        <v>33.3333333333333</v>
      </c>
      <c r="B61" s="143">
        <v>69.262717969018695</v>
      </c>
      <c r="C61" s="143">
        <v>65.073040306827707</v>
      </c>
      <c r="D61" s="143">
        <v>65.964709623409206</v>
      </c>
      <c r="E61" s="143">
        <v>64.473684210526301</v>
      </c>
      <c r="F61" s="143">
        <v>65.023779327837701</v>
      </c>
      <c r="G61" s="143">
        <v>61.766011414077397</v>
      </c>
      <c r="H61" s="143">
        <v>37.771988513573497</v>
      </c>
      <c r="I61" s="143">
        <v>43.872228307528303</v>
      </c>
      <c r="J61" s="143">
        <v>28.019183516385901</v>
      </c>
      <c r="K61" s="143">
        <v>66.9003454085193</v>
      </c>
      <c r="L61" s="143">
        <v>56.272390968574499</v>
      </c>
      <c r="M61" s="143">
        <v>61.572061326800799</v>
      </c>
      <c r="N61" s="143">
        <v>35.5042540435307</v>
      </c>
      <c r="O61" s="143">
        <v>31.934966688447702</v>
      </c>
      <c r="P61" s="143">
        <v>32.6409425586236</v>
      </c>
      <c r="Q61" s="143">
        <v>47.810513737393698</v>
      </c>
      <c r="R61" s="143">
        <v>44.409416667417297</v>
      </c>
      <c r="S61" s="143">
        <v>40.656590676406402</v>
      </c>
      <c r="T61" s="143">
        <v>43.663155878625403</v>
      </c>
      <c r="U61" s="143">
        <v>21.393239576281001</v>
      </c>
      <c r="V61" s="143">
        <v>41.812824912553602</v>
      </c>
      <c r="W61" s="143"/>
      <c r="X61" s="58"/>
      <c r="Y61" s="27"/>
      <c r="Z61" s="27"/>
    </row>
    <row r="62" spans="1:26">
      <c r="A62" s="154">
        <f t="shared" ref="A62:A67" si="1">A61/3</f>
        <v>11.1111111111111</v>
      </c>
      <c r="B62" s="143">
        <v>49.843925421660899</v>
      </c>
      <c r="C62" s="143">
        <v>61.254567047172799</v>
      </c>
      <c r="D62" s="143">
        <v>59.6152972555535</v>
      </c>
      <c r="E62" s="143">
        <v>37.162333544705099</v>
      </c>
      <c r="F62" s="143">
        <v>53.765060240963898</v>
      </c>
      <c r="G62" s="143">
        <v>43.503487634749497</v>
      </c>
      <c r="H62" s="143">
        <v>26.495751798454702</v>
      </c>
      <c r="I62" s="143">
        <v>30.893158471239499</v>
      </c>
      <c r="J62" s="143">
        <v>17.699162201367699</v>
      </c>
      <c r="K62" s="143">
        <v>43.906298814866297</v>
      </c>
      <c r="L62" s="143">
        <v>42.207285988326802</v>
      </c>
      <c r="M62" s="143">
        <v>40.161988712178101</v>
      </c>
      <c r="N62" s="143">
        <v>29.603158029465099</v>
      </c>
      <c r="O62" s="143">
        <v>21.573019326763099</v>
      </c>
      <c r="P62" s="143">
        <v>23.276994482879399</v>
      </c>
      <c r="Q62" s="143">
        <v>23.679477825915999</v>
      </c>
      <c r="R62" s="143">
        <v>25.4129024316283</v>
      </c>
      <c r="S62" s="143">
        <v>25.154097199078901</v>
      </c>
      <c r="T62" s="143">
        <v>16.608975147693702</v>
      </c>
      <c r="U62" s="143">
        <v>17.753855310761399</v>
      </c>
      <c r="V62" s="143">
        <v>24.766541787913798</v>
      </c>
      <c r="W62" s="143"/>
      <c r="X62" s="58"/>
      <c r="Y62" s="27"/>
      <c r="Z62" s="27"/>
    </row>
    <row r="63" spans="1:26">
      <c r="A63" s="154">
        <f t="shared" si="1"/>
        <v>3.7037037037037002</v>
      </c>
      <c r="B63" s="143">
        <v>31.1928510704575</v>
      </c>
      <c r="C63" s="143">
        <v>32.531652962821198</v>
      </c>
      <c r="D63" s="143">
        <v>35.768010227589798</v>
      </c>
      <c r="E63" s="143">
        <v>32.928027901078003</v>
      </c>
      <c r="F63" s="143">
        <v>34.5925808497147</v>
      </c>
      <c r="G63" s="143">
        <v>24.0345592897907</v>
      </c>
      <c r="H63" s="143">
        <v>14.9921548891323</v>
      </c>
      <c r="I63" s="143">
        <v>7.6023564936795003</v>
      </c>
      <c r="J63" s="143">
        <v>15.612066668640299</v>
      </c>
      <c r="K63" s="143">
        <v>17.8161305486536</v>
      </c>
      <c r="L63" s="143">
        <v>24.846931178155501</v>
      </c>
      <c r="M63" s="143">
        <v>21.744386016648502</v>
      </c>
      <c r="N63" s="143">
        <v>15.634199411237701</v>
      </c>
      <c r="O63" s="143">
        <v>19.363813347524701</v>
      </c>
      <c r="P63" s="143">
        <v>15.1801653115253</v>
      </c>
      <c r="Q63" s="143">
        <v>8.0375237563387802</v>
      </c>
      <c r="R63" s="143">
        <v>13.2368968592094</v>
      </c>
      <c r="S63" s="143">
        <v>10.715797627518601</v>
      </c>
      <c r="T63" s="143">
        <v>6.9726832526500599</v>
      </c>
      <c r="U63" s="143">
        <v>16.9303949954754</v>
      </c>
      <c r="V63" s="143">
        <v>12.1438273509319</v>
      </c>
      <c r="W63" s="143"/>
      <c r="X63" s="58"/>
      <c r="Y63" s="27"/>
      <c r="Z63" s="27"/>
    </row>
    <row r="64" spans="1:26">
      <c r="A64" s="154">
        <f t="shared" si="1"/>
        <v>1.2345679012345701</v>
      </c>
      <c r="B64" s="143">
        <v>19.484986339418398</v>
      </c>
      <c r="C64" s="143">
        <v>20.798478840700099</v>
      </c>
      <c r="D64" s="143">
        <v>21.9328587281707</v>
      </c>
      <c r="E64" s="143">
        <v>22.065630944832002</v>
      </c>
      <c r="F64" s="143">
        <v>1.3823715916296799</v>
      </c>
      <c r="G64" s="143">
        <v>15.569118579581501</v>
      </c>
      <c r="H64" s="143">
        <v>3.8248616004026199</v>
      </c>
      <c r="I64" s="143">
        <v>4.2156369341898801</v>
      </c>
      <c r="J64" s="143">
        <v>-32.160217886852799</v>
      </c>
      <c r="K64" s="143">
        <v>9.8390332065180903</v>
      </c>
      <c r="L64" s="143">
        <v>11.373371134592499</v>
      </c>
      <c r="M64" s="143">
        <v>12.0583486377824</v>
      </c>
      <c r="N64" s="143">
        <v>4.6993202961326297</v>
      </c>
      <c r="O64" s="143">
        <v>12.719354382372201</v>
      </c>
      <c r="P64" s="143">
        <v>-8.7512714975715191</v>
      </c>
      <c r="Q64" s="143">
        <v>1.7338749628455401</v>
      </c>
      <c r="R64" s="143">
        <v>11.5039226106302</v>
      </c>
      <c r="S64" s="143">
        <v>0.31524999324464298</v>
      </c>
      <c r="T64" s="143">
        <v>0.71381511358188299</v>
      </c>
      <c r="U64" s="143">
        <v>-4.8446329310180802</v>
      </c>
      <c r="V64" s="143">
        <v>10.9310023171565</v>
      </c>
      <c r="W64" s="143"/>
      <c r="X64" s="58"/>
      <c r="Y64" s="27"/>
      <c r="Z64" s="27"/>
    </row>
    <row r="65" spans="1:26">
      <c r="A65" s="154">
        <f t="shared" si="1"/>
        <v>0.41152263374485598</v>
      </c>
      <c r="B65" s="143">
        <v>4.0092671308884897</v>
      </c>
      <c r="C65" s="143">
        <v>11.724088699681401</v>
      </c>
      <c r="D65" s="143">
        <v>11.724088699681401</v>
      </c>
      <c r="E65" s="143">
        <v>10.5849714648066</v>
      </c>
      <c r="F65" s="143">
        <v>17.985098287888398</v>
      </c>
      <c r="G65" s="143">
        <v>6.3665187064045696</v>
      </c>
      <c r="H65" s="143">
        <v>7.5478847804849201</v>
      </c>
      <c r="I65" s="143">
        <v>-5.4809200982859201</v>
      </c>
      <c r="J65" s="143">
        <v>-3.6194085082447698</v>
      </c>
      <c r="K65" s="143">
        <v>10.452768377747899</v>
      </c>
      <c r="L65" s="143">
        <v>8.8162385800585703</v>
      </c>
      <c r="M65" s="143">
        <v>-4.6897308850107899</v>
      </c>
      <c r="N65" s="143">
        <v>8.35584417334133</v>
      </c>
      <c r="O65" s="143">
        <v>9.7711641191805807</v>
      </c>
      <c r="P65" s="143">
        <v>-5.2109507096809002</v>
      </c>
      <c r="Q65" s="143">
        <v>-16.5524260738766</v>
      </c>
      <c r="R65" s="143">
        <v>8.3523233924502094</v>
      </c>
      <c r="S65" s="143">
        <v>15.600371094277801</v>
      </c>
      <c r="T65" s="143">
        <v>-0.49991908438680199</v>
      </c>
      <c r="U65" s="143">
        <v>-5.6116038444310998</v>
      </c>
      <c r="V65" s="143">
        <v>-2.9277511460014698</v>
      </c>
      <c r="W65" s="143"/>
      <c r="X65" s="58"/>
      <c r="Y65" s="27"/>
      <c r="Z65" s="27"/>
    </row>
    <row r="66" spans="1:26">
      <c r="A66" s="154">
        <f t="shared" si="1"/>
        <v>0.13717421124828499</v>
      </c>
      <c r="B66" s="143">
        <v>-20.275418091671899</v>
      </c>
      <c r="C66" s="143">
        <v>18.529719065759</v>
      </c>
      <c r="D66" s="143">
        <v>16.488094851810299</v>
      </c>
      <c r="E66" s="143">
        <v>1.3823715916296799</v>
      </c>
      <c r="F66" s="143">
        <v>6.3665187064045696</v>
      </c>
      <c r="G66" s="143">
        <v>9.3769816106531394</v>
      </c>
      <c r="H66" s="143">
        <v>4.8373249652150703</v>
      </c>
      <c r="I66" s="143">
        <v>4.4465496314278097</v>
      </c>
      <c r="J66" s="143">
        <v>-14.1667900174665</v>
      </c>
      <c r="K66" s="143">
        <v>4.7241841439095102</v>
      </c>
      <c r="L66" s="143">
        <v>14.441463037200799</v>
      </c>
      <c r="M66" s="143">
        <v>10.350576508133001</v>
      </c>
      <c r="N66" s="143">
        <v>11.3043712570817</v>
      </c>
      <c r="O66" s="143">
        <v>0.57057400957917603</v>
      </c>
      <c r="P66" s="143">
        <v>-14.888815536858299</v>
      </c>
      <c r="Q66" s="143">
        <v>-3.7825495618025098</v>
      </c>
      <c r="R66" s="143">
        <v>12.291597236608601</v>
      </c>
      <c r="S66" s="143">
        <v>15.0119044402211</v>
      </c>
      <c r="T66" s="143">
        <v>-2.7360993340675299</v>
      </c>
      <c r="U66" s="143">
        <v>2.3744944289448799</v>
      </c>
      <c r="V66" s="143">
        <v>-0.18062061972268101</v>
      </c>
      <c r="W66" s="143"/>
      <c r="X66" s="58"/>
      <c r="Y66" s="27"/>
      <c r="Z66" s="27"/>
    </row>
    <row r="67" spans="1:26">
      <c r="A67" s="154">
        <f t="shared" si="1"/>
        <v>4.5724737082761799E-2</v>
      </c>
      <c r="B67" s="143">
        <v>4.4635382528732697</v>
      </c>
      <c r="C67" s="143">
        <v>-10.2879429954638</v>
      </c>
      <c r="D67" s="143">
        <v>23.2937252178879</v>
      </c>
      <c r="E67" s="143">
        <v>1.84844641724794</v>
      </c>
      <c r="F67" s="143">
        <v>-30.163284717818598</v>
      </c>
      <c r="G67" s="143">
        <v>-21.8642993024731</v>
      </c>
      <c r="H67" s="143">
        <v>-13.5468782379585</v>
      </c>
      <c r="I67" s="143">
        <v>-7.3424316883270704</v>
      </c>
      <c r="J67" s="143">
        <v>28.019183516385901</v>
      </c>
      <c r="K67" s="143">
        <v>8.6115628640585307</v>
      </c>
      <c r="L67" s="143">
        <v>11.577754873822199</v>
      </c>
      <c r="M67" s="143">
        <v>1.3477647718347501</v>
      </c>
      <c r="N67" s="143">
        <v>5.52486746111407</v>
      </c>
      <c r="O67" s="143">
        <v>-7.0991667059624</v>
      </c>
      <c r="P67" s="143">
        <v>-5.8010603110874603</v>
      </c>
      <c r="Q67" s="143">
        <v>-2.3639245922016201</v>
      </c>
      <c r="R67" s="143">
        <v>11.188672617385601</v>
      </c>
      <c r="S67" s="143">
        <v>15.600371094277801</v>
      </c>
      <c r="T67" s="143">
        <v>-7.4010208095561598</v>
      </c>
      <c r="U67" s="143">
        <v>3.5880467940749199</v>
      </c>
      <c r="V67" s="143">
        <v>-0.94722786745840704</v>
      </c>
      <c r="W67" s="143"/>
      <c r="X67" s="58"/>
      <c r="Y67" s="27"/>
      <c r="Z67" s="27"/>
    </row>
    <row r="68" spans="1:26">
      <c r="A68" s="142"/>
    </row>
    <row r="69" spans="1:26" ht="13" customHeight="1">
      <c r="A69" s="101" t="s">
        <v>43</v>
      </c>
      <c r="B69" s="193" t="s">
        <v>2</v>
      </c>
      <c r="C69" s="193"/>
      <c r="D69" s="193"/>
      <c r="E69" s="193" t="s">
        <v>3</v>
      </c>
      <c r="F69" s="193"/>
      <c r="G69" s="193"/>
      <c r="H69" s="193" t="s">
        <v>4</v>
      </c>
      <c r="I69" s="193"/>
      <c r="J69" s="193"/>
      <c r="K69" s="193" t="s">
        <v>5</v>
      </c>
      <c r="L69" s="193"/>
      <c r="M69" s="193"/>
      <c r="N69" s="193" t="s">
        <v>6</v>
      </c>
      <c r="O69" s="193"/>
      <c r="P69" s="193"/>
      <c r="Q69" s="193" t="s">
        <v>7</v>
      </c>
      <c r="R69" s="193"/>
      <c r="S69" s="193"/>
      <c r="T69" s="193" t="s">
        <v>8</v>
      </c>
      <c r="U69" s="193"/>
      <c r="V69" s="193"/>
      <c r="W69" s="10"/>
    </row>
    <row r="70" spans="1:26">
      <c r="A70" s="58">
        <v>300</v>
      </c>
      <c r="B70" s="143">
        <v>74.139830000000003</v>
      </c>
      <c r="C70" s="143">
        <v>67.303280000000001</v>
      </c>
      <c r="D70" s="143">
        <v>77.221310000000003</v>
      </c>
      <c r="E70" s="143">
        <v>66.3904</v>
      </c>
      <c r="F70" s="143">
        <v>70.281720000000007</v>
      </c>
      <c r="G70" s="143">
        <v>68.984610000000004</v>
      </c>
      <c r="H70" s="143">
        <v>66.174139999999994</v>
      </c>
      <c r="I70" s="143">
        <v>56.924120000000002</v>
      </c>
      <c r="J70" s="143">
        <v>67.805670000000006</v>
      </c>
      <c r="K70" s="143">
        <v>84.352209999999999</v>
      </c>
      <c r="L70" s="143">
        <v>78.096729999999994</v>
      </c>
      <c r="M70" s="143">
        <v>81.408670000000001</v>
      </c>
      <c r="N70" s="143">
        <v>83.529319999999998</v>
      </c>
      <c r="O70" s="143">
        <v>84.993579999999994</v>
      </c>
      <c r="P70" s="143">
        <v>84.543019999999999</v>
      </c>
      <c r="Q70" s="143">
        <v>75.649420000000006</v>
      </c>
      <c r="R70" s="143">
        <v>84.213530000000006</v>
      </c>
      <c r="S70" s="143">
        <v>82.731710000000007</v>
      </c>
      <c r="T70" s="143">
        <v>76.975909999999999</v>
      </c>
      <c r="U70" s="143">
        <v>75.339290000000005</v>
      </c>
      <c r="V70" s="143">
        <v>76.021140000000003</v>
      </c>
      <c r="W70" s="143"/>
    </row>
    <row r="71" spans="1:26">
      <c r="A71" s="58">
        <v>100</v>
      </c>
      <c r="B71" s="143">
        <v>57.906480000000002</v>
      </c>
      <c r="C71" s="143">
        <v>67.153850000000006</v>
      </c>
      <c r="D71" s="143">
        <v>67.975700000000003</v>
      </c>
      <c r="E71" s="143">
        <v>66.145099999999999</v>
      </c>
      <c r="F71" s="143">
        <v>50.821379999999998</v>
      </c>
      <c r="G71" s="143">
        <v>57.306919999999998</v>
      </c>
      <c r="H71" s="143">
        <v>31.894819999999999</v>
      </c>
      <c r="I71" s="143">
        <v>52.02796</v>
      </c>
      <c r="J71" s="143">
        <v>66.71799</v>
      </c>
      <c r="K71" s="143">
        <v>73.772009999999995</v>
      </c>
      <c r="L71" s="143">
        <v>63.463039999999999</v>
      </c>
      <c r="M71" s="143">
        <v>67.145489999999995</v>
      </c>
      <c r="N71" s="143">
        <v>60.540419999999997</v>
      </c>
      <c r="O71" s="143">
        <v>63.02064</v>
      </c>
      <c r="P71" s="143">
        <v>60.540419999999997</v>
      </c>
      <c r="Q71" s="143">
        <v>55.383989999999997</v>
      </c>
      <c r="R71" s="143">
        <v>67.577680000000001</v>
      </c>
      <c r="S71" s="143">
        <v>59.833240000000004</v>
      </c>
      <c r="T71" s="143">
        <v>51.794310000000003</v>
      </c>
      <c r="U71" s="143">
        <v>50.223439999999997</v>
      </c>
      <c r="V71" s="143">
        <v>45.373269999999998</v>
      </c>
      <c r="W71" s="143"/>
    </row>
    <row r="72" spans="1:26">
      <c r="A72" s="58">
        <v>33.333333000000003</v>
      </c>
      <c r="B72" s="143">
        <v>48.452030000000001</v>
      </c>
      <c r="C72" s="143">
        <v>45.985309999999998</v>
      </c>
      <c r="D72" s="143">
        <v>60.989130000000003</v>
      </c>
      <c r="E72" s="143">
        <v>66.3904</v>
      </c>
      <c r="F72" s="143">
        <v>62.499070000000003</v>
      </c>
      <c r="G72" s="143">
        <v>55.415149999999997</v>
      </c>
      <c r="H72" s="143">
        <v>29.17248</v>
      </c>
      <c r="I72" s="143">
        <v>50.940269999999998</v>
      </c>
      <c r="J72" s="143">
        <v>40.057160000000003</v>
      </c>
      <c r="K72" s="143">
        <v>51.583289999999998</v>
      </c>
      <c r="L72" s="143">
        <v>54.254539999999999</v>
      </c>
      <c r="M72" s="143">
        <v>46.792729999999999</v>
      </c>
      <c r="N72" s="143">
        <v>28.277979999999999</v>
      </c>
      <c r="O72" s="143">
        <v>48.587339999999998</v>
      </c>
      <c r="P72" s="143">
        <v>45.767510000000001</v>
      </c>
      <c r="Q72" s="143">
        <v>56.867229999999999</v>
      </c>
      <c r="R72" s="143">
        <v>42.527679999999997</v>
      </c>
      <c r="S72" s="143">
        <v>34.613930000000003</v>
      </c>
      <c r="T72" s="143">
        <v>33.20758</v>
      </c>
      <c r="U72" s="143">
        <v>27.66855</v>
      </c>
      <c r="V72" s="143">
        <v>22.81175</v>
      </c>
      <c r="W72" s="143"/>
    </row>
    <row r="73" spans="1:26">
      <c r="A73" s="58">
        <v>11.111110999999999</v>
      </c>
      <c r="B73" s="143">
        <v>28.098269999999999</v>
      </c>
      <c r="C73" s="143">
        <v>38.995809999999999</v>
      </c>
      <c r="D73" s="143">
        <v>53.384860000000003</v>
      </c>
      <c r="E73" s="143">
        <v>61.55133</v>
      </c>
      <c r="F73" s="143">
        <v>40.44079</v>
      </c>
      <c r="G73" s="143">
        <v>38.969000000000001</v>
      </c>
      <c r="H73" s="143">
        <v>15.02319</v>
      </c>
      <c r="I73" s="143">
        <v>16.656279999999999</v>
      </c>
      <c r="J73" s="143">
        <v>35.159439999999996</v>
      </c>
      <c r="K73" s="143">
        <v>27.343990000000002</v>
      </c>
      <c r="L73" s="143">
        <v>39.32855</v>
      </c>
      <c r="M73" s="143">
        <v>20.98002</v>
      </c>
      <c r="N73" s="143">
        <v>23.650069999999999</v>
      </c>
      <c r="O73" s="143">
        <v>29.068159999999999</v>
      </c>
      <c r="P73" s="143">
        <v>33.921190000000003</v>
      </c>
      <c r="Q73" s="143">
        <v>13.00817</v>
      </c>
      <c r="R73" s="143">
        <v>29.337</v>
      </c>
      <c r="S73" s="143">
        <v>19.606580000000001</v>
      </c>
      <c r="T73" s="143">
        <v>11.51948</v>
      </c>
      <c r="U73" s="143">
        <v>16.653300000000002</v>
      </c>
      <c r="V73" s="143">
        <v>18.2273</v>
      </c>
      <c r="W73" s="143"/>
    </row>
    <row r="74" spans="1:26">
      <c r="A74" s="58">
        <v>3.7037037000000002</v>
      </c>
      <c r="B74" s="143">
        <v>17.6096</v>
      </c>
      <c r="C74" s="143">
        <v>20.488710000000001</v>
      </c>
      <c r="D74" s="143">
        <v>35.08896</v>
      </c>
      <c r="E74" s="143">
        <v>26.168880000000001</v>
      </c>
      <c r="F74" s="143">
        <v>23.63785</v>
      </c>
      <c r="G74" s="143">
        <v>27.399090000000001</v>
      </c>
      <c r="H74" s="143">
        <v>9.5800710000000002</v>
      </c>
      <c r="I74" s="143">
        <v>23.730930000000001</v>
      </c>
      <c r="J74" s="143">
        <v>40.057160000000003</v>
      </c>
      <c r="K74" s="143">
        <v>16.64424</v>
      </c>
      <c r="L74" s="143">
        <v>24.116060000000001</v>
      </c>
      <c r="M74" s="143">
        <v>11.20035</v>
      </c>
      <c r="N74" s="143">
        <v>14.27848</v>
      </c>
      <c r="O74" s="143">
        <v>20.150040000000001</v>
      </c>
      <c r="P74" s="143">
        <v>23.76296</v>
      </c>
      <c r="Q74" s="143">
        <v>17.627199999999998</v>
      </c>
      <c r="R74" s="143">
        <v>11.35798</v>
      </c>
      <c r="S74" s="143">
        <v>21.915620000000001</v>
      </c>
      <c r="T74" s="143">
        <v>-0.46576000000000001</v>
      </c>
      <c r="U74" s="143">
        <v>-3.4120300000000001</v>
      </c>
      <c r="V74" s="143">
        <v>4.26091</v>
      </c>
      <c r="W74" s="143"/>
    </row>
    <row r="75" spans="1:26">
      <c r="A75" s="58">
        <v>1.2345679000000001</v>
      </c>
      <c r="B75" s="143">
        <v>8.9699349999999995</v>
      </c>
      <c r="C75" s="143">
        <v>16.99248</v>
      </c>
      <c r="D75" s="143">
        <v>15.552339999999999</v>
      </c>
      <c r="E75" s="143">
        <v>32.654429999999998</v>
      </c>
      <c r="F75" s="143">
        <v>4.1068910000000001</v>
      </c>
      <c r="G75" s="143">
        <v>9.2990410000000008</v>
      </c>
      <c r="H75" s="143">
        <v>-2.39385</v>
      </c>
      <c r="I75" s="143">
        <v>27.540949999999999</v>
      </c>
      <c r="J75" s="143">
        <v>20.4663</v>
      </c>
      <c r="K75" s="143">
        <v>25.315010000000001</v>
      </c>
      <c r="L75" s="143">
        <v>20.88785</v>
      </c>
      <c r="M75" s="143">
        <v>24.39282</v>
      </c>
      <c r="N75" s="143">
        <v>2.3050820000000001</v>
      </c>
      <c r="O75" s="143">
        <v>12.58426</v>
      </c>
      <c r="P75" s="143">
        <v>18.908000000000001</v>
      </c>
      <c r="Q75" s="143">
        <v>-4.1530699999999996</v>
      </c>
      <c r="R75" s="143">
        <v>16.472200000000001</v>
      </c>
      <c r="S75" s="143">
        <v>25.873909999999999</v>
      </c>
      <c r="T75" s="143">
        <v>-8.20932</v>
      </c>
      <c r="U75" s="143">
        <v>-6.9070900000000002</v>
      </c>
      <c r="V75" s="143">
        <v>-6.9070900000000002</v>
      </c>
      <c r="W75" s="143"/>
    </row>
    <row r="76" spans="1:26">
      <c r="A76" s="58">
        <v>0.41152260000000002</v>
      </c>
      <c r="B76" s="143">
        <v>-9.9595599999999997</v>
      </c>
      <c r="C76" s="143">
        <v>13.289770000000001</v>
      </c>
      <c r="D76" s="143">
        <v>16.169460000000001</v>
      </c>
      <c r="E76" s="143">
        <v>26.696650000000002</v>
      </c>
      <c r="F76" s="143">
        <v>1.5126740000000001</v>
      </c>
      <c r="G76" s="143">
        <v>31.357320000000001</v>
      </c>
      <c r="H76" s="143">
        <v>6.8592919999999999</v>
      </c>
      <c r="I76" s="143">
        <v>3.0492669999999999</v>
      </c>
      <c r="J76" s="143">
        <v>12.30241</v>
      </c>
      <c r="K76" s="143">
        <v>16.82884</v>
      </c>
      <c r="L76" s="143">
        <v>12.49226</v>
      </c>
      <c r="M76" s="143">
        <v>12.769030000000001</v>
      </c>
      <c r="N76" s="143">
        <v>-4.47438</v>
      </c>
      <c r="O76" s="143">
        <v>19.0212</v>
      </c>
      <c r="P76" s="143">
        <v>22.633800000000001</v>
      </c>
      <c r="Q76" s="143">
        <v>-13.5618</v>
      </c>
      <c r="R76" s="143">
        <v>3.7682280000000001</v>
      </c>
      <c r="S76" s="143">
        <v>4.5930879999999998</v>
      </c>
      <c r="T76" s="143">
        <v>-12.0481</v>
      </c>
      <c r="U76" s="143">
        <v>3.5759449999999999</v>
      </c>
      <c r="V76" s="143">
        <v>-15.407999999999999</v>
      </c>
      <c r="W76" s="143"/>
    </row>
    <row r="77" spans="1:26">
      <c r="A77" s="58">
        <v>0.1371742</v>
      </c>
      <c r="B77" s="143">
        <v>2.3869389999999999</v>
      </c>
      <c r="C77" s="143">
        <v>3.82708</v>
      </c>
      <c r="D77" s="143">
        <v>16.58127</v>
      </c>
      <c r="E77" s="143">
        <v>22.27384</v>
      </c>
      <c r="F77" s="143">
        <v>6.7048240000000003</v>
      </c>
      <c r="G77" s="143">
        <v>11.89326</v>
      </c>
      <c r="H77" s="143">
        <v>16.110880000000002</v>
      </c>
      <c r="I77" s="143">
        <v>22.097840000000001</v>
      </c>
      <c r="J77" s="143">
        <v>0</v>
      </c>
      <c r="K77" s="143">
        <v>3.262699</v>
      </c>
      <c r="L77" s="143">
        <v>14.3377</v>
      </c>
      <c r="M77" s="143">
        <v>7.6011129999999998</v>
      </c>
      <c r="N77" s="143">
        <v>9.6479970000000002</v>
      </c>
      <c r="O77" s="143">
        <v>9.5347910000000002</v>
      </c>
      <c r="P77" s="143">
        <v>12.58426</v>
      </c>
      <c r="Q77" s="143">
        <v>-4.9783999999999997</v>
      </c>
      <c r="R77" s="143">
        <v>6.2432790000000002</v>
      </c>
      <c r="S77" s="143">
        <v>-0.85221000000000002</v>
      </c>
      <c r="T77" s="143">
        <v>-3.6174599999999999</v>
      </c>
      <c r="U77" s="143">
        <v>-4.5084400000000002</v>
      </c>
      <c r="V77" s="143">
        <v>-7.9350300000000002</v>
      </c>
      <c r="W77" s="143"/>
    </row>
    <row r="78" spans="1:26">
      <c r="A78" s="58">
        <v>4.57247E-2</v>
      </c>
      <c r="B78" s="143">
        <v>1.7692319999999999</v>
      </c>
      <c r="C78" s="143">
        <v>0</v>
      </c>
      <c r="D78" s="143">
        <v>12.878550000000001</v>
      </c>
      <c r="E78" s="143">
        <v>0</v>
      </c>
      <c r="F78" s="143">
        <v>0</v>
      </c>
      <c r="G78" s="143">
        <v>17.08541</v>
      </c>
      <c r="H78" s="143">
        <v>0</v>
      </c>
      <c r="I78" s="143">
        <v>15.567030000000001</v>
      </c>
      <c r="J78" s="143">
        <v>0</v>
      </c>
      <c r="K78" s="143">
        <v>0</v>
      </c>
      <c r="L78" s="143">
        <v>0</v>
      </c>
      <c r="M78" s="143">
        <v>6.4011040000000001</v>
      </c>
      <c r="N78" s="143">
        <v>-5.9434800000000001</v>
      </c>
      <c r="O78" s="143">
        <v>6.5982050000000001</v>
      </c>
      <c r="P78" s="143">
        <v>0</v>
      </c>
      <c r="Q78" s="143">
        <v>0</v>
      </c>
      <c r="R78" s="143">
        <v>13.667960000000001</v>
      </c>
      <c r="S78" s="143">
        <v>5.9131470000000004</v>
      </c>
      <c r="T78" s="143">
        <v>-1.3563499999999999</v>
      </c>
      <c r="U78" s="143">
        <v>0</v>
      </c>
      <c r="V78" s="143">
        <v>-5.2620800000000001</v>
      </c>
      <c r="W78" s="143"/>
    </row>
    <row r="79" spans="1:26">
      <c r="A79" s="142"/>
    </row>
    <row r="80" spans="1:26" ht="13" customHeight="1">
      <c r="A80" s="101" t="s">
        <v>44</v>
      </c>
      <c r="B80" s="193" t="s">
        <v>2</v>
      </c>
      <c r="C80" s="193"/>
      <c r="D80" s="193"/>
      <c r="E80" s="193" t="s">
        <v>3</v>
      </c>
      <c r="F80" s="193"/>
      <c r="G80" s="193"/>
      <c r="H80" s="193" t="s">
        <v>4</v>
      </c>
      <c r="I80" s="193"/>
      <c r="J80" s="193"/>
      <c r="K80" s="193" t="s">
        <v>5</v>
      </c>
      <c r="L80" s="193"/>
      <c r="M80" s="193"/>
      <c r="N80" s="193" t="s">
        <v>6</v>
      </c>
      <c r="O80" s="193"/>
      <c r="P80" s="193"/>
      <c r="Q80" s="193" t="s">
        <v>7</v>
      </c>
      <c r="R80" s="193"/>
      <c r="S80" s="193"/>
      <c r="T80" s="193" t="s">
        <v>8</v>
      </c>
      <c r="U80" s="193"/>
      <c r="V80" s="193"/>
      <c r="W80" s="10"/>
    </row>
    <row r="81" spans="1:24" s="26" customFormat="1" ht="14">
      <c r="A81" s="58">
        <v>300</v>
      </c>
      <c r="B81" s="155">
        <v>89.768251260789995</v>
      </c>
      <c r="C81" s="155">
        <v>89.252103781630694</v>
      </c>
      <c r="D81" s="155">
        <v>89.080054621910904</v>
      </c>
      <c r="E81" s="26">
        <v>84.322351598445806</v>
      </c>
      <c r="F81" s="26">
        <v>84.225108214769904</v>
      </c>
      <c r="G81" s="26">
        <v>85.142787894053996</v>
      </c>
      <c r="H81" s="26">
        <v>82.917233996112699</v>
      </c>
      <c r="I81" s="26">
        <v>80.013719844924196</v>
      </c>
      <c r="J81" s="26">
        <v>78.924966999615407</v>
      </c>
      <c r="K81" s="26">
        <v>80.134086535477095</v>
      </c>
      <c r="L81" s="26">
        <v>68.151964740207305</v>
      </c>
      <c r="M81" s="26">
        <v>82.022471910112401</v>
      </c>
      <c r="N81" s="26">
        <v>81.6234061279673</v>
      </c>
      <c r="O81" s="26">
        <v>80.846527559330298</v>
      </c>
      <c r="P81" s="26">
        <v>80.180540859999795</v>
      </c>
      <c r="Q81" s="26">
        <v>78.731111075651398</v>
      </c>
      <c r="R81" s="26">
        <v>81.145914779768802</v>
      </c>
      <c r="S81" s="26">
        <v>84.303244028147901</v>
      </c>
      <c r="T81" s="26">
        <v>81.850723017309093</v>
      </c>
      <c r="U81" s="26">
        <v>79.404126088792495</v>
      </c>
      <c r="V81" s="26">
        <v>76.957529160275996</v>
      </c>
      <c r="X81" s="146"/>
    </row>
    <row r="82" spans="1:24" s="26" customFormat="1" ht="14">
      <c r="A82" s="58">
        <v>100</v>
      </c>
      <c r="B82" s="155">
        <v>74.447495427633399</v>
      </c>
      <c r="C82" s="155">
        <v>79.096273582812799</v>
      </c>
      <c r="D82" s="155">
        <v>81.678489911214697</v>
      </c>
      <c r="E82" s="26">
        <v>71.8712561885892</v>
      </c>
      <c r="F82" s="26">
        <v>70.455970726170705</v>
      </c>
      <c r="G82" s="26">
        <v>73.516509112403497</v>
      </c>
      <c r="H82" s="26">
        <v>72.754154930309397</v>
      </c>
      <c r="I82" s="26">
        <v>64.041014021265795</v>
      </c>
      <c r="J82" s="26">
        <v>58.7760235316128</v>
      </c>
      <c r="K82" s="26">
        <v>68.428828605127606</v>
      </c>
      <c r="L82" s="26">
        <v>46.3554534732137</v>
      </c>
      <c r="M82" s="26">
        <v>66.418772114966799</v>
      </c>
      <c r="N82" s="26">
        <v>60.614957374944801</v>
      </c>
      <c r="O82" s="26">
        <v>49.750096116878098</v>
      </c>
      <c r="P82" s="26">
        <v>48.016179409699397</v>
      </c>
      <c r="Q82" s="26">
        <v>56.9941544729718</v>
      </c>
      <c r="R82" s="26">
        <v>66.656560659975398</v>
      </c>
      <c r="S82" s="26">
        <v>63.312004340263897</v>
      </c>
      <c r="T82" s="26">
        <v>60.969317985397403</v>
      </c>
      <c r="U82" s="26">
        <v>60.127384075458998</v>
      </c>
      <c r="V82" s="26">
        <v>58.596674711132202</v>
      </c>
      <c r="X82" s="146"/>
    </row>
    <row r="83" spans="1:24" s="26" customFormat="1" ht="14">
      <c r="A83" s="58">
        <v>33.333333000000003</v>
      </c>
      <c r="B83" s="155">
        <v>67.043465829262203</v>
      </c>
      <c r="C83" s="155">
        <v>71.605479938279203</v>
      </c>
      <c r="D83" s="155">
        <v>64.804854842764797</v>
      </c>
      <c r="E83" s="26">
        <v>68.045035664223406</v>
      </c>
      <c r="F83" s="26">
        <v>54.291667372977003</v>
      </c>
      <c r="G83" s="26">
        <v>53.220238019502702</v>
      </c>
      <c r="H83" s="26">
        <v>53.691885543233099</v>
      </c>
      <c r="I83" s="26">
        <v>50.379374499797301</v>
      </c>
      <c r="J83" s="26">
        <v>56.415586575339603</v>
      </c>
      <c r="K83" s="26">
        <v>46.042584890433901</v>
      </c>
      <c r="L83" s="26">
        <v>28.148240114221899</v>
      </c>
      <c r="M83" s="26">
        <v>46.475883046744102</v>
      </c>
      <c r="N83" s="26">
        <v>45.530167990061003</v>
      </c>
      <c r="O83" s="26">
        <v>29.6335484444953</v>
      </c>
      <c r="P83" s="26">
        <v>32.079842145900699</v>
      </c>
      <c r="Q83" s="26">
        <v>30.040370837256098</v>
      </c>
      <c r="R83" s="26">
        <v>36.733738637391198</v>
      </c>
      <c r="S83" s="26">
        <v>41.753232592403499</v>
      </c>
      <c r="T83" s="26">
        <v>39.068315235109203</v>
      </c>
      <c r="U83" s="26">
        <v>36.7696256150953</v>
      </c>
      <c r="V83" s="26">
        <v>35.313526298400802</v>
      </c>
      <c r="X83" s="146"/>
    </row>
    <row r="84" spans="1:24" s="26" customFormat="1" ht="14">
      <c r="A84" s="58">
        <v>11.111110999999999</v>
      </c>
      <c r="B84" s="155">
        <v>63.6803730853985</v>
      </c>
      <c r="C84" s="155">
        <v>53.3707338956564</v>
      </c>
      <c r="D84" s="155">
        <v>55.888370166971498</v>
      </c>
      <c r="E84" s="26">
        <v>58.679008503148502</v>
      </c>
      <c r="F84" s="26">
        <v>42.563764875052598</v>
      </c>
      <c r="G84" s="26">
        <v>49.060674184428002</v>
      </c>
      <c r="H84" s="26">
        <v>40.434046003055798</v>
      </c>
      <c r="I84" s="26">
        <v>47.517435636257801</v>
      </c>
      <c r="J84" s="26">
        <v>28.9888890043758</v>
      </c>
      <c r="K84" s="26">
        <v>13.519150785275301</v>
      </c>
      <c r="L84" s="26">
        <v>23.493699174374601</v>
      </c>
      <c r="M84" s="26">
        <v>47.342479359364297</v>
      </c>
      <c r="N84" s="26">
        <v>23.2946006145125</v>
      </c>
      <c r="O84" s="26">
        <v>22.404923726093902</v>
      </c>
      <c r="P84" s="26">
        <v>26.9648355209853</v>
      </c>
      <c r="Q84" s="26">
        <v>28.3664969921333</v>
      </c>
      <c r="R84" s="26">
        <v>11.0698005925311</v>
      </c>
      <c r="S84" s="26">
        <v>13.1160009999628</v>
      </c>
      <c r="T84" s="26">
        <v>17.294871598514799</v>
      </c>
      <c r="U84" s="26">
        <v>19.5961867920524</v>
      </c>
      <c r="V84" s="26">
        <v>2.6371698067796698</v>
      </c>
      <c r="X84" s="146"/>
    </row>
    <row r="85" spans="1:24" s="26" customFormat="1" ht="14">
      <c r="A85" s="58">
        <v>3.7037037000000002</v>
      </c>
      <c r="B85" s="155">
        <v>13.969997387219101</v>
      </c>
      <c r="C85" s="155">
        <v>25.348411872871001</v>
      </c>
      <c r="D85" s="155">
        <v>32.070653540318197</v>
      </c>
      <c r="E85" s="26">
        <v>33.284030266158602</v>
      </c>
      <c r="F85" s="26">
        <v>40.790168206116498</v>
      </c>
      <c r="G85" s="26">
        <v>42.474844123312998</v>
      </c>
      <c r="H85" s="26">
        <v>23.356476910124599</v>
      </c>
      <c r="I85" s="26">
        <v>24.083005061791301</v>
      </c>
      <c r="J85" s="26">
        <v>18.268181392980001</v>
      </c>
      <c r="K85" s="26">
        <v>25.6626730399156</v>
      </c>
      <c r="L85" s="26">
        <v>26.962567508846</v>
      </c>
      <c r="M85" s="26">
        <v>-14.6762679247626</v>
      </c>
      <c r="N85" s="26">
        <v>13.282558202344299</v>
      </c>
      <c r="O85" s="26">
        <v>19.512838355241598</v>
      </c>
      <c r="P85" s="26">
        <v>16.954064075800499</v>
      </c>
      <c r="Q85" s="26">
        <v>2.8844670677155602</v>
      </c>
      <c r="R85" s="26">
        <v>9.2097634662539196</v>
      </c>
      <c r="S85" s="26">
        <v>21.3002707346003</v>
      </c>
      <c r="T85" s="26">
        <v>13.919259238189801</v>
      </c>
      <c r="U85" s="26">
        <v>8.0104060230656593</v>
      </c>
      <c r="V85" s="26">
        <v>12.998558122539899</v>
      </c>
      <c r="X85" s="146"/>
    </row>
    <row r="86" spans="1:24" s="26" customFormat="1" ht="14">
      <c r="A86" s="58">
        <v>1.2345679000000001</v>
      </c>
      <c r="B86" s="155">
        <v>18.797726387608499</v>
      </c>
      <c r="C86" s="155">
        <v>22.935286838978701</v>
      </c>
      <c r="D86" s="155">
        <v>19.142317684583102</v>
      </c>
      <c r="E86" s="26">
        <v>18.177577235385598</v>
      </c>
      <c r="F86" s="26">
        <v>32.948496789150703</v>
      </c>
      <c r="G86" s="26">
        <v>26.514664269186799</v>
      </c>
      <c r="H86" s="26">
        <v>16.632193823990999</v>
      </c>
      <c r="I86" s="26">
        <v>30.2605731153402</v>
      </c>
      <c r="J86" s="26">
        <v>5.3632121067237604</v>
      </c>
      <c r="K86" s="26">
        <v>-4.6979949096778197</v>
      </c>
      <c r="L86" s="26">
        <v>8.7479048978831706</v>
      </c>
      <c r="M86" s="26">
        <v>-4.6979949096778197</v>
      </c>
      <c r="N86" s="26">
        <v>-1.0742848427655001</v>
      </c>
      <c r="O86" s="26">
        <v>-1.0742848427655001</v>
      </c>
      <c r="P86" s="26">
        <v>10.612256570105</v>
      </c>
      <c r="Q86" s="26">
        <v>-4.7445041939927801</v>
      </c>
      <c r="R86" s="26">
        <v>-8.6528693080576797</v>
      </c>
      <c r="S86" s="26">
        <v>-4.9306674751472004</v>
      </c>
      <c r="T86" s="26">
        <v>7.39645941410327</v>
      </c>
      <c r="U86" s="26">
        <v>3.7119045691543202</v>
      </c>
      <c r="V86" s="26">
        <v>3.7119045691543202</v>
      </c>
      <c r="X86" s="146"/>
    </row>
    <row r="87" spans="1:24" s="26" customFormat="1" ht="14">
      <c r="A87" s="58">
        <v>0.41152260000000002</v>
      </c>
      <c r="B87" s="155">
        <v>3.6228919048159001</v>
      </c>
      <c r="C87" s="155">
        <v>14.1420465469389</v>
      </c>
      <c r="D87" s="155">
        <v>19.8319932560673</v>
      </c>
      <c r="E87" s="26">
        <v>6.13385275714431</v>
      </c>
      <c r="F87" s="26">
        <v>3.5279928945854002</v>
      </c>
      <c r="G87" s="26">
        <v>25.7489821310539</v>
      </c>
      <c r="H87" s="26">
        <v>20.4488052301712</v>
      </c>
      <c r="I87" s="26">
        <v>27.172048934113601</v>
      </c>
      <c r="J87" s="26">
        <v>0.63662159212564096</v>
      </c>
      <c r="K87" s="26">
        <v>-7.7348066298342504</v>
      </c>
      <c r="L87" s="26">
        <v>12.6513129306599</v>
      </c>
      <c r="M87" s="26">
        <v>10.4823390651189</v>
      </c>
      <c r="N87" s="26">
        <v>5.1591727275904704</v>
      </c>
      <c r="O87" s="26">
        <v>-3.0782820339284598</v>
      </c>
      <c r="P87" s="26">
        <v>-13.0998566984726</v>
      </c>
      <c r="Q87" s="26">
        <v>-0.8372028701059</v>
      </c>
      <c r="R87" s="26">
        <v>1.3956927135691799</v>
      </c>
      <c r="S87" s="26">
        <v>7.9076842883509704</v>
      </c>
      <c r="T87" s="26">
        <v>10.1594379522277</v>
      </c>
      <c r="U87" s="26">
        <v>9.0849219876466805</v>
      </c>
      <c r="V87" s="26">
        <v>7.47325743967198</v>
      </c>
      <c r="X87" s="146"/>
    </row>
    <row r="88" spans="1:24" s="26" customFormat="1" ht="14">
      <c r="A88" s="58">
        <v>0.1371742</v>
      </c>
      <c r="B88" s="155">
        <v>14.1420465469389</v>
      </c>
      <c r="C88" s="155">
        <v>0.34607022957963801</v>
      </c>
      <c r="D88" s="155">
        <v>18.4526421130989</v>
      </c>
      <c r="E88" s="26">
        <v>4.2945510992379603</v>
      </c>
      <c r="F88" s="26">
        <v>9.6591444320264905</v>
      </c>
      <c r="G88" s="26">
        <v>5.2144209448210397</v>
      </c>
      <c r="H88" s="26">
        <v>11.907162382679701</v>
      </c>
      <c r="I88" s="26">
        <v>17.541133550217801</v>
      </c>
      <c r="J88" s="26">
        <v>-8.4548544345241208</v>
      </c>
      <c r="K88" s="26">
        <v>0.506549134024458</v>
      </c>
      <c r="L88" s="26">
        <v>-11.204916506300799</v>
      </c>
      <c r="M88" s="26">
        <v>-9.4704823390651196</v>
      </c>
      <c r="N88" s="26">
        <v>-8.1999612355070006</v>
      </c>
      <c r="O88" s="26">
        <v>10.8346757922096</v>
      </c>
      <c r="P88" s="26">
        <v>3.9082234741247002E-2</v>
      </c>
      <c r="Q88" s="26">
        <v>-9.25497454881999E-2</v>
      </c>
      <c r="R88" s="26">
        <v>-1.5813240996345901</v>
      </c>
      <c r="S88" s="26">
        <v>-1.02283425617131</v>
      </c>
      <c r="T88" s="26">
        <v>10.389613231140199</v>
      </c>
      <c r="U88" s="26">
        <v>-0.203700745881679</v>
      </c>
      <c r="V88" s="26">
        <v>-4.4273733543670897</v>
      </c>
      <c r="X88" s="146"/>
    </row>
    <row r="89" spans="1:24" s="26" customFormat="1" ht="14">
      <c r="A89" s="58">
        <v>4.57247E-2</v>
      </c>
      <c r="B89" s="155">
        <v>11.555886398256799</v>
      </c>
      <c r="C89" s="155">
        <v>5.0027360253193303</v>
      </c>
      <c r="D89" s="155">
        <v>21.038802261780901</v>
      </c>
      <c r="E89" s="26">
        <v>2.7618727231926399</v>
      </c>
      <c r="F89" s="26">
        <v>5.9805411162138</v>
      </c>
      <c r="G89" s="26">
        <v>-0.151048454487095</v>
      </c>
      <c r="H89" s="26">
        <v>11.2762573926058</v>
      </c>
      <c r="I89" s="26">
        <v>8.2729625510596492</v>
      </c>
      <c r="J89" s="26">
        <v>5.1813202232592896</v>
      </c>
      <c r="K89" s="26">
        <v>3.1088211558755998</v>
      </c>
      <c r="L89" s="26">
        <v>6.14563287603203</v>
      </c>
      <c r="M89" s="26">
        <v>-6.4336706189086899</v>
      </c>
      <c r="N89" s="26">
        <v>-17.889495775623502</v>
      </c>
      <c r="O89" s="26">
        <v>7.49648101016456</v>
      </c>
      <c r="P89" s="26">
        <v>-4.7480149084427197</v>
      </c>
      <c r="Q89" s="26">
        <v>-12.747397703277001</v>
      </c>
      <c r="R89" s="26">
        <v>9.7677214146281806</v>
      </c>
      <c r="S89" s="26">
        <v>-3.6280564021552402</v>
      </c>
      <c r="T89" s="26">
        <v>1.7926103233174999</v>
      </c>
      <c r="U89" s="26">
        <v>2.09980242559234</v>
      </c>
      <c r="V89" s="26">
        <v>-4.3505753287983904</v>
      </c>
      <c r="X89" s="146"/>
    </row>
    <row r="91" spans="1:24" ht="13" customHeight="1">
      <c r="A91" s="101" t="s">
        <v>45</v>
      </c>
      <c r="B91" s="193" t="s">
        <v>2</v>
      </c>
      <c r="C91" s="193"/>
      <c r="D91" s="193"/>
      <c r="E91" s="193" t="s">
        <v>3</v>
      </c>
      <c r="F91" s="193"/>
      <c r="G91" s="193"/>
      <c r="H91" s="193" t="s">
        <v>4</v>
      </c>
      <c r="I91" s="193"/>
      <c r="J91" s="193"/>
      <c r="K91" s="193" t="s">
        <v>5</v>
      </c>
      <c r="L91" s="193"/>
      <c r="M91" s="193"/>
      <c r="N91" s="193" t="s">
        <v>6</v>
      </c>
      <c r="O91" s="193"/>
      <c r="P91" s="193"/>
      <c r="Q91" s="193" t="s">
        <v>7</v>
      </c>
      <c r="R91" s="193"/>
      <c r="S91" s="193"/>
      <c r="T91" s="193" t="s">
        <v>8</v>
      </c>
      <c r="U91" s="193"/>
      <c r="V91" s="193"/>
      <c r="W91" s="10"/>
    </row>
    <row r="92" spans="1:24" s="46" customFormat="1" ht="14">
      <c r="A92" s="26">
        <v>300</v>
      </c>
      <c r="B92" s="49">
        <v>88.994499313704196</v>
      </c>
      <c r="C92" s="49">
        <v>89.474734339900394</v>
      </c>
      <c r="D92" s="49">
        <v>88.513920279609593</v>
      </c>
      <c r="E92" s="49">
        <v>84.893206943366906</v>
      </c>
      <c r="F92" s="49">
        <v>87.567882079131095</v>
      </c>
      <c r="G92" s="49">
        <v>90.318924553917796</v>
      </c>
      <c r="H92" s="49">
        <v>79.846718066902</v>
      </c>
      <c r="I92" s="49">
        <v>76.371459853455704</v>
      </c>
      <c r="J92" s="49">
        <v>76.905879380440894</v>
      </c>
      <c r="K92" s="26">
        <v>72.9583937680286</v>
      </c>
      <c r="L92" s="26">
        <v>84.9350564690928</v>
      </c>
      <c r="M92" s="26">
        <v>68.039960235328607</v>
      </c>
      <c r="N92" s="26">
        <v>80.938948959744806</v>
      </c>
      <c r="O92" s="26">
        <v>81.100264557580402</v>
      </c>
      <c r="P92" s="26">
        <v>78.846455204962993</v>
      </c>
      <c r="Q92" s="26">
        <v>81.665333533963206</v>
      </c>
      <c r="R92" s="26">
        <v>73.922340400256601</v>
      </c>
      <c r="S92" s="26">
        <v>85.259248113155294</v>
      </c>
      <c r="T92" s="26">
        <v>81.087727536733397</v>
      </c>
      <c r="U92" s="26">
        <v>77.310586868674406</v>
      </c>
      <c r="V92" s="26">
        <v>72.453380457483206</v>
      </c>
      <c r="W92" s="26"/>
      <c r="X92" s="156"/>
    </row>
    <row r="93" spans="1:24" s="46" customFormat="1" ht="14">
      <c r="A93" s="26">
        <v>100</v>
      </c>
      <c r="B93" s="49">
        <v>77.580661251982306</v>
      </c>
      <c r="C93" s="49">
        <v>72.992971918635206</v>
      </c>
      <c r="D93" s="49">
        <v>80.110151329074498</v>
      </c>
      <c r="E93" s="49">
        <v>81.988217610550805</v>
      </c>
      <c r="F93" s="49">
        <v>83.257976144297899</v>
      </c>
      <c r="G93" s="49">
        <v>81.853665632273106</v>
      </c>
      <c r="H93" s="49">
        <v>73.430621166994598</v>
      </c>
      <c r="I93" s="49">
        <v>69.687387546034401</v>
      </c>
      <c r="J93" s="49">
        <v>56.5849214066412</v>
      </c>
      <c r="K93" s="26">
        <v>76.9413797037206</v>
      </c>
      <c r="L93" s="26">
        <v>59.505223187366603</v>
      </c>
      <c r="M93" s="26">
        <v>54.384706898518601</v>
      </c>
      <c r="N93" s="26">
        <v>65.484453785385696</v>
      </c>
      <c r="O93" s="26">
        <v>63.3910382271877</v>
      </c>
      <c r="P93" s="26">
        <v>59.043352414664</v>
      </c>
      <c r="Q93" s="26">
        <v>58.158376165171198</v>
      </c>
      <c r="R93" s="26">
        <v>62.306662759663901</v>
      </c>
      <c r="S93" s="26">
        <v>55.392059808820797</v>
      </c>
      <c r="T93" s="26">
        <v>54.851645431964499</v>
      </c>
      <c r="U93" s="26">
        <v>61.008267322450301</v>
      </c>
      <c r="V93" s="26">
        <v>53.663449537203</v>
      </c>
      <c r="W93" s="26"/>
      <c r="X93" s="156"/>
    </row>
    <row r="94" spans="1:24" s="46" customFormat="1" ht="14">
      <c r="A94" s="26">
        <f>100/3</f>
        <v>33.3333333333333</v>
      </c>
      <c r="B94" s="49">
        <v>61.557461359312803</v>
      </c>
      <c r="C94" s="49">
        <v>68.668104619682097</v>
      </c>
      <c r="D94" s="49">
        <v>60.2206466660475</v>
      </c>
      <c r="E94" s="49">
        <v>72.884745927075301</v>
      </c>
      <c r="F94" s="49">
        <v>71.0579906904577</v>
      </c>
      <c r="G94" s="49">
        <v>65.051032777346805</v>
      </c>
      <c r="H94" s="49">
        <v>52.306502614674301</v>
      </c>
      <c r="I94" s="49">
        <v>52.573712378166903</v>
      </c>
      <c r="J94" s="49">
        <v>49.364132640170297</v>
      </c>
      <c r="K94" s="26">
        <v>46.783787747918097</v>
      </c>
      <c r="L94" s="26">
        <v>41.404149215299597</v>
      </c>
      <c r="M94" s="26">
        <v>42.204331741659999</v>
      </c>
      <c r="N94" s="26">
        <v>40.0353050708406</v>
      </c>
      <c r="O94" s="26">
        <v>29.238682558557599</v>
      </c>
      <c r="P94" s="26">
        <v>26.6599375017284</v>
      </c>
      <c r="Q94" s="26">
        <v>31.599204872138099</v>
      </c>
      <c r="R94" s="26">
        <v>36.579841449603599</v>
      </c>
      <c r="S94" s="26">
        <v>44.879582478676497</v>
      </c>
      <c r="T94" s="26">
        <v>36.697828746555302</v>
      </c>
      <c r="U94" s="26">
        <v>38.9676351009009</v>
      </c>
      <c r="V94" s="26">
        <v>35.184315567034503</v>
      </c>
      <c r="W94" s="26"/>
      <c r="X94" s="156"/>
    </row>
    <row r="95" spans="1:24" s="46" customFormat="1" ht="14">
      <c r="A95" s="26">
        <f t="shared" ref="A95:A100" si="2">A94/3</f>
        <v>11.1111111111111</v>
      </c>
      <c r="B95" s="49">
        <v>56.611659803709102</v>
      </c>
      <c r="C95" s="49">
        <v>50.745981127726701</v>
      </c>
      <c r="D95" s="49">
        <v>45.839396472543001</v>
      </c>
      <c r="E95" s="49">
        <v>48.450227889837102</v>
      </c>
      <c r="F95" s="49">
        <v>53.988072148952703</v>
      </c>
      <c r="G95" s="49">
        <v>53.403801396431298</v>
      </c>
      <c r="H95" s="49">
        <v>36.793023451676397</v>
      </c>
      <c r="I95" s="49">
        <v>30.741373105988099</v>
      </c>
      <c r="J95" s="49">
        <v>15.656654595012601</v>
      </c>
      <c r="K95" s="26">
        <v>28.004758722967399</v>
      </c>
      <c r="L95" s="26">
        <v>35.972360293997802</v>
      </c>
      <c r="M95" s="26">
        <v>29.9180261077883</v>
      </c>
      <c r="N95" s="26">
        <v>28.916512264594498</v>
      </c>
      <c r="O95" s="26">
        <v>11.9898970345584</v>
      </c>
      <c r="P95" s="26">
        <v>33.590055584745997</v>
      </c>
      <c r="Q95" s="26">
        <v>13.610624935653201</v>
      </c>
      <c r="R95" s="26">
        <v>6.1368982093783897</v>
      </c>
      <c r="S95" s="26">
        <v>1.9846518147763901</v>
      </c>
      <c r="T95" s="26">
        <v>25.0206992004548</v>
      </c>
      <c r="U95" s="26">
        <v>26.318569963297499</v>
      </c>
      <c r="V95" s="26">
        <v>6.6296140680416702</v>
      </c>
      <c r="W95" s="26"/>
      <c r="X95" s="156"/>
    </row>
    <row r="96" spans="1:24" s="46" customFormat="1" ht="14">
      <c r="A96" s="26">
        <f t="shared" si="2"/>
        <v>3.7037037037037002</v>
      </c>
      <c r="B96" s="49">
        <v>42.169864220082502</v>
      </c>
      <c r="C96" s="49">
        <v>38.620734732069501</v>
      </c>
      <c r="D96" s="49">
        <v>40.053871636892801</v>
      </c>
      <c r="E96" s="49">
        <v>33.110696276183099</v>
      </c>
      <c r="F96" s="49">
        <v>35.351410977501899</v>
      </c>
      <c r="G96" s="49">
        <v>40.858344647013197</v>
      </c>
      <c r="H96" s="49">
        <v>15.923864358505201</v>
      </c>
      <c r="I96" s="49">
        <v>29.034752582134502</v>
      </c>
      <c r="J96" s="49">
        <v>7.89608679340627</v>
      </c>
      <c r="K96" s="26">
        <v>28.5735238995453</v>
      </c>
      <c r="L96" s="26">
        <v>28.780495754632401</v>
      </c>
      <c r="M96" s="26">
        <v>-0.45631590097944902</v>
      </c>
      <c r="N96" s="26">
        <v>19.4062664196233</v>
      </c>
      <c r="O96" s="26">
        <v>8.4423365872993905</v>
      </c>
      <c r="P96" s="26">
        <v>9.2489145764774197</v>
      </c>
      <c r="Q96" s="26">
        <v>-5.4906588315421798</v>
      </c>
      <c r="R96" s="26">
        <v>14.440599038560499</v>
      </c>
      <c r="S96" s="26">
        <v>9.7355645487015803</v>
      </c>
      <c r="T96" s="26">
        <v>26.210439811668198</v>
      </c>
      <c r="U96" s="26">
        <v>12.472967462092701</v>
      </c>
      <c r="V96" s="26">
        <v>9.6597298599868999</v>
      </c>
      <c r="W96" s="26"/>
      <c r="X96" s="156"/>
    </row>
    <row r="97" spans="1:24" s="46" customFormat="1" ht="14">
      <c r="A97" s="26">
        <f t="shared" si="2"/>
        <v>1.2345679012345701</v>
      </c>
      <c r="B97" s="49">
        <v>32.709303005597</v>
      </c>
      <c r="C97" s="49">
        <v>20.084557141432001</v>
      </c>
      <c r="D97" s="49">
        <v>29.321169214045199</v>
      </c>
      <c r="E97" s="49">
        <v>9.9265418929402607</v>
      </c>
      <c r="F97" s="49">
        <v>30.267528122575602</v>
      </c>
      <c r="G97" s="49">
        <v>22.852623157486398</v>
      </c>
      <c r="H97" s="49">
        <v>2.81067920281144</v>
      </c>
      <c r="I97" s="49">
        <v>18.0646050425315</v>
      </c>
      <c r="J97" s="49">
        <v>-2.8099135587899799</v>
      </c>
      <c r="K97" s="26">
        <v>15.4821466403742</v>
      </c>
      <c r="L97" s="26">
        <v>22.880983034826698</v>
      </c>
      <c r="M97" s="26">
        <v>4.6674597871612296</v>
      </c>
      <c r="N97" s="26">
        <v>1.02412359540204</v>
      </c>
      <c r="O97" s="26">
        <v>3.44339666122803</v>
      </c>
      <c r="P97" s="26">
        <v>12.6346985241927</v>
      </c>
      <c r="Q97" s="26">
        <v>-6.3214248944713303</v>
      </c>
      <c r="R97" s="26">
        <v>-10.197277241444899</v>
      </c>
      <c r="S97" s="26">
        <v>-6.3214248944713303</v>
      </c>
      <c r="T97" s="26">
        <v>4.7898567738905804</v>
      </c>
      <c r="U97" s="26">
        <v>3.5991893328060698</v>
      </c>
      <c r="V97" s="26">
        <v>9.8759901632456408</v>
      </c>
      <c r="W97" s="26"/>
      <c r="X97" s="156"/>
    </row>
    <row r="98" spans="1:24" s="46" customFormat="1" ht="14">
      <c r="A98" s="26">
        <f t="shared" si="2"/>
        <v>0.41152263374485598</v>
      </c>
      <c r="B98" s="49">
        <v>6.1140523786426098</v>
      </c>
      <c r="C98" s="49">
        <v>18.880529496957202</v>
      </c>
      <c r="D98" s="49">
        <v>14.7861474899464</v>
      </c>
      <c r="E98" s="49">
        <v>12.4696955003879</v>
      </c>
      <c r="F98" s="49">
        <v>8.2313081846392606</v>
      </c>
      <c r="G98" s="49">
        <v>15.0128491078355</v>
      </c>
      <c r="H98" s="49">
        <v>15.121469424005999</v>
      </c>
      <c r="I98" s="49">
        <v>10.839988055953301</v>
      </c>
      <c r="J98" s="49">
        <v>-0.13322205973554699</v>
      </c>
      <c r="K98" s="26">
        <v>13.749775916298599</v>
      </c>
      <c r="L98" s="26">
        <v>21.743452681670799</v>
      </c>
      <c r="M98" s="26">
        <v>2.8079724906699699</v>
      </c>
      <c r="N98" s="26">
        <v>1.34675479107326</v>
      </c>
      <c r="O98" s="26">
        <v>6.99141801019515</v>
      </c>
      <c r="P98" s="26">
        <v>-10.1061917535466</v>
      </c>
      <c r="Q98" s="26">
        <v>2.2610458624048699</v>
      </c>
      <c r="R98" s="26">
        <v>-1.8912005321971299</v>
      </c>
      <c r="S98" s="26">
        <v>6.6904782646571999</v>
      </c>
      <c r="T98" s="26">
        <v>11.823568665735699</v>
      </c>
      <c r="U98" s="26">
        <v>13.338317618417999</v>
      </c>
      <c r="V98" s="26">
        <v>7.17057376947887</v>
      </c>
      <c r="W98" s="26"/>
      <c r="X98" s="156"/>
    </row>
    <row r="99" spans="1:24" s="46" customFormat="1" ht="14">
      <c r="A99" s="26">
        <f t="shared" si="2"/>
        <v>0.13717421124828499</v>
      </c>
      <c r="B99" s="49">
        <v>11.895793127410199</v>
      </c>
      <c r="C99" s="49">
        <v>10.691421475037099</v>
      </c>
      <c r="D99" s="49">
        <v>7.55957356780912</v>
      </c>
      <c r="E99" s="49">
        <v>6.1118114817688101</v>
      </c>
      <c r="F99" s="49">
        <v>8.0191766873545394</v>
      </c>
      <c r="G99" s="49">
        <v>12.8933524049651</v>
      </c>
      <c r="H99" s="49">
        <v>8.4312719644128702</v>
      </c>
      <c r="I99" s="49">
        <v>8.3707860867168407</v>
      </c>
      <c r="J99" s="49">
        <v>-3.0778889663040099</v>
      </c>
      <c r="K99" s="26">
        <v>-5.0096967128958099</v>
      </c>
      <c r="L99" s="26">
        <v>8.6520754224996299</v>
      </c>
      <c r="M99" s="26">
        <v>2.9595345577810002</v>
      </c>
      <c r="N99" s="26">
        <v>-1.39514947042394</v>
      </c>
      <c r="O99" s="26">
        <v>1.50807038890886</v>
      </c>
      <c r="P99" s="26">
        <v>1.02412359540204</v>
      </c>
      <c r="Q99" s="26">
        <v>-12.412389422581899</v>
      </c>
      <c r="R99" s="26">
        <v>9.1819844934227692</v>
      </c>
      <c r="S99" s="26">
        <v>3.9217860282412902</v>
      </c>
      <c r="T99" s="26">
        <v>12.1482680639142</v>
      </c>
      <c r="U99" s="26">
        <v>3.4910591811767002</v>
      </c>
      <c r="V99" s="26">
        <v>-0.18907329370620701</v>
      </c>
      <c r="W99" s="26"/>
      <c r="X99" s="156"/>
    </row>
    <row r="100" spans="1:24" s="46" customFormat="1" ht="14">
      <c r="A100" s="26">
        <f t="shared" si="2"/>
        <v>4.5724737082761799E-2</v>
      </c>
      <c r="B100" s="49">
        <v>11.2937793051728</v>
      </c>
      <c r="C100" s="49">
        <v>11.2937793051728</v>
      </c>
      <c r="D100" s="49">
        <v>14.7861474899464</v>
      </c>
      <c r="E100" s="49">
        <v>-0.88246702870442195</v>
      </c>
      <c r="F100" s="49">
        <v>2.0849495733126502</v>
      </c>
      <c r="G100" s="49">
        <v>-0.67094162141194702</v>
      </c>
      <c r="H100" s="49">
        <v>5.9628356391979098</v>
      </c>
      <c r="I100" s="49">
        <v>14.985950432206</v>
      </c>
      <c r="J100" s="49">
        <v>2.27549403180485</v>
      </c>
      <c r="K100" s="26">
        <v>3.0133146461107199</v>
      </c>
      <c r="L100" s="26">
        <v>8.0833102459216803</v>
      </c>
      <c r="M100" s="26">
        <v>6.79258812600838</v>
      </c>
      <c r="N100" s="26">
        <v>-16.075790676880199</v>
      </c>
      <c r="O100" s="26">
        <v>6.3461556188527197</v>
      </c>
      <c r="P100" s="26">
        <v>-4.6210005254279496</v>
      </c>
      <c r="Q100" s="26">
        <v>-28.197736578257501</v>
      </c>
      <c r="R100" s="26">
        <v>0.60030569656843702</v>
      </c>
      <c r="S100" s="26">
        <v>-1.0612264292898499</v>
      </c>
      <c r="T100" s="26">
        <v>1.65099294373525</v>
      </c>
      <c r="U100" s="26">
        <v>-8.0943142076840405E-2</v>
      </c>
      <c r="V100" s="26">
        <v>-0.73034193843378103</v>
      </c>
      <c r="W100" s="26"/>
      <c r="X100" s="156"/>
    </row>
    <row r="101" spans="1:24" s="63" customFormat="1">
      <c r="A101" s="157"/>
      <c r="B101" s="158"/>
      <c r="C101" s="158"/>
      <c r="D101" s="158"/>
      <c r="E101" s="158"/>
      <c r="F101" s="158"/>
      <c r="G101" s="158"/>
      <c r="H101" s="158"/>
      <c r="I101" s="158"/>
      <c r="J101" s="158"/>
      <c r="K101" s="159"/>
      <c r="X101" s="160"/>
    </row>
    <row r="102" spans="1:24" s="63" customFormat="1">
      <c r="A102" s="157" t="s">
        <v>46</v>
      </c>
      <c r="B102" s="158"/>
      <c r="C102" s="158"/>
      <c r="D102" s="158"/>
      <c r="E102" s="158"/>
      <c r="F102" s="158"/>
      <c r="G102" s="158"/>
      <c r="H102" s="158"/>
      <c r="I102" s="158"/>
      <c r="J102" s="158"/>
      <c r="K102" s="159"/>
      <c r="X102" s="160"/>
    </row>
    <row r="103" spans="1:24">
      <c r="A103" s="157"/>
      <c r="B103" s="158"/>
      <c r="C103" s="158"/>
      <c r="D103" s="158"/>
      <c r="E103" s="158"/>
      <c r="F103" s="158"/>
      <c r="G103" s="158"/>
      <c r="H103" s="158"/>
      <c r="I103" s="158"/>
      <c r="J103" s="158"/>
      <c r="K103" s="28"/>
    </row>
    <row r="104" spans="1:24" ht="46">
      <c r="A104" s="161"/>
      <c r="B104" s="198" t="s">
        <v>47</v>
      </c>
      <c r="C104" s="198"/>
      <c r="D104" s="198"/>
      <c r="E104" s="162" t="s">
        <v>48</v>
      </c>
      <c r="F104" s="198" t="s">
        <v>49</v>
      </c>
      <c r="G104" s="198"/>
      <c r="H104" s="198"/>
      <c r="I104" s="163" t="s">
        <v>50</v>
      </c>
      <c r="J104" s="158" t="s">
        <v>51</v>
      </c>
      <c r="K104" s="28"/>
    </row>
    <row r="105" spans="1:24">
      <c r="A105" s="161" t="s">
        <v>52</v>
      </c>
      <c r="B105" s="1">
        <v>185</v>
      </c>
      <c r="C105" s="1">
        <v>934</v>
      </c>
      <c r="D105" s="1">
        <v>261</v>
      </c>
      <c r="E105" s="1">
        <f t="shared" ref="E105:E110" si="3">AVERAGE(B105:D105)</f>
        <v>460</v>
      </c>
      <c r="F105" s="1">
        <v>42439</v>
      </c>
      <c r="G105" s="1">
        <v>40992</v>
      </c>
      <c r="H105" s="1">
        <v>42339</v>
      </c>
      <c r="I105" s="164">
        <f t="shared" ref="I105:I110" si="4">AVERAGE(F105:H105)</f>
        <v>41923.333333333299</v>
      </c>
      <c r="J105" s="165">
        <f t="shared" ref="J105:J110" si="5">I105/41923.33</f>
        <v>1.00000007951022</v>
      </c>
      <c r="K105" s="28"/>
    </row>
    <row r="106" spans="1:24">
      <c r="A106" s="161" t="s">
        <v>6</v>
      </c>
      <c r="B106" s="1">
        <v>139</v>
      </c>
      <c r="C106" s="1">
        <v>166</v>
      </c>
      <c r="D106" s="1">
        <v>168</v>
      </c>
      <c r="E106" s="166">
        <f t="shared" si="3"/>
        <v>157.666666666667</v>
      </c>
      <c r="F106" s="1">
        <v>43355</v>
      </c>
      <c r="G106" s="1">
        <v>45259</v>
      </c>
      <c r="H106" s="1">
        <v>51457</v>
      </c>
      <c r="I106" s="164">
        <f t="shared" si="4"/>
        <v>46690.333333333299</v>
      </c>
      <c r="J106" s="165">
        <f t="shared" si="5"/>
        <v>1.11370764997278</v>
      </c>
      <c r="K106" s="28"/>
    </row>
    <row r="107" spans="1:24">
      <c r="A107" s="161" t="s">
        <v>53</v>
      </c>
      <c r="B107" s="1">
        <v>165</v>
      </c>
      <c r="C107" s="1">
        <v>137</v>
      </c>
      <c r="D107" s="1">
        <v>883</v>
      </c>
      <c r="E107" s="1">
        <f t="shared" si="3"/>
        <v>395</v>
      </c>
      <c r="F107" s="1">
        <v>57100</v>
      </c>
      <c r="G107" s="1">
        <v>59770</v>
      </c>
      <c r="H107" s="1">
        <v>60565</v>
      </c>
      <c r="I107" s="164">
        <f t="shared" si="4"/>
        <v>59145</v>
      </c>
      <c r="J107" s="165">
        <f t="shared" si="5"/>
        <v>1.4107896486276299</v>
      </c>
      <c r="K107" s="28"/>
    </row>
    <row r="108" spans="1:24">
      <c r="A108" s="161" t="s">
        <v>4</v>
      </c>
      <c r="B108" s="1">
        <v>143</v>
      </c>
      <c r="C108" s="1">
        <v>178</v>
      </c>
      <c r="D108" s="1">
        <v>186</v>
      </c>
      <c r="E108" s="1">
        <f t="shared" si="3"/>
        <v>169</v>
      </c>
      <c r="F108" s="1">
        <v>38751</v>
      </c>
      <c r="G108" s="1">
        <v>39622</v>
      </c>
      <c r="H108" s="1">
        <v>38414</v>
      </c>
      <c r="I108" s="164">
        <f t="shared" si="4"/>
        <v>38929</v>
      </c>
      <c r="J108" s="165">
        <f t="shared" si="5"/>
        <v>0.92857604584368603</v>
      </c>
      <c r="K108" s="28"/>
    </row>
    <row r="109" spans="1:24">
      <c r="A109" s="161" t="s">
        <v>5</v>
      </c>
      <c r="B109" s="1">
        <v>160</v>
      </c>
      <c r="C109" s="1">
        <v>446</v>
      </c>
      <c r="D109" s="1">
        <v>531</v>
      </c>
      <c r="E109" s="1">
        <f t="shared" si="3"/>
        <v>379</v>
      </c>
      <c r="F109" s="1">
        <v>64058</v>
      </c>
      <c r="G109" s="1">
        <v>59870</v>
      </c>
      <c r="H109" s="1">
        <v>58979</v>
      </c>
      <c r="I109" s="164">
        <f t="shared" si="4"/>
        <v>60969</v>
      </c>
      <c r="J109" s="165">
        <f t="shared" si="5"/>
        <v>1.4542976428637699</v>
      </c>
      <c r="K109" s="28"/>
    </row>
    <row r="110" spans="1:24">
      <c r="A110" s="161" t="s">
        <v>8</v>
      </c>
      <c r="B110" s="1">
        <v>186</v>
      </c>
      <c r="C110" s="1">
        <v>155</v>
      </c>
      <c r="D110" s="1">
        <v>208</v>
      </c>
      <c r="E110" s="1">
        <f t="shared" si="3"/>
        <v>183</v>
      </c>
      <c r="F110" s="1">
        <v>45903</v>
      </c>
      <c r="G110" s="1">
        <v>48032</v>
      </c>
      <c r="H110" s="1">
        <v>35091</v>
      </c>
      <c r="I110" s="164">
        <f t="shared" si="4"/>
        <v>43008.666666666701</v>
      </c>
      <c r="J110" s="165">
        <f t="shared" si="5"/>
        <v>1.0258886082442999</v>
      </c>
      <c r="K110" s="28"/>
    </row>
    <row r="111" spans="1:24">
      <c r="A111" s="142"/>
      <c r="B111" s="28"/>
      <c r="C111" s="28"/>
      <c r="D111" s="28"/>
      <c r="E111" s="28"/>
      <c r="F111" s="28"/>
      <c r="G111" s="28"/>
      <c r="H111" s="28"/>
      <c r="I111" s="28"/>
      <c r="J111" s="28"/>
      <c r="K111" s="28"/>
    </row>
    <row r="117" spans="1:23">
      <c r="A117" s="142" t="s">
        <v>54</v>
      </c>
    </row>
    <row r="118" spans="1:23">
      <c r="A118" s="141" t="s">
        <v>55</v>
      </c>
      <c r="M118" s="199" t="s">
        <v>56</v>
      </c>
      <c r="N118" s="200"/>
      <c r="O118" s="200"/>
      <c r="P118" s="200"/>
      <c r="Q118" s="200"/>
      <c r="R118" s="200"/>
      <c r="S118" s="200"/>
      <c r="T118" s="200"/>
      <c r="U118" s="200"/>
      <c r="V118" s="201"/>
      <c r="W118" s="167"/>
    </row>
    <row r="119" spans="1:23" ht="50">
      <c r="A119" s="146"/>
      <c r="B119" s="202" t="s">
        <v>47</v>
      </c>
      <c r="C119" s="202"/>
      <c r="D119" s="202"/>
      <c r="E119" s="168" t="s">
        <v>48</v>
      </c>
      <c r="F119" s="202" t="s">
        <v>49</v>
      </c>
      <c r="G119" s="202"/>
      <c r="H119" s="202"/>
      <c r="I119" s="169" t="s">
        <v>50</v>
      </c>
      <c r="J119" s="26"/>
      <c r="K119" s="170"/>
      <c r="M119" s="203" t="s">
        <v>47</v>
      </c>
      <c r="N119" s="198"/>
      <c r="O119" s="198"/>
      <c r="P119" s="162" t="s">
        <v>48</v>
      </c>
      <c r="Q119" s="198" t="s">
        <v>49</v>
      </c>
      <c r="R119" s="198"/>
      <c r="S119" s="198"/>
      <c r="T119" s="163" t="s">
        <v>50</v>
      </c>
      <c r="U119" s="49"/>
      <c r="V119" s="171" t="s">
        <v>57</v>
      </c>
      <c r="W119" s="172"/>
    </row>
    <row r="120" spans="1:23">
      <c r="A120" s="146"/>
      <c r="B120" s="204" t="s">
        <v>31</v>
      </c>
      <c r="C120" s="204"/>
      <c r="D120" s="204"/>
      <c r="E120" s="173"/>
      <c r="F120" s="204" t="s">
        <v>31</v>
      </c>
      <c r="G120" s="204"/>
      <c r="H120" s="204"/>
      <c r="I120" s="174"/>
      <c r="J120" s="26"/>
      <c r="K120" s="175"/>
      <c r="M120" s="205" t="s">
        <v>31</v>
      </c>
      <c r="N120" s="206"/>
      <c r="O120" s="206"/>
      <c r="P120" s="1"/>
      <c r="Q120" s="206" t="s">
        <v>31</v>
      </c>
      <c r="R120" s="206"/>
      <c r="S120" s="206"/>
      <c r="T120" s="1"/>
      <c r="U120" s="1"/>
      <c r="V120" s="108"/>
      <c r="W120" s="1"/>
    </row>
    <row r="121" spans="1:23">
      <c r="A121" s="146" t="s">
        <v>52</v>
      </c>
      <c r="B121" s="21">
        <v>288</v>
      </c>
      <c r="C121" s="21">
        <v>271</v>
      </c>
      <c r="D121" s="21">
        <v>273</v>
      </c>
      <c r="E121" s="174">
        <v>277.33333333333297</v>
      </c>
      <c r="F121" s="21">
        <v>5464</v>
      </c>
      <c r="G121" s="21">
        <v>5013</v>
      </c>
      <c r="H121" s="21">
        <v>5282</v>
      </c>
      <c r="I121" s="174">
        <v>5253</v>
      </c>
      <c r="J121" s="26"/>
      <c r="K121" s="175"/>
      <c r="M121" s="176">
        <f t="shared" ref="M121:S121" si="6">B121/1</f>
        <v>288</v>
      </c>
      <c r="N121" s="175">
        <f t="shared" si="6"/>
        <v>271</v>
      </c>
      <c r="O121" s="175">
        <f t="shared" si="6"/>
        <v>273</v>
      </c>
      <c r="P121" s="175">
        <f t="shared" ref="P121:P126" si="7">AVERAGE(M121:O121)</f>
        <v>277.33333333333297</v>
      </c>
      <c r="Q121" s="175">
        <f t="shared" si="6"/>
        <v>5464</v>
      </c>
      <c r="R121" s="175">
        <f t="shared" si="6"/>
        <v>5013</v>
      </c>
      <c r="S121" s="175">
        <f t="shared" si="6"/>
        <v>5282</v>
      </c>
      <c r="T121" s="175">
        <f t="shared" ref="T121:T126" si="8">AVERAGE(Q121:S121)</f>
        <v>5253</v>
      </c>
      <c r="U121" s="175"/>
      <c r="V121" s="177">
        <f t="shared" ref="V121:V126" si="9">T121/P121</f>
        <v>18.941105769230798</v>
      </c>
      <c r="W121" s="175"/>
    </row>
    <row r="122" spans="1:23">
      <c r="A122" s="146" t="s">
        <v>6</v>
      </c>
      <c r="B122" s="21">
        <v>377</v>
      </c>
      <c r="C122" s="21">
        <v>334</v>
      </c>
      <c r="D122" s="21">
        <v>324</v>
      </c>
      <c r="E122" s="174">
        <v>345</v>
      </c>
      <c r="F122" s="21">
        <v>1595</v>
      </c>
      <c r="G122" s="21">
        <v>1637</v>
      </c>
      <c r="H122" s="21">
        <v>1750</v>
      </c>
      <c r="I122" s="174">
        <v>1660.6666666666699</v>
      </c>
      <c r="J122" s="26"/>
      <c r="K122" s="175"/>
      <c r="M122" s="176">
        <v>339.63963963964</v>
      </c>
      <c r="N122" s="175">
        <v>300.90090090090098</v>
      </c>
      <c r="O122" s="175">
        <v>291.89189189189199</v>
      </c>
      <c r="P122" s="175">
        <f t="shared" si="7"/>
        <v>310.81081081081101</v>
      </c>
      <c r="Q122" s="175">
        <v>1436.9369369369399</v>
      </c>
      <c r="R122" s="175">
        <v>1474.7747747747701</v>
      </c>
      <c r="S122" s="175">
        <v>1576.57657657658</v>
      </c>
      <c r="T122" s="175">
        <f t="shared" si="8"/>
        <v>1496.0960960960999</v>
      </c>
      <c r="U122" s="175"/>
      <c r="V122" s="177">
        <f t="shared" si="9"/>
        <v>4.8135265700483103</v>
      </c>
      <c r="W122" s="175"/>
    </row>
    <row r="123" spans="1:23">
      <c r="A123" s="146" t="s">
        <v>4</v>
      </c>
      <c r="B123" s="21">
        <v>229</v>
      </c>
      <c r="C123" s="21">
        <v>217</v>
      </c>
      <c r="D123" s="21">
        <v>222</v>
      </c>
      <c r="E123" s="174">
        <v>222.666666666667</v>
      </c>
      <c r="F123" s="21">
        <v>1170</v>
      </c>
      <c r="G123" s="21">
        <v>1219</v>
      </c>
      <c r="H123" s="21">
        <v>1191</v>
      </c>
      <c r="I123" s="174">
        <v>1193.3333333333301</v>
      </c>
      <c r="J123" s="26"/>
      <c r="K123" s="175"/>
      <c r="M123" s="176">
        <v>246.23655913978499</v>
      </c>
      <c r="N123" s="175">
        <v>233.333333333333</v>
      </c>
      <c r="O123" s="175">
        <v>238.70967741935499</v>
      </c>
      <c r="P123" s="175">
        <f t="shared" si="7"/>
        <v>239.426523297491</v>
      </c>
      <c r="Q123" s="175">
        <v>1258.0645161290299</v>
      </c>
      <c r="R123" s="175">
        <v>1310.7526881720401</v>
      </c>
      <c r="S123" s="175">
        <v>1280.6451612903199</v>
      </c>
      <c r="T123" s="175">
        <f t="shared" si="8"/>
        <v>1283.1541218637999</v>
      </c>
      <c r="U123" s="175"/>
      <c r="V123" s="177">
        <f t="shared" si="9"/>
        <v>5.3592814371257402</v>
      </c>
      <c r="W123" s="175"/>
    </row>
    <row r="124" spans="1:23">
      <c r="A124" s="146" t="s">
        <v>5</v>
      </c>
      <c r="B124" s="21">
        <v>354</v>
      </c>
      <c r="C124" s="21">
        <v>344</v>
      </c>
      <c r="D124" s="21">
        <v>330</v>
      </c>
      <c r="E124" s="174">
        <v>342.66666666666703</v>
      </c>
      <c r="F124" s="21">
        <v>1769</v>
      </c>
      <c r="G124" s="21">
        <v>1725</v>
      </c>
      <c r="H124" s="21">
        <v>1765</v>
      </c>
      <c r="I124" s="174">
        <v>1753</v>
      </c>
      <c r="J124" s="26"/>
      <c r="K124" s="175"/>
      <c r="M124" s="176">
        <v>244.13793103448299</v>
      </c>
      <c r="N124" s="175">
        <v>237.241379310345</v>
      </c>
      <c r="O124" s="175">
        <v>227.586206896552</v>
      </c>
      <c r="P124" s="175">
        <f t="shared" si="7"/>
        <v>236.32183908045999</v>
      </c>
      <c r="Q124" s="175">
        <v>1220</v>
      </c>
      <c r="R124" s="175">
        <v>1189.6551724137901</v>
      </c>
      <c r="S124" s="175">
        <v>1217.2413793103401</v>
      </c>
      <c r="T124" s="175">
        <f t="shared" si="8"/>
        <v>1208.96551724138</v>
      </c>
      <c r="U124" s="175"/>
      <c r="V124" s="177">
        <f t="shared" si="9"/>
        <v>5.1157587548638004</v>
      </c>
      <c r="W124" s="175"/>
    </row>
    <row r="125" spans="1:23">
      <c r="A125" s="146" t="s">
        <v>7</v>
      </c>
      <c r="B125" s="21">
        <v>250</v>
      </c>
      <c r="C125" s="21">
        <v>269</v>
      </c>
      <c r="D125" s="21">
        <v>242</v>
      </c>
      <c r="E125" s="174">
        <v>253.666666666667</v>
      </c>
      <c r="F125" s="21">
        <v>1415</v>
      </c>
      <c r="G125" s="21">
        <v>1532</v>
      </c>
      <c r="H125" s="21">
        <v>1472</v>
      </c>
      <c r="I125" s="174">
        <v>1473</v>
      </c>
      <c r="J125" s="26"/>
      <c r="K125" s="175"/>
      <c r="M125" s="176">
        <v>177.30496453900699</v>
      </c>
      <c r="N125" s="175">
        <v>190.78014184397199</v>
      </c>
      <c r="O125" s="175">
        <v>171.63120567375901</v>
      </c>
      <c r="P125" s="175">
        <f t="shared" si="7"/>
        <v>179.905437352246</v>
      </c>
      <c r="Q125" s="175">
        <v>1003.54609929078</v>
      </c>
      <c r="R125" s="175">
        <v>1086.52482269504</v>
      </c>
      <c r="S125" s="175">
        <v>1043.9716312056701</v>
      </c>
      <c r="T125" s="175">
        <f t="shared" si="8"/>
        <v>1044.68085106383</v>
      </c>
      <c r="U125" s="175"/>
      <c r="V125" s="177">
        <f t="shared" si="9"/>
        <v>5.8068331143232497</v>
      </c>
      <c r="W125" s="175"/>
    </row>
    <row r="126" spans="1:23">
      <c r="A126" s="146" t="s">
        <v>8</v>
      </c>
      <c r="B126" s="21">
        <v>265</v>
      </c>
      <c r="C126" s="21">
        <v>280</v>
      </c>
      <c r="D126" s="21">
        <v>262</v>
      </c>
      <c r="E126" s="174">
        <v>269</v>
      </c>
      <c r="F126" s="21">
        <v>1280</v>
      </c>
      <c r="G126" s="21">
        <v>1294</v>
      </c>
      <c r="H126" s="21">
        <v>1385</v>
      </c>
      <c r="I126" s="174">
        <v>1319.6666666666699</v>
      </c>
      <c r="J126" s="26"/>
      <c r="K126" s="175"/>
      <c r="M126" s="176">
        <v>257.28155339805801</v>
      </c>
      <c r="N126" s="175">
        <v>271.84466019417499</v>
      </c>
      <c r="O126" s="175">
        <v>254.368932038835</v>
      </c>
      <c r="P126" s="175">
        <f t="shared" si="7"/>
        <v>261.16504854368901</v>
      </c>
      <c r="Q126" s="175">
        <v>1242.7184466019401</v>
      </c>
      <c r="R126" s="175">
        <v>1256.3106796116499</v>
      </c>
      <c r="S126" s="175">
        <v>1344.6601941747599</v>
      </c>
      <c r="T126" s="175">
        <f t="shared" si="8"/>
        <v>1281.22977346278</v>
      </c>
      <c r="U126" s="175"/>
      <c r="V126" s="177">
        <f t="shared" si="9"/>
        <v>4.9058240396530399</v>
      </c>
      <c r="W126" s="175"/>
    </row>
    <row r="127" spans="1:23">
      <c r="A127" s="146"/>
      <c r="B127" s="21"/>
      <c r="C127" s="21"/>
      <c r="D127" s="21"/>
      <c r="E127" s="174"/>
      <c r="F127" s="21"/>
      <c r="G127" s="21"/>
      <c r="H127" s="21"/>
      <c r="I127" s="174"/>
      <c r="J127" s="26"/>
      <c r="K127" s="175"/>
      <c r="M127" s="107"/>
      <c r="N127" s="1"/>
      <c r="O127" s="1"/>
      <c r="P127" s="1"/>
      <c r="Q127" s="1"/>
      <c r="R127" s="1"/>
      <c r="S127" s="1"/>
      <c r="T127" s="1"/>
      <c r="U127" s="1"/>
      <c r="V127" s="108"/>
      <c r="W127" s="1"/>
    </row>
    <row r="128" spans="1:23">
      <c r="A128" s="146"/>
      <c r="B128" s="21"/>
      <c r="C128" s="21"/>
      <c r="D128" s="21"/>
      <c r="E128" s="174"/>
      <c r="F128" s="21"/>
      <c r="G128" s="21"/>
      <c r="H128" s="21"/>
      <c r="I128" s="174"/>
      <c r="J128" s="26"/>
      <c r="K128" s="175"/>
      <c r="M128" s="107"/>
      <c r="N128" s="1"/>
      <c r="O128" s="1"/>
      <c r="P128" s="1"/>
      <c r="Q128" s="1"/>
      <c r="R128" s="1"/>
      <c r="S128" s="1"/>
      <c r="T128" s="1"/>
      <c r="U128" s="1"/>
      <c r="V128" s="108"/>
      <c r="W128" s="1"/>
    </row>
    <row r="129" spans="1:23" ht="50">
      <c r="A129" s="146"/>
      <c r="B129" s="202" t="s">
        <v>47</v>
      </c>
      <c r="C129" s="202"/>
      <c r="D129" s="202"/>
      <c r="E129" s="170" t="s">
        <v>58</v>
      </c>
      <c r="F129" s="202" t="s">
        <v>49</v>
      </c>
      <c r="G129" s="202"/>
      <c r="H129" s="202"/>
      <c r="I129" s="169" t="s">
        <v>50</v>
      </c>
      <c r="J129" s="26"/>
      <c r="K129" s="170"/>
      <c r="M129" s="203" t="s">
        <v>47</v>
      </c>
      <c r="N129" s="198"/>
      <c r="O129" s="198"/>
      <c r="P129" s="172" t="s">
        <v>58</v>
      </c>
      <c r="Q129" s="198" t="s">
        <v>49</v>
      </c>
      <c r="R129" s="198"/>
      <c r="S129" s="198"/>
      <c r="T129" s="163" t="s">
        <v>50</v>
      </c>
      <c r="U129" s="49"/>
      <c r="V129" s="171" t="s">
        <v>57</v>
      </c>
      <c r="W129" s="172"/>
    </row>
    <row r="130" spans="1:23">
      <c r="A130" s="146"/>
      <c r="B130" s="204" t="s">
        <v>22</v>
      </c>
      <c r="C130" s="204"/>
      <c r="D130" s="204"/>
      <c r="E130" s="173"/>
      <c r="F130" s="204" t="s">
        <v>22</v>
      </c>
      <c r="G130" s="204"/>
      <c r="H130" s="204"/>
      <c r="I130" s="174"/>
      <c r="J130" s="26"/>
      <c r="K130" s="175"/>
      <c r="M130" s="205" t="s">
        <v>22</v>
      </c>
      <c r="N130" s="206"/>
      <c r="O130" s="206"/>
      <c r="P130" s="178"/>
      <c r="Q130" s="206" t="s">
        <v>22</v>
      </c>
      <c r="R130" s="206"/>
      <c r="S130" s="206"/>
      <c r="T130" s="1"/>
      <c r="U130" s="1"/>
      <c r="V130" s="108"/>
      <c r="W130" s="1"/>
    </row>
    <row r="131" spans="1:23">
      <c r="A131" s="146" t="s">
        <v>52</v>
      </c>
      <c r="B131" s="21">
        <v>355</v>
      </c>
      <c r="C131" s="21">
        <v>363</v>
      </c>
      <c r="D131" s="21">
        <v>351</v>
      </c>
      <c r="E131" s="174">
        <v>356.33333333333297</v>
      </c>
      <c r="F131" s="21">
        <v>3353</v>
      </c>
      <c r="G131" s="21">
        <v>3335</v>
      </c>
      <c r="H131" s="21">
        <v>3543</v>
      </c>
      <c r="I131" s="174">
        <v>3410.3333333333298</v>
      </c>
      <c r="J131" s="26"/>
      <c r="K131" s="175"/>
      <c r="M131" s="176">
        <f t="shared" ref="M131:S131" si="10">B131/1</f>
        <v>355</v>
      </c>
      <c r="N131" s="175">
        <f t="shared" si="10"/>
        <v>363</v>
      </c>
      <c r="O131" s="175">
        <f t="shared" si="10"/>
        <v>351</v>
      </c>
      <c r="P131" s="175">
        <f t="shared" ref="P131:P136" si="11">AVERAGE(M131:O131)</f>
        <v>356.33333333333297</v>
      </c>
      <c r="Q131" s="175">
        <f t="shared" si="10"/>
        <v>3353</v>
      </c>
      <c r="R131" s="175">
        <f t="shared" si="10"/>
        <v>3335</v>
      </c>
      <c r="S131" s="175">
        <f t="shared" si="10"/>
        <v>3543</v>
      </c>
      <c r="T131" s="175">
        <f t="shared" ref="T131:T136" si="12">AVERAGE(Q131:S131)</f>
        <v>3410.3333333333298</v>
      </c>
      <c r="U131" s="175"/>
      <c r="V131" s="177">
        <f t="shared" ref="V131:V136" si="13">T131/P131</f>
        <v>9.5706267539756809</v>
      </c>
      <c r="W131" s="175"/>
    </row>
    <row r="132" spans="1:23">
      <c r="A132" s="146" t="s">
        <v>6</v>
      </c>
      <c r="B132" s="21">
        <v>337</v>
      </c>
      <c r="C132" s="21">
        <v>311</v>
      </c>
      <c r="D132" s="21">
        <v>316</v>
      </c>
      <c r="E132" s="174">
        <v>321.33333333333297</v>
      </c>
      <c r="F132" s="21">
        <v>778</v>
      </c>
      <c r="G132" s="21">
        <v>793</v>
      </c>
      <c r="H132" s="21">
        <v>776</v>
      </c>
      <c r="I132" s="174">
        <v>782.33333333333303</v>
      </c>
      <c r="J132" s="26"/>
      <c r="K132" s="175"/>
      <c r="M132" s="176">
        <v>303.60360360360397</v>
      </c>
      <c r="N132" s="175">
        <v>280.18018018018</v>
      </c>
      <c r="O132" s="175">
        <v>284.68468468468501</v>
      </c>
      <c r="P132" s="175">
        <f t="shared" si="11"/>
        <v>289.48948948948998</v>
      </c>
      <c r="Q132" s="175">
        <v>700.90090090090098</v>
      </c>
      <c r="R132" s="175">
        <v>714.41441441441395</v>
      </c>
      <c r="S132" s="175">
        <v>699.09909909909902</v>
      </c>
      <c r="T132" s="175">
        <f t="shared" si="12"/>
        <v>704.80480480480503</v>
      </c>
      <c r="U132" s="175"/>
      <c r="V132" s="177">
        <f t="shared" si="13"/>
        <v>2.4346473029045601</v>
      </c>
      <c r="W132" s="175"/>
    </row>
    <row r="133" spans="1:23">
      <c r="A133" s="146" t="s">
        <v>4</v>
      </c>
      <c r="B133" s="21">
        <v>271</v>
      </c>
      <c r="C133" s="21">
        <v>253</v>
      </c>
      <c r="D133" s="21">
        <v>270</v>
      </c>
      <c r="E133" s="174">
        <v>264.66666666666703</v>
      </c>
      <c r="F133" s="21">
        <v>648</v>
      </c>
      <c r="G133" s="21">
        <v>642</v>
      </c>
      <c r="H133" s="21">
        <v>645</v>
      </c>
      <c r="I133" s="174">
        <v>645</v>
      </c>
      <c r="J133" s="26"/>
      <c r="K133" s="175"/>
      <c r="M133" s="176">
        <v>291.39784946236603</v>
      </c>
      <c r="N133" s="175">
        <v>272.04301075268802</v>
      </c>
      <c r="O133" s="175">
        <v>290.322580645161</v>
      </c>
      <c r="P133" s="175">
        <f t="shared" si="11"/>
        <v>284.58781362007198</v>
      </c>
      <c r="Q133" s="175">
        <v>696.77419354838696</v>
      </c>
      <c r="R133" s="175">
        <v>690.322580645161</v>
      </c>
      <c r="S133" s="175">
        <v>693.54838709677404</v>
      </c>
      <c r="T133" s="175">
        <f t="shared" si="12"/>
        <v>693.54838709677404</v>
      </c>
      <c r="U133" s="175"/>
      <c r="V133" s="177">
        <f t="shared" si="13"/>
        <v>2.4370277078085598</v>
      </c>
      <c r="W133" s="175"/>
    </row>
    <row r="134" spans="1:23">
      <c r="A134" s="146" t="s">
        <v>5</v>
      </c>
      <c r="B134" s="21">
        <v>380</v>
      </c>
      <c r="C134" s="21">
        <v>365</v>
      </c>
      <c r="D134" s="21">
        <v>368</v>
      </c>
      <c r="E134" s="174">
        <v>371</v>
      </c>
      <c r="F134" s="21">
        <v>917</v>
      </c>
      <c r="G134" s="21">
        <v>947</v>
      </c>
      <c r="H134" s="21">
        <v>931</v>
      </c>
      <c r="I134" s="174">
        <v>931.66666666666697</v>
      </c>
      <c r="J134" s="26"/>
      <c r="K134" s="175"/>
      <c r="M134" s="176">
        <v>262.068965517241</v>
      </c>
      <c r="N134" s="175">
        <v>251.72413793103399</v>
      </c>
      <c r="O134" s="175">
        <v>253.79310344827601</v>
      </c>
      <c r="P134" s="175">
        <f t="shared" si="11"/>
        <v>255.86206896551701</v>
      </c>
      <c r="Q134" s="175">
        <v>632.41379310344803</v>
      </c>
      <c r="R134" s="175">
        <v>653.10344827586198</v>
      </c>
      <c r="S134" s="175">
        <v>642.06896551724105</v>
      </c>
      <c r="T134" s="175">
        <f t="shared" si="12"/>
        <v>642.52873563218395</v>
      </c>
      <c r="U134" s="175"/>
      <c r="V134" s="177">
        <f t="shared" si="13"/>
        <v>2.5112309074573198</v>
      </c>
      <c r="W134" s="175"/>
    </row>
    <row r="135" spans="1:23">
      <c r="A135" s="146" t="s">
        <v>7</v>
      </c>
      <c r="B135" s="21">
        <v>283</v>
      </c>
      <c r="C135" s="21">
        <v>285</v>
      </c>
      <c r="D135" s="21">
        <v>271</v>
      </c>
      <c r="E135" s="174">
        <v>279.66666666666703</v>
      </c>
      <c r="F135" s="21">
        <v>736</v>
      </c>
      <c r="G135" s="21">
        <v>750</v>
      </c>
      <c r="H135" s="21">
        <v>730</v>
      </c>
      <c r="I135" s="174">
        <v>738.66666666666697</v>
      </c>
      <c r="J135" s="26"/>
      <c r="K135" s="175"/>
      <c r="M135" s="176">
        <v>200.70921985815599</v>
      </c>
      <c r="N135" s="175">
        <v>202.127659574468</v>
      </c>
      <c r="O135" s="175">
        <v>192.198581560284</v>
      </c>
      <c r="P135" s="175">
        <f t="shared" si="11"/>
        <v>198.34515366430301</v>
      </c>
      <c r="Q135" s="175">
        <v>521.98581560283696</v>
      </c>
      <c r="R135" s="175">
        <v>531.91489361702099</v>
      </c>
      <c r="S135" s="175">
        <v>517.73049645390097</v>
      </c>
      <c r="T135" s="175">
        <f t="shared" si="12"/>
        <v>523.87706855791998</v>
      </c>
      <c r="U135" s="175"/>
      <c r="V135" s="177">
        <f t="shared" si="13"/>
        <v>2.6412395709177598</v>
      </c>
      <c r="W135" s="175"/>
    </row>
    <row r="136" spans="1:23">
      <c r="A136" s="146" t="s">
        <v>8</v>
      </c>
      <c r="B136" s="21">
        <v>299</v>
      </c>
      <c r="C136" s="21">
        <v>290</v>
      </c>
      <c r="D136" s="21">
        <v>269</v>
      </c>
      <c r="E136" s="174">
        <v>286</v>
      </c>
      <c r="F136" s="21">
        <v>599</v>
      </c>
      <c r="G136" s="21">
        <v>613</v>
      </c>
      <c r="H136" s="21">
        <v>604</v>
      </c>
      <c r="I136" s="174">
        <v>605.33333333333303</v>
      </c>
      <c r="J136" s="26"/>
      <c r="K136" s="175"/>
      <c r="M136" s="176">
        <v>290.29126213592201</v>
      </c>
      <c r="N136" s="175">
        <v>281.55339805825201</v>
      </c>
      <c r="O136" s="175">
        <v>261.16504854368901</v>
      </c>
      <c r="P136" s="175">
        <f t="shared" si="11"/>
        <v>277.66990291262101</v>
      </c>
      <c r="Q136" s="175">
        <v>581.55339805825201</v>
      </c>
      <c r="R136" s="175">
        <v>595.14563106796095</v>
      </c>
      <c r="S136" s="175">
        <v>586.40776699029095</v>
      </c>
      <c r="T136" s="175">
        <f t="shared" si="12"/>
        <v>587.70226537216797</v>
      </c>
      <c r="U136" s="175"/>
      <c r="V136" s="177">
        <f t="shared" si="13"/>
        <v>2.1165501165501199</v>
      </c>
      <c r="W136" s="175"/>
    </row>
    <row r="137" spans="1:23">
      <c r="A137" s="14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M137" s="107"/>
      <c r="N137" s="1"/>
      <c r="O137" s="1"/>
      <c r="P137" s="1"/>
      <c r="Q137" s="1"/>
      <c r="R137" s="1"/>
      <c r="S137" s="1"/>
      <c r="T137" s="1"/>
      <c r="U137" s="1"/>
      <c r="V137" s="108"/>
      <c r="W137" s="1"/>
    </row>
    <row r="138" spans="1:23">
      <c r="A138" s="14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M138" s="107"/>
      <c r="N138" s="1"/>
      <c r="O138" s="1"/>
      <c r="P138" s="1"/>
      <c r="Q138" s="1"/>
      <c r="R138" s="1"/>
      <c r="S138" s="1"/>
      <c r="T138" s="1"/>
      <c r="U138" s="1"/>
      <c r="V138" s="108"/>
      <c r="W138" s="1"/>
    </row>
    <row r="139" spans="1:23" ht="50">
      <c r="A139" s="146"/>
      <c r="B139" s="202" t="s">
        <v>47</v>
      </c>
      <c r="C139" s="202"/>
      <c r="D139" s="202"/>
      <c r="E139" s="170" t="s">
        <v>58</v>
      </c>
      <c r="F139" s="202" t="s">
        <v>49</v>
      </c>
      <c r="G139" s="202"/>
      <c r="H139" s="202"/>
      <c r="I139" s="169" t="s">
        <v>50</v>
      </c>
      <c r="J139" s="26"/>
      <c r="K139" s="170"/>
      <c r="M139" s="203" t="s">
        <v>47</v>
      </c>
      <c r="N139" s="198"/>
      <c r="O139" s="198"/>
      <c r="P139" s="172" t="s">
        <v>58</v>
      </c>
      <c r="Q139" s="198" t="s">
        <v>49</v>
      </c>
      <c r="R139" s="198"/>
      <c r="S139" s="198"/>
      <c r="T139" s="163" t="s">
        <v>50</v>
      </c>
      <c r="U139" s="49"/>
      <c r="V139" s="171" t="s">
        <v>57</v>
      </c>
      <c r="W139" s="172"/>
    </row>
    <row r="140" spans="1:23">
      <c r="A140" s="146"/>
      <c r="B140" s="207" t="s">
        <v>9</v>
      </c>
      <c r="C140" s="207"/>
      <c r="D140" s="207"/>
      <c r="E140" s="173"/>
      <c r="F140" s="207" t="s">
        <v>9</v>
      </c>
      <c r="G140" s="207"/>
      <c r="H140" s="207"/>
      <c r="I140" s="174"/>
      <c r="J140" s="26"/>
      <c r="K140" s="175"/>
      <c r="M140" s="208" t="s">
        <v>9</v>
      </c>
      <c r="N140" s="209"/>
      <c r="O140" s="209"/>
      <c r="P140" s="178"/>
      <c r="Q140" s="209" t="s">
        <v>9</v>
      </c>
      <c r="R140" s="209"/>
      <c r="S140" s="209"/>
      <c r="T140" s="179"/>
      <c r="U140" s="49"/>
      <c r="V140" s="108"/>
      <c r="W140" s="1"/>
    </row>
    <row r="141" spans="1:23">
      <c r="A141" s="146" t="s">
        <v>52</v>
      </c>
      <c r="B141" s="27">
        <v>1831</v>
      </c>
      <c r="C141" s="27">
        <v>1799</v>
      </c>
      <c r="D141" s="27">
        <v>1804</v>
      </c>
      <c r="E141" s="174">
        <f t="shared" ref="E141:E146" si="14">AVERAGE(B141:D141)</f>
        <v>1811.3333333333301</v>
      </c>
      <c r="F141" s="27">
        <v>11570</v>
      </c>
      <c r="G141" s="27">
        <v>11452</v>
      </c>
      <c r="H141" s="27">
        <v>11599</v>
      </c>
      <c r="I141" s="174">
        <f t="shared" ref="I141:I146" si="15">AVERAGE(F141:H141)</f>
        <v>11540.333333333299</v>
      </c>
      <c r="J141" s="26"/>
      <c r="K141" s="175"/>
      <c r="M141" s="176">
        <f t="shared" ref="M141:S141" si="16">B141/1</f>
        <v>1831</v>
      </c>
      <c r="N141" s="175">
        <f t="shared" si="16"/>
        <v>1799</v>
      </c>
      <c r="O141" s="175">
        <f t="shared" si="16"/>
        <v>1804</v>
      </c>
      <c r="P141" s="175">
        <f t="shared" ref="P141:P146" si="17">AVERAGE(M141:O141)</f>
        <v>1811.3333333333301</v>
      </c>
      <c r="Q141" s="175">
        <f t="shared" si="16"/>
        <v>11570</v>
      </c>
      <c r="R141" s="175">
        <f t="shared" si="16"/>
        <v>11452</v>
      </c>
      <c r="S141" s="175">
        <f t="shared" si="16"/>
        <v>11599</v>
      </c>
      <c r="T141" s="175">
        <f t="shared" ref="T141:T146" si="18">AVERAGE(Q141:S141)</f>
        <v>11540.333333333299</v>
      </c>
      <c r="U141" s="175"/>
      <c r="V141" s="177">
        <f t="shared" ref="V141:V146" si="19">T141/P141</f>
        <v>6.3711814501288204</v>
      </c>
      <c r="W141" s="175"/>
    </row>
    <row r="142" spans="1:23">
      <c r="A142" s="146" t="s">
        <v>6</v>
      </c>
      <c r="B142" s="27">
        <v>2599</v>
      </c>
      <c r="C142" s="27">
        <v>2478</v>
      </c>
      <c r="D142" s="27">
        <v>2680</v>
      </c>
      <c r="E142" s="174">
        <f t="shared" si="14"/>
        <v>2585.6666666666702</v>
      </c>
      <c r="F142" s="27">
        <v>6736</v>
      </c>
      <c r="G142" s="27">
        <v>6821</v>
      </c>
      <c r="H142" s="27">
        <v>6736</v>
      </c>
      <c r="I142" s="174">
        <f t="shared" si="15"/>
        <v>6764.3333333333303</v>
      </c>
      <c r="J142" s="26"/>
      <c r="K142" s="175"/>
      <c r="M142" s="176">
        <v>2341.44144144144</v>
      </c>
      <c r="N142" s="175">
        <v>2232.4324324324298</v>
      </c>
      <c r="O142" s="175">
        <v>2414.4144144144102</v>
      </c>
      <c r="P142" s="175">
        <f t="shared" si="17"/>
        <v>2329.42942942943</v>
      </c>
      <c r="Q142" s="175">
        <v>6068.4684684684698</v>
      </c>
      <c r="R142" s="175">
        <v>6145.0450450450398</v>
      </c>
      <c r="S142" s="175">
        <v>6068.4684684684698</v>
      </c>
      <c r="T142" s="175">
        <f t="shared" si="18"/>
        <v>6093.9939939939904</v>
      </c>
      <c r="U142" s="175"/>
      <c r="V142" s="177">
        <f t="shared" si="19"/>
        <v>2.6160886940827699</v>
      </c>
      <c r="W142" s="175"/>
    </row>
    <row r="143" spans="1:23">
      <c r="A143" s="146" t="s">
        <v>4</v>
      </c>
      <c r="B143" s="27">
        <v>1900</v>
      </c>
      <c r="C143" s="27">
        <v>1927</v>
      </c>
      <c r="D143" s="27">
        <v>1992</v>
      </c>
      <c r="E143" s="174">
        <f t="shared" si="14"/>
        <v>1939.6666666666699</v>
      </c>
      <c r="F143" s="27">
        <v>5537</v>
      </c>
      <c r="G143" s="27">
        <v>5633</v>
      </c>
      <c r="H143" s="27">
        <v>5410</v>
      </c>
      <c r="I143" s="174">
        <f t="shared" si="15"/>
        <v>5526.6666666666697</v>
      </c>
      <c r="J143" s="26"/>
      <c r="K143" s="175"/>
      <c r="M143" s="176">
        <v>1630.4964539007101</v>
      </c>
      <c r="N143" s="175">
        <v>1555.31914893617</v>
      </c>
      <c r="O143" s="175">
        <v>1517.7304964539001</v>
      </c>
      <c r="P143" s="175">
        <f t="shared" si="17"/>
        <v>1567.84869976359</v>
      </c>
      <c r="Q143" s="175">
        <v>3931.91489361702</v>
      </c>
      <c r="R143" s="175">
        <v>4168.79432624114</v>
      </c>
      <c r="S143" s="175">
        <v>4363.8297872340399</v>
      </c>
      <c r="T143" s="175">
        <f t="shared" si="18"/>
        <v>4154.8463356973998</v>
      </c>
      <c r="U143" s="175"/>
      <c r="V143" s="177">
        <f t="shared" si="19"/>
        <v>2.6500301568154399</v>
      </c>
      <c r="W143" s="175"/>
    </row>
    <row r="144" spans="1:23">
      <c r="A144" s="146" t="s">
        <v>5</v>
      </c>
      <c r="B144" s="27">
        <v>2576</v>
      </c>
      <c r="C144" s="27">
        <v>2479</v>
      </c>
      <c r="D144" s="27">
        <v>2684</v>
      </c>
      <c r="E144" s="174">
        <f t="shared" si="14"/>
        <v>2579.6666666666702</v>
      </c>
      <c r="F144" s="27">
        <v>6002</v>
      </c>
      <c r="G144" s="27">
        <v>6216</v>
      </c>
      <c r="H144" s="27">
        <v>6060</v>
      </c>
      <c r="I144" s="174">
        <f t="shared" si="15"/>
        <v>6092.6666666666697</v>
      </c>
      <c r="J144" s="26"/>
      <c r="K144" s="175"/>
      <c r="M144" s="176">
        <v>2043.01075268817</v>
      </c>
      <c r="N144" s="175">
        <v>2072.04301075269</v>
      </c>
      <c r="O144" s="175">
        <v>2141.9354838709701</v>
      </c>
      <c r="P144" s="175">
        <f t="shared" si="17"/>
        <v>2085.6630824372801</v>
      </c>
      <c r="Q144" s="175">
        <v>5953.7634408602098</v>
      </c>
      <c r="R144" s="175">
        <v>6056.9892473118298</v>
      </c>
      <c r="S144" s="175">
        <v>5817.2043010752705</v>
      </c>
      <c r="T144" s="175">
        <f t="shared" si="18"/>
        <v>5942.6523297491003</v>
      </c>
      <c r="U144" s="175"/>
      <c r="V144" s="177">
        <f t="shared" si="19"/>
        <v>2.8492868190410698</v>
      </c>
      <c r="W144" s="175"/>
    </row>
    <row r="145" spans="1:29">
      <c r="A145" s="146" t="s">
        <v>7</v>
      </c>
      <c r="B145" s="27">
        <v>2299</v>
      </c>
      <c r="C145" s="27">
        <v>2193</v>
      </c>
      <c r="D145" s="27">
        <v>2140</v>
      </c>
      <c r="E145" s="174">
        <f t="shared" si="14"/>
        <v>2210.6666666666702</v>
      </c>
      <c r="F145" s="27">
        <v>5544</v>
      </c>
      <c r="G145" s="27">
        <v>5878</v>
      </c>
      <c r="H145" s="27">
        <v>6153</v>
      </c>
      <c r="I145" s="174">
        <f t="shared" si="15"/>
        <v>5858.3333333333303</v>
      </c>
      <c r="J145" s="26"/>
      <c r="K145" s="175"/>
      <c r="M145" s="176">
        <v>1776.55172413793</v>
      </c>
      <c r="N145" s="175">
        <v>1709.6551724137901</v>
      </c>
      <c r="O145" s="175">
        <v>1851.03448275862</v>
      </c>
      <c r="P145" s="175">
        <f t="shared" si="17"/>
        <v>1779.0804597701101</v>
      </c>
      <c r="Q145" s="175">
        <v>4139.3103448275897</v>
      </c>
      <c r="R145" s="175">
        <v>4286.8965517241404</v>
      </c>
      <c r="S145" s="175">
        <v>4179.3103448275897</v>
      </c>
      <c r="T145" s="175">
        <f t="shared" si="18"/>
        <v>4201.8390804597702</v>
      </c>
      <c r="U145" s="175"/>
      <c r="V145" s="177">
        <f t="shared" si="19"/>
        <v>2.3618038506266998</v>
      </c>
      <c r="W145" s="175"/>
    </row>
    <row r="146" spans="1:29">
      <c r="A146" s="146" t="s">
        <v>8</v>
      </c>
      <c r="B146" s="27">
        <v>2099</v>
      </c>
      <c r="C146" s="27">
        <v>2088</v>
      </c>
      <c r="D146" s="27">
        <v>2205</v>
      </c>
      <c r="E146" s="174">
        <f t="shared" si="14"/>
        <v>2130.6666666666702</v>
      </c>
      <c r="F146" s="27">
        <v>6469</v>
      </c>
      <c r="G146" s="27">
        <v>6457</v>
      </c>
      <c r="H146" s="27">
        <v>6436</v>
      </c>
      <c r="I146" s="174">
        <f t="shared" si="15"/>
        <v>6454</v>
      </c>
      <c r="J146" s="26"/>
      <c r="K146" s="175"/>
      <c r="M146" s="180">
        <v>2037.8640776699001</v>
      </c>
      <c r="N146" s="181">
        <v>2027.1844660194199</v>
      </c>
      <c r="O146" s="181">
        <v>2140.7766990291302</v>
      </c>
      <c r="P146" s="181">
        <f t="shared" si="17"/>
        <v>2068.6084142394802</v>
      </c>
      <c r="Q146" s="181">
        <v>6280.5825242718402</v>
      </c>
      <c r="R146" s="181">
        <v>6268.9320388349497</v>
      </c>
      <c r="S146" s="181">
        <v>6248.5436893203896</v>
      </c>
      <c r="T146" s="181">
        <f t="shared" si="18"/>
        <v>6266.0194174757298</v>
      </c>
      <c r="U146" s="181"/>
      <c r="V146" s="182">
        <f t="shared" si="19"/>
        <v>3.0290988735919901</v>
      </c>
      <c r="W146" s="175"/>
    </row>
    <row r="147" spans="1:29">
      <c r="A147" s="146"/>
      <c r="E147" s="26"/>
      <c r="F147" s="26"/>
      <c r="G147" s="26"/>
      <c r="H147" s="26"/>
      <c r="I147" s="26"/>
      <c r="J147" s="26"/>
      <c r="K147" s="26"/>
    </row>
    <row r="148" spans="1:29">
      <c r="A148" s="146"/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 spans="1:29">
      <c r="A149" s="146"/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 spans="1:29">
      <c r="A150" s="146"/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 spans="1:29">
      <c r="A151" s="146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 spans="1:29" s="54" customFormat="1">
      <c r="A152" s="183" t="s">
        <v>59</v>
      </c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1"/>
      <c r="M152" s="1"/>
      <c r="N152" s="1"/>
      <c r="X152" s="184"/>
    </row>
    <row r="153" spans="1:29" s="140" customFormat="1" ht="22" customHeight="1">
      <c r="A153" s="183" t="s">
        <v>60</v>
      </c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X153" s="185"/>
    </row>
    <row r="154" spans="1:29" s="140" customFormat="1" ht="14">
      <c r="A154" s="186"/>
      <c r="B154" s="210" t="s">
        <v>61</v>
      </c>
      <c r="C154" s="211"/>
      <c r="D154" s="211"/>
      <c r="E154" s="211"/>
      <c r="F154" s="211"/>
      <c r="G154" s="212"/>
      <c r="H154" s="27"/>
      <c r="I154" s="210" t="s">
        <v>62</v>
      </c>
      <c r="J154" s="211"/>
      <c r="K154" s="211"/>
      <c r="L154" s="211"/>
      <c r="M154" s="211"/>
      <c r="N154" s="212"/>
      <c r="Q154" s="213"/>
      <c r="R154" s="213"/>
      <c r="S154" s="213"/>
      <c r="T154" s="213"/>
      <c r="U154" s="213"/>
      <c r="V154" s="213"/>
      <c r="W154" s="213"/>
      <c r="X154" s="214"/>
      <c r="Y154" s="213"/>
      <c r="Z154" s="213"/>
      <c r="AA154" s="213"/>
      <c r="AB154" s="213"/>
      <c r="AC154" s="213"/>
    </row>
    <row r="155" spans="1:29" s="140" customFormat="1" ht="14">
      <c r="A155" s="186" t="s">
        <v>63</v>
      </c>
      <c r="B155" s="210" t="s">
        <v>9</v>
      </c>
      <c r="C155" s="212"/>
      <c r="D155" s="210" t="s">
        <v>22</v>
      </c>
      <c r="E155" s="212"/>
      <c r="F155" s="210" t="s">
        <v>31</v>
      </c>
      <c r="G155" s="212"/>
      <c r="H155" s="27"/>
      <c r="I155" s="210" t="s">
        <v>9</v>
      </c>
      <c r="J155" s="212"/>
      <c r="K155" s="210" t="s">
        <v>22</v>
      </c>
      <c r="L155" s="212"/>
      <c r="M155" s="210" t="s">
        <v>31</v>
      </c>
      <c r="N155" s="212"/>
      <c r="Q155" s="213"/>
      <c r="R155" s="213"/>
      <c r="S155" s="213"/>
      <c r="T155" s="213"/>
      <c r="U155" s="213"/>
      <c r="V155" s="213"/>
      <c r="W155" s="213"/>
      <c r="X155" s="214"/>
      <c r="Y155" s="213"/>
      <c r="Z155" s="213"/>
      <c r="AA155" s="213"/>
      <c r="AB155" s="213"/>
      <c r="AC155" s="213"/>
    </row>
    <row r="156" spans="1:29" s="140" customFormat="1" ht="14">
      <c r="A156" s="187" t="s">
        <v>64</v>
      </c>
      <c r="B156" s="51" t="s">
        <v>65</v>
      </c>
      <c r="C156" s="51" t="s">
        <v>66</v>
      </c>
      <c r="D156" s="51" t="s">
        <v>65</v>
      </c>
      <c r="E156" s="51" t="s">
        <v>66</v>
      </c>
      <c r="F156" s="51" t="s">
        <v>65</v>
      </c>
      <c r="G156" s="51" t="s">
        <v>66</v>
      </c>
      <c r="H156" s="27"/>
      <c r="I156" s="51" t="s">
        <v>65</v>
      </c>
      <c r="J156" s="51" t="s">
        <v>66</v>
      </c>
      <c r="K156" s="51" t="s">
        <v>65</v>
      </c>
      <c r="L156" s="51" t="s">
        <v>66</v>
      </c>
      <c r="M156" s="51" t="s">
        <v>65</v>
      </c>
      <c r="N156" s="51" t="s">
        <v>66</v>
      </c>
      <c r="Q156" s="215"/>
      <c r="R156" s="215"/>
      <c r="S156" s="215"/>
      <c r="T156" s="215"/>
      <c r="U156" s="215"/>
      <c r="V156" s="215"/>
      <c r="W156" s="188"/>
      <c r="X156" s="216"/>
      <c r="Y156" s="215"/>
      <c r="Z156" s="215"/>
      <c r="AA156" s="215"/>
      <c r="AB156" s="215"/>
      <c r="AC156" s="215"/>
    </row>
    <row r="157" spans="1:29" s="140" customFormat="1" ht="14">
      <c r="A157" s="187" t="s">
        <v>67</v>
      </c>
      <c r="B157" s="51">
        <v>3.4710000000000001</v>
      </c>
      <c r="C157" s="51">
        <v>3.56</v>
      </c>
      <c r="D157" s="51">
        <v>0.47899999999999998</v>
      </c>
      <c r="E157" s="51">
        <v>1.4810000000000001</v>
      </c>
      <c r="F157" s="51">
        <v>0.61799999999999999</v>
      </c>
      <c r="G157" s="51">
        <v>1.825</v>
      </c>
      <c r="H157" s="27"/>
      <c r="I157" s="51">
        <v>1.2529999999999999</v>
      </c>
      <c r="J157" s="51">
        <v>5.31</v>
      </c>
      <c r="K157" s="51">
        <v>0.77400000000000002</v>
      </c>
      <c r="L157" s="51">
        <v>3.4279999999999999</v>
      </c>
      <c r="M157" s="51">
        <v>0.83099999999999996</v>
      </c>
      <c r="N157" s="51">
        <v>3.5750000000000002</v>
      </c>
      <c r="X157" s="185"/>
    </row>
    <row r="158" spans="1:29">
      <c r="A158" s="161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</row>
    <row r="159" spans="1:29">
      <c r="A159" s="161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</row>
    <row r="160" spans="1:29">
      <c r="A160" s="161"/>
      <c r="B160" s="27"/>
      <c r="C160" s="210" t="s">
        <v>68</v>
      </c>
      <c r="D160" s="211"/>
      <c r="E160" s="211"/>
      <c r="F160" s="212"/>
      <c r="G160" s="27"/>
      <c r="H160" s="27"/>
      <c r="I160" s="27"/>
      <c r="J160" s="27"/>
      <c r="K160" s="27"/>
      <c r="L160" s="27"/>
      <c r="M160" s="27"/>
      <c r="N160" s="27"/>
    </row>
    <row r="161" spans="1:14">
      <c r="A161" s="161"/>
      <c r="B161" s="27"/>
      <c r="C161" s="51"/>
      <c r="D161" s="51" t="s">
        <v>9</v>
      </c>
      <c r="E161" s="51" t="s">
        <v>22</v>
      </c>
      <c r="F161" s="51" t="s">
        <v>31</v>
      </c>
      <c r="G161" s="27"/>
      <c r="H161" s="27"/>
      <c r="I161" s="27"/>
      <c r="J161" s="27"/>
      <c r="K161" s="27"/>
      <c r="L161" s="27"/>
      <c r="M161" s="27"/>
      <c r="N161" s="27"/>
    </row>
    <row r="162" spans="1:14">
      <c r="A162" s="161"/>
      <c r="B162" s="27"/>
      <c r="C162" s="51" t="s">
        <v>69</v>
      </c>
      <c r="D162" s="189">
        <v>1.02564102564103</v>
      </c>
      <c r="E162" s="189">
        <v>3.09185803757829</v>
      </c>
      <c r="F162" s="189">
        <v>2.9530744336569601</v>
      </c>
      <c r="G162" s="27"/>
      <c r="H162" s="27"/>
      <c r="I162" s="27"/>
      <c r="J162" s="27"/>
      <c r="K162" s="27"/>
      <c r="L162" s="27"/>
      <c r="M162" s="27"/>
      <c r="N162" s="27"/>
    </row>
    <row r="163" spans="1:14">
      <c r="A163" s="161"/>
      <c r="B163" s="27"/>
      <c r="C163" s="51" t="s">
        <v>70</v>
      </c>
      <c r="D163" s="189">
        <v>4.2378292098962502</v>
      </c>
      <c r="E163" s="189">
        <v>4.4289405684754497</v>
      </c>
      <c r="F163" s="189">
        <v>4.30204572803851</v>
      </c>
      <c r="G163" s="27"/>
      <c r="H163" s="27"/>
      <c r="I163" s="27"/>
      <c r="J163" s="27"/>
      <c r="K163" s="27"/>
      <c r="L163" s="27"/>
      <c r="M163" s="27"/>
      <c r="N163" s="27"/>
    </row>
    <row r="164" spans="1:14">
      <c r="A164" s="16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>
      <c r="A165" s="16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</sheetData>
  <mergeCells count="112">
    <mergeCell ref="Q156:R156"/>
    <mergeCell ref="S156:T156"/>
    <mergeCell ref="U156:V156"/>
    <mergeCell ref="X156:Y156"/>
    <mergeCell ref="Z156:AA156"/>
    <mergeCell ref="AB156:AC156"/>
    <mergeCell ref="C160:F160"/>
    <mergeCell ref="B140:D140"/>
    <mergeCell ref="F140:H140"/>
    <mergeCell ref="M140:O140"/>
    <mergeCell ref="Q140:S140"/>
    <mergeCell ref="B154:G154"/>
    <mergeCell ref="I154:N154"/>
    <mergeCell ref="Q154:AC154"/>
    <mergeCell ref="B155:C155"/>
    <mergeCell ref="D155:E155"/>
    <mergeCell ref="F155:G155"/>
    <mergeCell ref="I155:J155"/>
    <mergeCell ref="K155:L155"/>
    <mergeCell ref="M155:N155"/>
    <mergeCell ref="Q155:T155"/>
    <mergeCell ref="U155:Y155"/>
    <mergeCell ref="Z155:AC155"/>
    <mergeCell ref="B129:D129"/>
    <mergeCell ref="F129:H129"/>
    <mergeCell ref="M129:O129"/>
    <mergeCell ref="Q129:S129"/>
    <mergeCell ref="B130:D130"/>
    <mergeCell ref="F130:H130"/>
    <mergeCell ref="M130:O130"/>
    <mergeCell ref="Q130:S130"/>
    <mergeCell ref="B139:D139"/>
    <mergeCell ref="F139:H139"/>
    <mergeCell ref="M139:O139"/>
    <mergeCell ref="Q139:S139"/>
    <mergeCell ref="B104:D104"/>
    <mergeCell ref="F104:H104"/>
    <mergeCell ref="M118:V118"/>
    <mergeCell ref="B119:D119"/>
    <mergeCell ref="F119:H119"/>
    <mergeCell ref="M119:O119"/>
    <mergeCell ref="Q119:S119"/>
    <mergeCell ref="B120:D120"/>
    <mergeCell ref="F120:H120"/>
    <mergeCell ref="M120:O120"/>
    <mergeCell ref="Q120:S120"/>
    <mergeCell ref="B80:D80"/>
    <mergeCell ref="E80:G80"/>
    <mergeCell ref="H80:J80"/>
    <mergeCell ref="K80:M80"/>
    <mergeCell ref="N80:P80"/>
    <mergeCell ref="Q80:S80"/>
    <mergeCell ref="T80:V80"/>
    <mergeCell ref="B91:D91"/>
    <mergeCell ref="E91:G91"/>
    <mergeCell ref="H91:J91"/>
    <mergeCell ref="K91:M91"/>
    <mergeCell ref="N91:P91"/>
    <mergeCell ref="Q91:S91"/>
    <mergeCell ref="T91:V91"/>
    <mergeCell ref="B58:D58"/>
    <mergeCell ref="E58:G58"/>
    <mergeCell ref="H58:J58"/>
    <mergeCell ref="K58:M58"/>
    <mergeCell ref="N58:P58"/>
    <mergeCell ref="Q58:S58"/>
    <mergeCell ref="T58:V58"/>
    <mergeCell ref="B69:D69"/>
    <mergeCell ref="E69:G69"/>
    <mergeCell ref="H69:J69"/>
    <mergeCell ref="K69:M69"/>
    <mergeCell ref="N69:P69"/>
    <mergeCell ref="Q69:S69"/>
    <mergeCell ref="T69:V69"/>
    <mergeCell ref="B36:D36"/>
    <mergeCell ref="E36:G36"/>
    <mergeCell ref="H36:J36"/>
    <mergeCell ref="K36:M36"/>
    <mergeCell ref="N36:P36"/>
    <mergeCell ref="Q36:S36"/>
    <mergeCell ref="T36:V36"/>
    <mergeCell ref="B47:D47"/>
    <mergeCell ref="E47:G47"/>
    <mergeCell ref="H47:J47"/>
    <mergeCell ref="K47:M47"/>
    <mergeCell ref="N47:P47"/>
    <mergeCell ref="Q47:S47"/>
    <mergeCell ref="T47:V47"/>
    <mergeCell ref="B14:D14"/>
    <mergeCell ref="E14:G14"/>
    <mergeCell ref="H14:J14"/>
    <mergeCell ref="K14:M14"/>
    <mergeCell ref="N14:P14"/>
    <mergeCell ref="Q14:S14"/>
    <mergeCell ref="T14:V14"/>
    <mergeCell ref="Y20:AE20"/>
    <mergeCell ref="B25:D25"/>
    <mergeCell ref="E25:G25"/>
    <mergeCell ref="H25:J25"/>
    <mergeCell ref="K25:M25"/>
    <mergeCell ref="N25:P25"/>
    <mergeCell ref="Q25:S25"/>
    <mergeCell ref="T25:V25"/>
    <mergeCell ref="B3:D3"/>
    <mergeCell ref="E3:G3"/>
    <mergeCell ref="H3:J3"/>
    <mergeCell ref="K3:M3"/>
    <mergeCell ref="N3:P3"/>
    <mergeCell ref="Q3:S3"/>
    <mergeCell ref="T3:V3"/>
    <mergeCell ref="Y4:AE4"/>
    <mergeCell ref="Y12:AE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57"/>
  <sheetViews>
    <sheetView tabSelected="1" topLeftCell="W1" zoomScale="85" zoomScaleNormal="85" workbookViewId="0">
      <selection activeCell="X93" sqref="X93:AF93"/>
    </sheetView>
  </sheetViews>
  <sheetFormatPr defaultColWidth="9" defaultRowHeight="14.5"/>
  <cols>
    <col min="1" max="1" width="13.08984375" style="26" customWidth="1"/>
    <col min="2" max="2" width="9.453125" style="26" customWidth="1"/>
    <col min="3" max="3" width="9.26953125" style="26" customWidth="1"/>
    <col min="4" max="4" width="9.453125" style="26" customWidth="1"/>
    <col min="5" max="5" width="9.6328125" style="26" customWidth="1"/>
    <col min="6" max="7" width="9.26953125" style="26" customWidth="1"/>
    <col min="8" max="8" width="9.453125" style="26" customWidth="1"/>
    <col min="9" max="10" width="9.26953125" style="26" customWidth="1"/>
    <col min="11" max="11" width="9" style="26"/>
    <col min="12" max="12" width="13.6328125" style="26" customWidth="1"/>
    <col min="13" max="16" width="13.90625" style="26"/>
    <col min="17" max="17" width="12.6328125" style="26"/>
    <col min="18" max="19" width="13.90625" style="26"/>
    <col min="20" max="21" width="12.6328125" style="26"/>
    <col min="22" max="22" width="9" style="26"/>
    <col min="23" max="23" width="12.6328125" style="26"/>
    <col min="24" max="26" width="9.26953125" style="26" customWidth="1"/>
    <col min="27" max="27" width="10" style="26" customWidth="1"/>
    <col min="28" max="31" width="9.26953125" style="26" customWidth="1"/>
    <col min="32" max="33" width="10" style="26" customWidth="1"/>
    <col min="48" max="49" width="12.6328125"/>
  </cols>
  <sheetData>
    <row r="1" spans="1:49" s="117" customFormat="1" ht="15.5">
      <c r="A1" s="118" t="s">
        <v>71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8" t="s">
        <v>71</v>
      </c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8" t="s">
        <v>71</v>
      </c>
      <c r="X1" s="119"/>
      <c r="Y1" s="119"/>
      <c r="Z1" s="119"/>
      <c r="AA1" s="119"/>
      <c r="AB1" s="119"/>
      <c r="AC1" s="119"/>
      <c r="AD1" s="119"/>
      <c r="AE1" s="119"/>
      <c r="AF1" s="119"/>
      <c r="AG1" s="119"/>
    </row>
    <row r="2" spans="1:49">
      <c r="A2" s="66" t="s">
        <v>72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120"/>
      <c r="M2" s="67"/>
      <c r="N2" s="67"/>
      <c r="O2" s="67"/>
      <c r="P2" s="67"/>
      <c r="Q2" s="67"/>
      <c r="R2" s="67"/>
      <c r="S2" s="67"/>
      <c r="T2" s="67"/>
      <c r="U2" s="67"/>
      <c r="V2" s="67"/>
      <c r="W2" s="120"/>
      <c r="X2" s="67"/>
      <c r="Y2" s="67"/>
      <c r="Z2" s="67"/>
      <c r="AA2" s="67"/>
      <c r="AB2" s="67"/>
      <c r="AC2" s="67"/>
      <c r="AD2" s="67"/>
      <c r="AE2" s="67"/>
      <c r="AF2" s="121"/>
    </row>
    <row r="3" spans="1:49">
      <c r="A3" s="122"/>
      <c r="B3" s="202" t="s">
        <v>73</v>
      </c>
      <c r="C3" s="202"/>
      <c r="D3" s="202"/>
      <c r="E3" s="202"/>
      <c r="F3" s="202"/>
      <c r="G3" s="202"/>
      <c r="H3" s="202"/>
      <c r="I3" s="202"/>
      <c r="J3" s="202"/>
      <c r="L3" s="49"/>
      <c r="M3" s="202" t="s">
        <v>73</v>
      </c>
      <c r="N3" s="202"/>
      <c r="O3" s="202"/>
      <c r="P3" s="202"/>
      <c r="Q3" s="202"/>
      <c r="R3" s="202"/>
      <c r="S3" s="202"/>
      <c r="T3" s="202"/>
      <c r="U3" s="202"/>
      <c r="V3" s="49"/>
      <c r="W3" s="49"/>
      <c r="X3" s="202" t="s">
        <v>73</v>
      </c>
      <c r="Y3" s="202"/>
      <c r="Z3" s="202"/>
      <c r="AA3" s="202"/>
      <c r="AB3" s="202"/>
      <c r="AC3" s="202"/>
      <c r="AD3" s="202"/>
      <c r="AE3" s="202"/>
      <c r="AF3" s="202"/>
      <c r="AG3" s="4"/>
      <c r="AH3" s="217" t="s">
        <v>11</v>
      </c>
      <c r="AI3" s="218"/>
      <c r="AJ3" s="218"/>
      <c r="AK3" s="219"/>
      <c r="AL3" s="2"/>
      <c r="AM3" s="217" t="s">
        <v>12</v>
      </c>
      <c r="AN3" s="218"/>
      <c r="AO3" s="218"/>
      <c r="AP3" s="219"/>
      <c r="AR3" s="220" t="s">
        <v>74</v>
      </c>
      <c r="AS3" s="220"/>
      <c r="AT3" s="220"/>
      <c r="AU3" s="220"/>
      <c r="AV3" s="220"/>
      <c r="AW3" s="220"/>
    </row>
    <row r="4" spans="1:49">
      <c r="A4" s="9" t="s">
        <v>75</v>
      </c>
      <c r="B4" s="193" t="s">
        <v>76</v>
      </c>
      <c r="C4" s="193"/>
      <c r="D4" s="193"/>
      <c r="E4" s="193" t="s">
        <v>77</v>
      </c>
      <c r="F4" s="193"/>
      <c r="G4" s="193"/>
      <c r="H4" s="193" t="s">
        <v>78</v>
      </c>
      <c r="I4" s="193"/>
      <c r="J4" s="193"/>
      <c r="L4" s="10" t="s">
        <v>75</v>
      </c>
      <c r="M4" s="193" t="s">
        <v>79</v>
      </c>
      <c r="N4" s="193"/>
      <c r="O4" s="193"/>
      <c r="P4" s="193" t="s">
        <v>80</v>
      </c>
      <c r="Q4" s="193"/>
      <c r="R4" s="193"/>
      <c r="S4" s="193" t="s">
        <v>81</v>
      </c>
      <c r="T4" s="193"/>
      <c r="U4" s="193"/>
      <c r="V4" s="49"/>
      <c r="W4" s="10" t="s">
        <v>75</v>
      </c>
      <c r="X4" s="193" t="s">
        <v>82</v>
      </c>
      <c r="Y4" s="193"/>
      <c r="Z4" s="193"/>
      <c r="AA4" s="193" t="s">
        <v>83</v>
      </c>
      <c r="AB4" s="193"/>
      <c r="AC4" s="193"/>
      <c r="AD4" s="193" t="s">
        <v>84</v>
      </c>
      <c r="AE4" s="193"/>
      <c r="AF4" s="221"/>
      <c r="AG4" s="10"/>
      <c r="AH4" s="77"/>
      <c r="AI4" s="222" t="s">
        <v>9</v>
      </c>
      <c r="AJ4" s="223"/>
      <c r="AK4" s="224"/>
      <c r="AL4" s="123"/>
      <c r="AM4" s="77"/>
      <c r="AN4" s="222" t="s">
        <v>9</v>
      </c>
      <c r="AO4" s="223"/>
      <c r="AP4" s="224"/>
      <c r="AQ4" s="76"/>
      <c r="AR4" s="78"/>
      <c r="AS4" s="225" t="s">
        <v>9</v>
      </c>
      <c r="AT4" s="226"/>
      <c r="AU4" s="226"/>
      <c r="AV4" s="226"/>
      <c r="AW4" s="226"/>
    </row>
    <row r="5" spans="1:49">
      <c r="A5" s="96">
        <v>2000</v>
      </c>
      <c r="B5" s="10">
        <v>81.15898</v>
      </c>
      <c r="C5" s="10">
        <v>79.194930510000006</v>
      </c>
      <c r="D5" s="10">
        <v>81.914315579999993</v>
      </c>
      <c r="E5" s="10">
        <v>83.575969999999998</v>
      </c>
      <c r="F5" s="10">
        <v>81.15898</v>
      </c>
      <c r="G5" s="10">
        <v>79.647869999999998</v>
      </c>
      <c r="H5" s="10">
        <v>85.998051500000003</v>
      </c>
      <c r="I5" s="10">
        <v>83.598836399999996</v>
      </c>
      <c r="J5" s="10">
        <v>86.598200000000006</v>
      </c>
      <c r="L5" s="27">
        <v>2000</v>
      </c>
      <c r="M5" s="27">
        <v>86.432050000000004</v>
      </c>
      <c r="N5" s="27">
        <v>84.404799999999994</v>
      </c>
      <c r="O5" s="27">
        <v>83.529420000000002</v>
      </c>
      <c r="P5" s="27">
        <v>85.094639999999998</v>
      </c>
      <c r="Q5" s="27">
        <v>79.437269999999998</v>
      </c>
      <c r="R5" s="27">
        <v>77.512900000000002</v>
      </c>
      <c r="S5" s="27">
        <v>82.964510000000004</v>
      </c>
      <c r="T5" s="27">
        <v>87.95317</v>
      </c>
      <c r="U5" s="27">
        <v>89.206999999999994</v>
      </c>
      <c r="V5" s="49"/>
      <c r="W5" s="27">
        <v>2000</v>
      </c>
      <c r="X5" s="59">
        <v>79.19162</v>
      </c>
      <c r="Y5" s="59">
        <v>79.792680000000004</v>
      </c>
      <c r="Z5" s="59">
        <v>82.494439999999997</v>
      </c>
      <c r="AA5" s="59">
        <v>79.465059999999994</v>
      </c>
      <c r="AB5" s="59">
        <v>78.673969999999997</v>
      </c>
      <c r="AC5" s="59">
        <v>81.567490000000006</v>
      </c>
      <c r="AD5" s="59">
        <v>89.375249999999994</v>
      </c>
      <c r="AE5" s="59">
        <v>90.125069999999994</v>
      </c>
      <c r="AF5" s="124">
        <v>87.737170000000006</v>
      </c>
      <c r="AG5" s="59"/>
      <c r="AH5" s="77" t="s">
        <v>85</v>
      </c>
      <c r="AI5" s="77" t="s">
        <v>86</v>
      </c>
      <c r="AJ5" s="77" t="s">
        <v>65</v>
      </c>
      <c r="AK5" s="77" t="s">
        <v>66</v>
      </c>
      <c r="AL5" s="123"/>
      <c r="AM5" s="77" t="s">
        <v>85</v>
      </c>
      <c r="AN5" s="77" t="s">
        <v>86</v>
      </c>
      <c r="AO5" s="77" t="s">
        <v>65</v>
      </c>
      <c r="AP5" s="77" t="s">
        <v>66</v>
      </c>
      <c r="AQ5" s="123"/>
      <c r="AR5" s="77" t="s">
        <v>85</v>
      </c>
      <c r="AS5" s="125" t="s">
        <v>86</v>
      </c>
      <c r="AT5" s="78" t="s">
        <v>65</v>
      </c>
      <c r="AU5" s="78" t="s">
        <v>66</v>
      </c>
      <c r="AV5" s="77" t="s">
        <v>87</v>
      </c>
      <c r="AW5" s="126" t="s">
        <v>88</v>
      </c>
    </row>
    <row r="6" spans="1:49">
      <c r="A6" s="96">
        <v>666.66669999999999</v>
      </c>
      <c r="B6" s="10">
        <v>81.763329999999996</v>
      </c>
      <c r="C6" s="10">
        <v>80.856584670000004</v>
      </c>
      <c r="D6" s="10">
        <v>81.460940530000002</v>
      </c>
      <c r="E6" s="10">
        <v>87.654610000000005</v>
      </c>
      <c r="F6" s="10">
        <v>84.482290000000006</v>
      </c>
      <c r="G6" s="10">
        <v>82.065299999999993</v>
      </c>
      <c r="H6" s="10">
        <v>85.038571570000002</v>
      </c>
      <c r="I6" s="10">
        <v>85.878159400000001</v>
      </c>
      <c r="J6" s="10">
        <v>86.358069999999998</v>
      </c>
      <c r="L6" s="27">
        <v>666.66669999999999</v>
      </c>
      <c r="M6" s="27">
        <v>78.35521</v>
      </c>
      <c r="N6" s="27">
        <v>75.366240000000005</v>
      </c>
      <c r="O6" s="27">
        <v>78.35521</v>
      </c>
      <c r="P6" s="27">
        <v>67.570480000000003</v>
      </c>
      <c r="Q6" s="27">
        <v>78.795199999999994</v>
      </c>
      <c r="R6" s="27">
        <v>75.267960000000002</v>
      </c>
      <c r="S6" s="27">
        <v>74.947379999999995</v>
      </c>
      <c r="T6" s="27">
        <v>73.023009999999999</v>
      </c>
      <c r="U6" s="27">
        <v>78.038309999999996</v>
      </c>
      <c r="V6" s="49"/>
      <c r="W6" s="27">
        <v>666.66669999999999</v>
      </c>
      <c r="X6" s="59">
        <v>75.889660000000006</v>
      </c>
      <c r="Y6" s="59">
        <v>79.19162</v>
      </c>
      <c r="Z6" s="59">
        <v>78.291319999999999</v>
      </c>
      <c r="AA6" s="59">
        <v>80.476290000000006</v>
      </c>
      <c r="AB6" s="59">
        <v>79.684340000000006</v>
      </c>
      <c r="AC6" s="59">
        <v>74.469989999999996</v>
      </c>
      <c r="AD6" s="59">
        <v>83.405919999999995</v>
      </c>
      <c r="AE6" s="59">
        <v>82.031819999999996</v>
      </c>
      <c r="AF6" s="124">
        <v>82.973399999999998</v>
      </c>
      <c r="AG6" s="59"/>
      <c r="AH6" s="77" t="s">
        <v>52</v>
      </c>
      <c r="AI6" s="74">
        <v>5.5940000000000003</v>
      </c>
      <c r="AJ6" s="74">
        <v>6.1989999999999998</v>
      </c>
      <c r="AK6" s="75">
        <v>5.2279999999999998</v>
      </c>
      <c r="AL6" s="123"/>
      <c r="AM6" s="77" t="s">
        <v>52</v>
      </c>
      <c r="AN6" s="74">
        <v>2.5</v>
      </c>
      <c r="AO6" s="74">
        <v>5.0810000000000004</v>
      </c>
      <c r="AP6" s="75">
        <v>2.2650000000000001</v>
      </c>
      <c r="AQ6" s="127"/>
      <c r="AR6" s="77" t="s">
        <v>52</v>
      </c>
      <c r="AS6" s="128">
        <f>AVERAGE(AN6,AI6)</f>
        <v>4.0469999999999997</v>
      </c>
      <c r="AT6" s="129">
        <f>AVERAGE(AO6,AJ6)</f>
        <v>5.64</v>
      </c>
      <c r="AU6" s="130">
        <f>AVERAGE(AP6,AK6)</f>
        <v>3.7465000000000002</v>
      </c>
      <c r="AV6" s="129">
        <f>AS6/AT6</f>
        <v>0.71755319148936203</v>
      </c>
      <c r="AW6" s="126">
        <f>AS6/AU6</f>
        <v>1.08020819431469</v>
      </c>
    </row>
    <row r="7" spans="1:49">
      <c r="A7" s="96">
        <v>222.22219999999999</v>
      </c>
      <c r="B7" s="10">
        <v>76.475110000000001</v>
      </c>
      <c r="C7" s="10">
        <v>71.035477459999996</v>
      </c>
      <c r="D7" s="10">
        <v>73.150939280000003</v>
      </c>
      <c r="E7" s="10">
        <v>83.726950000000002</v>
      </c>
      <c r="F7" s="10">
        <v>75.870760000000004</v>
      </c>
      <c r="G7" s="10">
        <v>77.834810000000004</v>
      </c>
      <c r="H7" s="10">
        <v>84.918679519999998</v>
      </c>
      <c r="I7" s="10">
        <v>88.517502199999996</v>
      </c>
      <c r="J7" s="10">
        <v>82.758899999999997</v>
      </c>
      <c r="L7" s="27">
        <v>222.22219999999999</v>
      </c>
      <c r="M7" s="27">
        <v>72.176100000000005</v>
      </c>
      <c r="N7" s="27">
        <v>66.197239999999994</v>
      </c>
      <c r="O7" s="27">
        <v>73.137829999999994</v>
      </c>
      <c r="P7" s="27">
        <v>49.284840000000003</v>
      </c>
      <c r="Q7" s="27">
        <v>60.83381</v>
      </c>
      <c r="R7" s="27">
        <v>60.51323</v>
      </c>
      <c r="S7" s="27">
        <v>76.871750000000006</v>
      </c>
      <c r="T7" s="27">
        <v>78.154049999999998</v>
      </c>
      <c r="U7" s="27">
        <v>76.550259999999994</v>
      </c>
      <c r="V7" s="49"/>
      <c r="W7" s="27">
        <v>222.22219999999999</v>
      </c>
      <c r="X7" s="59">
        <v>67.782660000000007</v>
      </c>
      <c r="Y7" s="59">
        <v>76.189760000000007</v>
      </c>
      <c r="Z7" s="59">
        <v>69.284019999999998</v>
      </c>
      <c r="AA7" s="59">
        <v>61.47625</v>
      </c>
      <c r="AB7" s="59">
        <v>54.268689999999999</v>
      </c>
      <c r="AC7" s="59">
        <v>74.060680000000005</v>
      </c>
      <c r="AD7" s="59">
        <v>80.330110000000005</v>
      </c>
      <c r="AE7" s="59">
        <v>82.139309999999995</v>
      </c>
      <c r="AF7" s="124">
        <v>82.370620000000002</v>
      </c>
      <c r="AG7" s="59"/>
      <c r="AH7" s="77" t="s">
        <v>3</v>
      </c>
      <c r="AI7" s="74">
        <v>7.0940000000000003</v>
      </c>
      <c r="AJ7" s="74">
        <v>7.617</v>
      </c>
      <c r="AK7" s="75">
        <v>7.0170000000000003</v>
      </c>
      <c r="AL7" s="123"/>
      <c r="AM7" s="77" t="s">
        <v>3</v>
      </c>
      <c r="AN7" s="74">
        <v>8.4049999999999994</v>
      </c>
      <c r="AO7" s="74">
        <v>8.4819999999999993</v>
      </c>
      <c r="AP7" s="75">
        <v>5.87</v>
      </c>
      <c r="AQ7" s="127"/>
      <c r="AR7" s="77" t="s">
        <v>3</v>
      </c>
      <c r="AS7" s="131">
        <f t="shared" ref="AS7:AS12" si="0">AVERAGE(AN7,AI7)</f>
        <v>7.7495000000000003</v>
      </c>
      <c r="AT7" s="76">
        <f t="shared" ref="AT7:AT12" si="1">AVERAGE(AO7,AJ7)</f>
        <v>8.0495000000000001</v>
      </c>
      <c r="AU7" s="132">
        <f t="shared" ref="AU7:AU12" si="2">AVERAGE(AP7,AK7)</f>
        <v>6.4435000000000002</v>
      </c>
      <c r="AV7" s="76">
        <f t="shared" ref="AV7:AV12" si="3">AS7/AT7</f>
        <v>0.96273060438536595</v>
      </c>
      <c r="AW7" s="133">
        <f t="shared" ref="AW7:AW12" si="4">AS7/AU7</f>
        <v>1.20268487623186</v>
      </c>
    </row>
    <row r="8" spans="1:49">
      <c r="A8" s="96">
        <v>74.074070000000006</v>
      </c>
      <c r="B8" s="10">
        <v>67.710440000000006</v>
      </c>
      <c r="C8" s="10">
        <v>71.488852510000001</v>
      </c>
      <c r="D8" s="10">
        <v>75.417381910000003</v>
      </c>
      <c r="E8" s="10">
        <v>71.186459999999997</v>
      </c>
      <c r="F8" s="10">
        <v>76.626090000000005</v>
      </c>
      <c r="G8" s="10">
        <v>72.697559999999996</v>
      </c>
      <c r="H8" s="10">
        <v>76.879385159999998</v>
      </c>
      <c r="I8" s="10">
        <v>69.318284899999995</v>
      </c>
      <c r="J8" s="10">
        <v>79.639309999999995</v>
      </c>
      <c r="L8" s="27">
        <v>74.074070000000006</v>
      </c>
      <c r="M8" s="27">
        <v>54.009880000000003</v>
      </c>
      <c r="N8" s="27">
        <v>58.500680000000003</v>
      </c>
      <c r="O8" s="27">
        <v>56.896889999999999</v>
      </c>
      <c r="P8" s="27">
        <v>51.852200000000003</v>
      </c>
      <c r="Q8" s="27">
        <v>62.11703</v>
      </c>
      <c r="R8" s="27">
        <v>55.70185</v>
      </c>
      <c r="S8" s="27">
        <v>69.815420000000003</v>
      </c>
      <c r="T8" s="27">
        <v>76.871750000000006</v>
      </c>
      <c r="U8" s="27">
        <v>68.21163</v>
      </c>
      <c r="V8" s="49"/>
      <c r="W8" s="27">
        <v>74.074070000000006</v>
      </c>
      <c r="X8" s="59">
        <v>53.368389999999998</v>
      </c>
      <c r="Y8" s="59">
        <v>51.866169999999997</v>
      </c>
      <c r="Z8" s="59">
        <v>68.382859999999994</v>
      </c>
      <c r="AA8" s="59">
        <v>56.371110000000002</v>
      </c>
      <c r="AB8" s="59">
        <v>52.656399999999998</v>
      </c>
      <c r="AC8" s="59">
        <v>60.053139999999999</v>
      </c>
      <c r="AD8" s="59">
        <v>68.011380000000003</v>
      </c>
      <c r="AE8" s="59">
        <v>75.33417</v>
      </c>
      <c r="AF8" s="124">
        <v>72.887799999999999</v>
      </c>
      <c r="AG8" s="59"/>
      <c r="AH8" s="77" t="s">
        <v>4</v>
      </c>
      <c r="AI8" s="74">
        <v>65.77</v>
      </c>
      <c r="AJ8" s="74">
        <v>47.75</v>
      </c>
      <c r="AK8" s="75">
        <v>21.34</v>
      </c>
      <c r="AL8" s="123"/>
      <c r="AM8" s="77" t="s">
        <v>4</v>
      </c>
      <c r="AN8" s="74">
        <v>66.64</v>
      </c>
      <c r="AO8" s="74">
        <v>34.44</v>
      </c>
      <c r="AP8" s="75">
        <v>13.73</v>
      </c>
      <c r="AQ8" s="127"/>
      <c r="AR8" s="77" t="s">
        <v>4</v>
      </c>
      <c r="AS8" s="131">
        <f t="shared" si="0"/>
        <v>66.204999999999998</v>
      </c>
      <c r="AT8" s="76">
        <f t="shared" si="1"/>
        <v>41.094999999999999</v>
      </c>
      <c r="AU8" s="132">
        <f t="shared" si="2"/>
        <v>17.535</v>
      </c>
      <c r="AV8" s="76">
        <f t="shared" si="3"/>
        <v>1.61102323883684</v>
      </c>
      <c r="AW8" s="133">
        <f t="shared" si="4"/>
        <v>3.7755916737952702</v>
      </c>
    </row>
    <row r="9" spans="1:49">
      <c r="A9" s="96">
        <v>24.69136</v>
      </c>
      <c r="B9" s="10">
        <v>56.071510000000004</v>
      </c>
      <c r="C9" s="10">
        <v>70.128727369999993</v>
      </c>
      <c r="D9" s="10">
        <v>67.710438699999997</v>
      </c>
      <c r="E9" s="10">
        <v>75.71978</v>
      </c>
      <c r="F9" s="10">
        <v>73.906279999999995</v>
      </c>
      <c r="G9" s="10">
        <v>67.559460000000001</v>
      </c>
      <c r="H9" s="10">
        <v>64.996674630000001</v>
      </c>
      <c r="I9" s="10">
        <v>57.397607399999998</v>
      </c>
      <c r="J9" s="10">
        <v>66.797460000000001</v>
      </c>
      <c r="L9" s="27">
        <v>24.69136</v>
      </c>
      <c r="M9" s="27">
        <v>37.734949999999998</v>
      </c>
      <c r="N9" s="27">
        <v>41.411920000000002</v>
      </c>
      <c r="O9" s="27">
        <v>47.070210000000003</v>
      </c>
      <c r="P9" s="27">
        <v>39.338749999999997</v>
      </c>
      <c r="Q9" s="27">
        <v>48.697600000000001</v>
      </c>
      <c r="R9" s="27">
        <v>44.151969999999999</v>
      </c>
      <c r="S9" s="27">
        <v>60.51323</v>
      </c>
      <c r="T9" s="27">
        <v>63.40025</v>
      </c>
      <c r="U9" s="27">
        <v>66.92841</v>
      </c>
      <c r="V9" s="49"/>
      <c r="W9" s="27">
        <v>24.69136</v>
      </c>
      <c r="X9" s="59">
        <v>40.753</v>
      </c>
      <c r="Y9" s="59">
        <v>38.950679999999998</v>
      </c>
      <c r="Z9" s="59">
        <v>42.722999999999999</v>
      </c>
      <c r="AA9" s="59">
        <v>43.156379999999999</v>
      </c>
      <c r="AB9" s="59">
        <v>55.469949999999997</v>
      </c>
      <c r="AC9" s="59">
        <v>48.037100000000002</v>
      </c>
      <c r="AD9" s="59">
        <v>49.384540000000001</v>
      </c>
      <c r="AE9" s="59">
        <v>66.639870000000002</v>
      </c>
      <c r="AF9" s="124">
        <v>62.301740000000002</v>
      </c>
      <c r="AG9" s="59"/>
      <c r="AH9" s="77" t="s">
        <v>5</v>
      </c>
      <c r="AI9" s="74">
        <v>72.849999999999994</v>
      </c>
      <c r="AJ9" s="74">
        <v>20.89</v>
      </c>
      <c r="AK9" s="75">
        <v>10.119999999999999</v>
      </c>
      <c r="AL9" s="123"/>
      <c r="AM9" s="77" t="s">
        <v>5</v>
      </c>
      <c r="AN9" s="74">
        <v>60.68</v>
      </c>
      <c r="AO9" s="74">
        <v>21.69</v>
      </c>
      <c r="AP9" s="75">
        <v>10.130000000000001</v>
      </c>
      <c r="AQ9" s="127"/>
      <c r="AR9" s="77" t="s">
        <v>5</v>
      </c>
      <c r="AS9" s="131">
        <f t="shared" si="0"/>
        <v>66.765000000000001</v>
      </c>
      <c r="AT9" s="76">
        <f t="shared" si="1"/>
        <v>21.29</v>
      </c>
      <c r="AU9" s="132">
        <f t="shared" si="2"/>
        <v>10.125</v>
      </c>
      <c r="AV9" s="76">
        <f t="shared" si="3"/>
        <v>3.1359793330202002</v>
      </c>
      <c r="AW9" s="133">
        <f t="shared" si="4"/>
        <v>6.5940740740740704</v>
      </c>
    </row>
    <row r="10" spans="1:49">
      <c r="A10" s="96">
        <v>8.2304530000000007</v>
      </c>
      <c r="B10" s="10">
        <v>47.604469999999999</v>
      </c>
      <c r="C10" s="10">
        <v>52.5941878</v>
      </c>
      <c r="D10" s="10">
        <v>60.001765050000003</v>
      </c>
      <c r="E10" s="10">
        <v>63.327240000000003</v>
      </c>
      <c r="F10" s="10">
        <v>52.291789999999999</v>
      </c>
      <c r="G10" s="10">
        <v>41.70626</v>
      </c>
      <c r="H10" s="10">
        <v>60.67472085</v>
      </c>
      <c r="I10" s="10">
        <v>42.475506299999999</v>
      </c>
      <c r="J10" s="10">
        <v>53.316119999999998</v>
      </c>
      <c r="L10" s="27">
        <v>8.2304530000000007</v>
      </c>
      <c r="M10" s="27">
        <v>7.2454159999999996</v>
      </c>
      <c r="N10" s="27">
        <v>28.107600000000001</v>
      </c>
      <c r="O10" s="27">
        <v>38.697600000000001</v>
      </c>
      <c r="P10" s="27">
        <v>28.429089999999999</v>
      </c>
      <c r="Q10" s="27">
        <v>16.233460000000001</v>
      </c>
      <c r="R10" s="27">
        <v>36.772309999999997</v>
      </c>
      <c r="S10" s="27">
        <v>49.926909999999999</v>
      </c>
      <c r="T10" s="27">
        <v>64.362889999999993</v>
      </c>
      <c r="U10" s="27">
        <v>47.681049999999999</v>
      </c>
      <c r="V10" s="49"/>
      <c r="W10" s="27">
        <v>8.2304530000000007</v>
      </c>
      <c r="X10" s="59">
        <v>35.045940000000002</v>
      </c>
      <c r="Y10" s="59">
        <v>22.127009999999999</v>
      </c>
      <c r="Z10" s="59">
        <v>38.049520000000001</v>
      </c>
      <c r="AA10" s="59">
        <v>21.525950000000002</v>
      </c>
      <c r="AB10" s="59">
        <v>24.530390000000001</v>
      </c>
      <c r="AC10" s="59">
        <v>34.444879999999998</v>
      </c>
      <c r="AD10" s="59">
        <v>48.069769999999998</v>
      </c>
      <c r="AE10" s="59">
        <v>40.962809999999998</v>
      </c>
      <c r="AF10" s="124">
        <v>38.283410000000003</v>
      </c>
      <c r="AG10" s="59"/>
      <c r="AH10" s="77" t="s">
        <v>6</v>
      </c>
      <c r="AI10" s="74">
        <v>62.06</v>
      </c>
      <c r="AJ10" s="74">
        <v>28.04</v>
      </c>
      <c r="AK10" s="75">
        <v>7.6710000000000003</v>
      </c>
      <c r="AL10" s="123"/>
      <c r="AM10" s="77" t="s">
        <v>6</v>
      </c>
      <c r="AN10" s="74">
        <v>55.37</v>
      </c>
      <c r="AO10" s="74">
        <v>31.99</v>
      </c>
      <c r="AP10" s="75">
        <v>10.77</v>
      </c>
      <c r="AQ10" s="127"/>
      <c r="AR10" s="77" t="s">
        <v>6</v>
      </c>
      <c r="AS10" s="131">
        <f t="shared" si="0"/>
        <v>58.715000000000003</v>
      </c>
      <c r="AT10" s="76">
        <f t="shared" si="1"/>
        <v>30.015000000000001</v>
      </c>
      <c r="AU10" s="132">
        <f t="shared" si="2"/>
        <v>9.2204999999999995</v>
      </c>
      <c r="AV10" s="76">
        <f t="shared" si="3"/>
        <v>1.9561885723804799</v>
      </c>
      <c r="AW10" s="133">
        <f t="shared" si="4"/>
        <v>6.3678759286372797</v>
      </c>
    </row>
    <row r="11" spans="1:49">
      <c r="A11" s="96">
        <v>2.743484</v>
      </c>
      <c r="B11" s="10">
        <v>43.974870000000003</v>
      </c>
      <c r="C11" s="10">
        <v>51.384610860000002</v>
      </c>
      <c r="D11" s="10">
        <v>50.175033919999997</v>
      </c>
      <c r="E11" s="10">
        <v>50.023620000000001</v>
      </c>
      <c r="F11" s="10">
        <v>42.311489999999999</v>
      </c>
      <c r="G11" s="10">
        <v>31.72336</v>
      </c>
      <c r="H11" s="10">
        <v>37.131563829999997</v>
      </c>
      <c r="I11" s="10">
        <v>37.9725258</v>
      </c>
      <c r="J11" s="10">
        <v>42.89875</v>
      </c>
      <c r="L11" s="27">
        <v>2.743484</v>
      </c>
      <c r="M11" s="27">
        <v>35.488169999999997</v>
      </c>
      <c r="N11" s="27">
        <v>14.94932</v>
      </c>
      <c r="O11" s="27">
        <v>23.61495</v>
      </c>
      <c r="P11" s="27">
        <v>40.301389999999998</v>
      </c>
      <c r="Q11" s="27">
        <v>32.600239999999999</v>
      </c>
      <c r="R11" s="27">
        <v>15.91197</v>
      </c>
      <c r="S11" s="27">
        <v>47.039900000000003</v>
      </c>
      <c r="T11" s="27">
        <v>35.809669999999997</v>
      </c>
      <c r="U11" s="27">
        <v>36.130240000000001</v>
      </c>
      <c r="V11" s="49"/>
      <c r="W11" s="27">
        <v>2.743484</v>
      </c>
      <c r="X11" s="59">
        <v>27.234739999999999</v>
      </c>
      <c r="Y11" s="59">
        <v>8.0472420000000007</v>
      </c>
      <c r="Z11" s="59">
        <v>21.525950000000002</v>
      </c>
      <c r="AA11" s="59">
        <v>14.61505</v>
      </c>
      <c r="AB11" s="59">
        <v>22.86308</v>
      </c>
      <c r="AC11" s="59">
        <v>24.366160000000001</v>
      </c>
      <c r="AD11" s="59">
        <v>14.31409</v>
      </c>
      <c r="AE11" s="59">
        <v>21.05904</v>
      </c>
      <c r="AF11" s="124">
        <v>3.7968259999999998</v>
      </c>
      <c r="AG11" s="59"/>
      <c r="AH11" s="77" t="s">
        <v>7</v>
      </c>
      <c r="AI11" s="74">
        <v>161.1</v>
      </c>
      <c r="AJ11" s="74">
        <v>104.3</v>
      </c>
      <c r="AK11" s="75">
        <v>28.33</v>
      </c>
      <c r="AL11" s="123"/>
      <c r="AM11" s="77" t="s">
        <v>7</v>
      </c>
      <c r="AN11" s="74">
        <v>162.5</v>
      </c>
      <c r="AO11" s="74">
        <v>72.400000000000006</v>
      </c>
      <c r="AP11" s="75">
        <v>21.1</v>
      </c>
      <c r="AQ11" s="127"/>
      <c r="AR11" s="77" t="s">
        <v>7</v>
      </c>
      <c r="AS11" s="131">
        <f t="shared" si="0"/>
        <v>161.80000000000001</v>
      </c>
      <c r="AT11" s="76">
        <f t="shared" si="1"/>
        <v>88.35</v>
      </c>
      <c r="AU11" s="132">
        <f t="shared" si="2"/>
        <v>24.715</v>
      </c>
      <c r="AV11" s="76">
        <f t="shared" si="3"/>
        <v>1.8313525749858499</v>
      </c>
      <c r="AW11" s="133">
        <f t="shared" si="4"/>
        <v>6.5466316002427698</v>
      </c>
    </row>
    <row r="12" spans="1:49">
      <c r="A12" s="96">
        <v>0.91449499999999995</v>
      </c>
      <c r="B12" s="10">
        <v>29.6053</v>
      </c>
      <c r="C12" s="10">
        <v>28.394861980000002</v>
      </c>
      <c r="D12" s="10">
        <v>31.571948200000001</v>
      </c>
      <c r="E12" s="10">
        <v>35.807630000000003</v>
      </c>
      <c r="F12" s="10">
        <v>16.137730000000001</v>
      </c>
      <c r="G12" s="10">
        <v>30.361509999999999</v>
      </c>
      <c r="H12" s="10">
        <v>36.77085709</v>
      </c>
      <c r="I12" s="10">
        <v>40.015156599999997</v>
      </c>
      <c r="J12" s="10">
        <v>40.135390000000001</v>
      </c>
      <c r="L12" s="27">
        <v>0.91449499999999995</v>
      </c>
      <c r="M12" s="27">
        <v>4.3565659999999999</v>
      </c>
      <c r="N12" s="27">
        <v>10.13518</v>
      </c>
      <c r="O12" s="27">
        <v>-2.7061899999999999</v>
      </c>
      <c r="P12" s="27">
        <v>11.7399</v>
      </c>
      <c r="Q12" s="27">
        <v>-9.1268799999999999</v>
      </c>
      <c r="R12" s="27">
        <v>24.257020000000001</v>
      </c>
      <c r="S12" s="27">
        <v>23.61495</v>
      </c>
      <c r="T12" s="27">
        <v>30.354379999999999</v>
      </c>
      <c r="U12" s="27">
        <v>26.182310000000001</v>
      </c>
      <c r="V12" s="49"/>
      <c r="W12" s="27">
        <v>0.91449499999999995</v>
      </c>
      <c r="X12" s="59">
        <v>-0.41145999999999999</v>
      </c>
      <c r="Y12" s="59">
        <v>7.1022280000000002</v>
      </c>
      <c r="Z12" s="59">
        <v>10.708589999999999</v>
      </c>
      <c r="AA12" s="59">
        <v>-16.041599999999999</v>
      </c>
      <c r="AB12" s="59">
        <v>16.117270000000001</v>
      </c>
      <c r="AC12" s="59">
        <v>12.811870000000001</v>
      </c>
      <c r="AD12" s="59">
        <v>12.27788</v>
      </c>
      <c r="AE12" s="59">
        <v>15.046709999999999</v>
      </c>
      <c r="AF12" s="124">
        <v>-10.029299999999999</v>
      </c>
      <c r="AG12" s="59"/>
      <c r="AH12" s="77" t="s">
        <v>8</v>
      </c>
      <c r="AI12" s="91">
        <v>115.1</v>
      </c>
      <c r="AJ12" s="91">
        <v>63.59</v>
      </c>
      <c r="AK12" s="92">
        <v>18.55</v>
      </c>
      <c r="AL12" s="123"/>
      <c r="AM12" s="77" t="s">
        <v>8</v>
      </c>
      <c r="AN12" s="91">
        <v>97.43</v>
      </c>
      <c r="AO12" s="91">
        <v>50.47</v>
      </c>
      <c r="AP12" s="92">
        <v>16.760000000000002</v>
      </c>
      <c r="AQ12" s="127"/>
      <c r="AR12" s="77" t="s">
        <v>8</v>
      </c>
      <c r="AS12" s="134">
        <f t="shared" si="0"/>
        <v>106.265</v>
      </c>
      <c r="AT12" s="135">
        <f t="shared" si="1"/>
        <v>57.03</v>
      </c>
      <c r="AU12" s="125">
        <f t="shared" si="2"/>
        <v>17.655000000000001</v>
      </c>
      <c r="AV12" s="135">
        <f t="shared" si="3"/>
        <v>1.8633175521655301</v>
      </c>
      <c r="AW12" s="78">
        <f t="shared" si="4"/>
        <v>6.0189747946757297</v>
      </c>
    </row>
    <row r="13" spans="1:49">
      <c r="A13" s="122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136"/>
      <c r="AG13" s="49"/>
      <c r="AH13" s="131"/>
      <c r="AI13" s="76"/>
      <c r="AJ13" s="76"/>
      <c r="AK13" s="132"/>
      <c r="AL13" s="123"/>
      <c r="AM13" s="131"/>
      <c r="AN13" s="76"/>
      <c r="AO13" s="76"/>
      <c r="AP13" s="132"/>
      <c r="AQ13" s="123"/>
      <c r="AR13" s="131"/>
      <c r="AS13" s="76"/>
      <c r="AT13" s="76"/>
      <c r="AU13" s="132"/>
      <c r="AV13" s="76"/>
      <c r="AW13" s="76"/>
    </row>
    <row r="14" spans="1:49">
      <c r="A14" s="122"/>
      <c r="B14" s="202" t="s">
        <v>3</v>
      </c>
      <c r="C14" s="202"/>
      <c r="D14" s="202"/>
      <c r="E14" s="202"/>
      <c r="F14" s="202"/>
      <c r="G14" s="202"/>
      <c r="H14" s="202"/>
      <c r="I14" s="202"/>
      <c r="J14" s="202"/>
      <c r="L14" s="49"/>
      <c r="M14" s="198" t="s">
        <v>3</v>
      </c>
      <c r="N14" s="198"/>
      <c r="O14" s="198"/>
      <c r="P14" s="198"/>
      <c r="Q14" s="198"/>
      <c r="R14" s="198"/>
      <c r="S14" s="198"/>
      <c r="T14" s="198"/>
      <c r="U14" s="198"/>
      <c r="V14" s="49"/>
      <c r="W14" s="49"/>
      <c r="X14" s="198" t="s">
        <v>3</v>
      </c>
      <c r="Y14" s="198"/>
      <c r="Z14" s="198"/>
      <c r="AA14" s="198"/>
      <c r="AB14" s="198"/>
      <c r="AC14" s="198"/>
      <c r="AD14" s="198"/>
      <c r="AE14" s="198"/>
      <c r="AF14" s="227"/>
      <c r="AG14" s="4"/>
      <c r="AH14" s="77"/>
      <c r="AI14" s="223" t="s">
        <v>22</v>
      </c>
      <c r="AJ14" s="223"/>
      <c r="AK14" s="224"/>
      <c r="AL14" s="123"/>
      <c r="AM14" s="77"/>
      <c r="AN14" s="223" t="s">
        <v>22</v>
      </c>
      <c r="AO14" s="223"/>
      <c r="AP14" s="224"/>
      <c r="AQ14" s="76"/>
      <c r="AR14" s="77"/>
      <c r="AS14" s="228" t="s">
        <v>22</v>
      </c>
      <c r="AT14" s="223"/>
      <c r="AU14" s="223"/>
      <c r="AV14" s="223"/>
      <c r="AW14" s="224"/>
    </row>
    <row r="15" spans="1:49">
      <c r="A15" s="9" t="s">
        <v>75</v>
      </c>
      <c r="B15" s="193" t="s">
        <v>76</v>
      </c>
      <c r="C15" s="193"/>
      <c r="D15" s="193"/>
      <c r="E15" s="193" t="s">
        <v>77</v>
      </c>
      <c r="F15" s="193"/>
      <c r="G15" s="193"/>
      <c r="H15" s="193" t="s">
        <v>78</v>
      </c>
      <c r="I15" s="193"/>
      <c r="J15" s="193"/>
      <c r="L15" s="10" t="s">
        <v>75</v>
      </c>
      <c r="M15" s="193" t="s">
        <v>79</v>
      </c>
      <c r="N15" s="193"/>
      <c r="O15" s="193"/>
      <c r="P15" s="193" t="s">
        <v>80</v>
      </c>
      <c r="Q15" s="193"/>
      <c r="R15" s="193"/>
      <c r="S15" s="193" t="s">
        <v>81</v>
      </c>
      <c r="T15" s="193"/>
      <c r="U15" s="193"/>
      <c r="V15" s="49"/>
      <c r="W15" s="10" t="s">
        <v>75</v>
      </c>
      <c r="X15" s="193" t="s">
        <v>82</v>
      </c>
      <c r="Y15" s="193"/>
      <c r="Z15" s="193"/>
      <c r="AA15" s="193" t="s">
        <v>83</v>
      </c>
      <c r="AB15" s="193"/>
      <c r="AC15" s="193"/>
      <c r="AD15" s="193" t="s">
        <v>84</v>
      </c>
      <c r="AE15" s="193"/>
      <c r="AF15" s="221"/>
      <c r="AG15" s="10"/>
      <c r="AH15" s="77" t="s">
        <v>85</v>
      </c>
      <c r="AI15" s="77" t="s">
        <v>86</v>
      </c>
      <c r="AJ15" s="77" t="s">
        <v>65</v>
      </c>
      <c r="AK15" s="77" t="s">
        <v>66</v>
      </c>
      <c r="AL15" s="123"/>
      <c r="AM15" s="77"/>
      <c r="AN15" s="77" t="s">
        <v>86</v>
      </c>
      <c r="AO15" s="77" t="s">
        <v>65</v>
      </c>
      <c r="AP15" s="77" t="s">
        <v>66</v>
      </c>
      <c r="AQ15" s="123"/>
      <c r="AR15" s="77" t="s">
        <v>85</v>
      </c>
      <c r="AS15" s="77" t="s">
        <v>86</v>
      </c>
      <c r="AT15" s="77" t="s">
        <v>65</v>
      </c>
      <c r="AU15" s="77" t="s">
        <v>66</v>
      </c>
      <c r="AV15" s="77" t="s">
        <v>87</v>
      </c>
      <c r="AW15" s="77" t="s">
        <v>88</v>
      </c>
    </row>
    <row r="16" spans="1:49">
      <c r="A16" s="96">
        <v>2000</v>
      </c>
      <c r="B16" s="64">
        <v>87.497659999999996</v>
      </c>
      <c r="C16" s="64">
        <v>96.491470000000007</v>
      </c>
      <c r="D16" s="64">
        <v>98.824250000000006</v>
      </c>
      <c r="E16" s="64">
        <v>85.045439999999999</v>
      </c>
      <c r="F16" s="64">
        <v>88.115979999999993</v>
      </c>
      <c r="G16" s="64">
        <v>82.593220000000002</v>
      </c>
      <c r="H16" s="64">
        <v>93.221850000000003</v>
      </c>
      <c r="I16" s="64">
        <v>96.491470000000007</v>
      </c>
      <c r="J16" s="64">
        <v>93.221850000000003</v>
      </c>
      <c r="L16" s="27">
        <v>2000</v>
      </c>
      <c r="M16" s="27">
        <v>80.881659999999997</v>
      </c>
      <c r="N16" s="27">
        <v>86.525019999999998</v>
      </c>
      <c r="O16" s="27">
        <v>84.079729999999998</v>
      </c>
      <c r="P16" s="27">
        <v>75.477549999999994</v>
      </c>
      <c r="Q16" s="27">
        <v>80.746409999999997</v>
      </c>
      <c r="R16" s="27">
        <v>82.440010000000001</v>
      </c>
      <c r="S16" s="27">
        <v>88.324770000000001</v>
      </c>
      <c r="T16" s="27">
        <v>89.82978</v>
      </c>
      <c r="U16" s="27">
        <v>91.831599999999995</v>
      </c>
      <c r="V16" s="49"/>
      <c r="W16" s="27">
        <v>2000</v>
      </c>
      <c r="X16" s="59">
        <v>87.313280000000006</v>
      </c>
      <c r="Y16" s="59">
        <v>87.974199999999996</v>
      </c>
      <c r="Z16" s="59">
        <v>90.458219999999997</v>
      </c>
      <c r="AA16" s="59">
        <v>87.927899999999994</v>
      </c>
      <c r="AB16" s="59">
        <v>86.358620000000002</v>
      </c>
      <c r="AC16" s="59">
        <v>88.002930000000006</v>
      </c>
      <c r="AD16" s="59">
        <v>91.374560000000002</v>
      </c>
      <c r="AE16" s="59">
        <v>92.287710000000004</v>
      </c>
      <c r="AF16" s="124">
        <v>95.836550000000003</v>
      </c>
      <c r="AG16" s="59"/>
      <c r="AH16" s="77" t="s">
        <v>52</v>
      </c>
      <c r="AI16" s="74">
        <v>34.74</v>
      </c>
      <c r="AJ16" s="74">
        <v>34.11</v>
      </c>
      <c r="AK16" s="75">
        <v>7.6369999999999996</v>
      </c>
      <c r="AL16" s="123"/>
      <c r="AM16" s="77" t="s">
        <v>52</v>
      </c>
      <c r="AN16" s="74">
        <v>33.42</v>
      </c>
      <c r="AO16" s="74">
        <v>36.590000000000003</v>
      </c>
      <c r="AP16" s="75">
        <v>9.5229999999999997</v>
      </c>
      <c r="AQ16" s="127"/>
      <c r="AR16" s="77" t="s">
        <v>52</v>
      </c>
      <c r="AS16" s="131">
        <f t="shared" ref="AS16:AU16" si="5">AVERAGE(AN16,AI16)</f>
        <v>34.08</v>
      </c>
      <c r="AT16" s="76">
        <f t="shared" si="5"/>
        <v>35.35</v>
      </c>
      <c r="AU16" s="132">
        <f t="shared" si="5"/>
        <v>8.58</v>
      </c>
      <c r="AV16" s="76">
        <f t="shared" ref="AV16:AV22" si="6">AS16/AT16</f>
        <v>0.96407355021216401</v>
      </c>
      <c r="AW16" s="126">
        <f t="shared" ref="AW16:AW22" si="7">AS16/AU16</f>
        <v>3.9720279720279699</v>
      </c>
    </row>
    <row r="17" spans="1:49">
      <c r="A17" s="96">
        <v>666.66669999999999</v>
      </c>
      <c r="B17" s="64">
        <v>89.134810000000002</v>
      </c>
      <c r="C17" s="64">
        <v>92.404439999999994</v>
      </c>
      <c r="D17" s="64">
        <v>89.952219999999997</v>
      </c>
      <c r="E17" s="64">
        <v>86.680250000000001</v>
      </c>
      <c r="F17" s="64">
        <v>84.228030000000004</v>
      </c>
      <c r="G17" s="64">
        <v>87.762320000000003</v>
      </c>
      <c r="H17" s="64">
        <v>94.856660000000005</v>
      </c>
      <c r="I17" s="64">
        <v>89.134810000000002</v>
      </c>
      <c r="J17" s="64">
        <v>87.497659999999996</v>
      </c>
      <c r="L17" s="27">
        <v>666.66669999999999</v>
      </c>
      <c r="M17" s="27">
        <v>77.42765</v>
      </c>
      <c r="N17" s="27">
        <v>80.814310000000006</v>
      </c>
      <c r="O17" s="27">
        <v>84.012910000000005</v>
      </c>
      <c r="P17" s="27">
        <v>79.429469999999995</v>
      </c>
      <c r="Q17" s="27">
        <v>71.525639999999996</v>
      </c>
      <c r="R17" s="27">
        <v>74.160610000000005</v>
      </c>
      <c r="S17" s="27">
        <v>86.134900000000002</v>
      </c>
      <c r="T17" s="27">
        <v>87.007289999999998</v>
      </c>
      <c r="U17" s="27">
        <v>88.204610000000002</v>
      </c>
      <c r="V17" s="49"/>
      <c r="W17" s="27">
        <v>666.66669999999999</v>
      </c>
      <c r="X17" s="59">
        <v>84.525940000000006</v>
      </c>
      <c r="Y17" s="59">
        <v>84.781360000000006</v>
      </c>
      <c r="Z17" s="59">
        <v>75.967550000000003</v>
      </c>
      <c r="AA17" s="59">
        <v>77.081850000000003</v>
      </c>
      <c r="AB17" s="59">
        <v>84.431749999999994</v>
      </c>
      <c r="AC17" s="59">
        <v>83.900139999999993</v>
      </c>
      <c r="AD17" s="59">
        <v>90.842960000000005</v>
      </c>
      <c r="AE17" s="59">
        <v>84.736660000000001</v>
      </c>
      <c r="AF17" s="124">
        <v>87.092969999999994</v>
      </c>
      <c r="AG17" s="59"/>
      <c r="AH17" s="77" t="s">
        <v>3</v>
      </c>
      <c r="AI17" s="74">
        <v>52.1</v>
      </c>
      <c r="AJ17" s="74">
        <v>52.7</v>
      </c>
      <c r="AK17" s="75">
        <v>14.23</v>
      </c>
      <c r="AL17" s="123"/>
      <c r="AM17" s="77" t="s">
        <v>3</v>
      </c>
      <c r="AN17" s="74">
        <v>41.46</v>
      </c>
      <c r="AO17" s="74">
        <v>41.53</v>
      </c>
      <c r="AP17" s="75">
        <v>11.14</v>
      </c>
      <c r="AQ17" s="127"/>
      <c r="AR17" s="77" t="s">
        <v>3</v>
      </c>
      <c r="AS17" s="131">
        <f t="shared" ref="AS17:AU17" si="8">AVERAGE(AN17,AI17)</f>
        <v>46.78</v>
      </c>
      <c r="AT17" s="76">
        <f t="shared" si="8"/>
        <v>47.115000000000002</v>
      </c>
      <c r="AU17" s="132">
        <f t="shared" si="8"/>
        <v>12.685</v>
      </c>
      <c r="AV17" s="76">
        <f t="shared" si="6"/>
        <v>0.99288973787541102</v>
      </c>
      <c r="AW17" s="133">
        <f t="shared" si="7"/>
        <v>3.6878202601497798</v>
      </c>
    </row>
    <row r="18" spans="1:49">
      <c r="A18" s="96">
        <v>222.22219999999999</v>
      </c>
      <c r="B18" s="64">
        <v>89.134810000000002</v>
      </c>
      <c r="C18" s="64">
        <v>90.769630000000006</v>
      </c>
      <c r="D18" s="64">
        <v>91.587029999999999</v>
      </c>
      <c r="E18" s="64">
        <v>87.497659999999996</v>
      </c>
      <c r="F18" s="64">
        <v>78.506180000000001</v>
      </c>
      <c r="G18" s="64">
        <v>89.399479999999997</v>
      </c>
      <c r="H18" s="64">
        <v>86.680250000000001</v>
      </c>
      <c r="I18" s="64">
        <v>85.045439999999999</v>
      </c>
      <c r="J18" s="64">
        <v>84.228030000000004</v>
      </c>
      <c r="L18" s="27">
        <v>222.22219999999999</v>
      </c>
      <c r="M18" s="27">
        <v>65.830010000000001</v>
      </c>
      <c r="N18" s="27">
        <v>77.42765</v>
      </c>
      <c r="O18" s="27">
        <v>74.229039999999998</v>
      </c>
      <c r="P18" s="27">
        <v>62.679369999999999</v>
      </c>
      <c r="Q18" s="27">
        <v>68.89067</v>
      </c>
      <c r="R18" s="27">
        <v>72.138850000000005</v>
      </c>
      <c r="S18" s="27">
        <v>82.628069999999994</v>
      </c>
      <c r="T18" s="27">
        <v>79.549090000000007</v>
      </c>
      <c r="U18" s="27">
        <v>78.864750000000001</v>
      </c>
      <c r="V18" s="49"/>
      <c r="W18" s="27">
        <v>222.22219999999999</v>
      </c>
      <c r="X18" s="59">
        <v>74.853250000000003</v>
      </c>
      <c r="Y18" s="59">
        <v>73.282380000000003</v>
      </c>
      <c r="Z18" s="59">
        <v>67.125</v>
      </c>
      <c r="AA18" s="59">
        <v>67.607119999999995</v>
      </c>
      <c r="AB18" s="59">
        <v>72.623059999999995</v>
      </c>
      <c r="AC18" s="59">
        <v>71.839219999999997</v>
      </c>
      <c r="AD18" s="59">
        <v>83.92568</v>
      </c>
      <c r="AE18" s="59">
        <v>84.33117</v>
      </c>
      <c r="AF18" s="124">
        <v>82.859279999999998</v>
      </c>
      <c r="AG18" s="59"/>
      <c r="AH18" s="77" t="s">
        <v>4</v>
      </c>
      <c r="AI18" s="74">
        <v>148.5</v>
      </c>
      <c r="AJ18" s="74">
        <v>50.94</v>
      </c>
      <c r="AK18" s="75">
        <v>13.52</v>
      </c>
      <c r="AL18" s="123"/>
      <c r="AM18" s="77" t="s">
        <v>4</v>
      </c>
      <c r="AN18" s="74">
        <v>87.5</v>
      </c>
      <c r="AO18" s="74">
        <v>51.07</v>
      </c>
      <c r="AP18" s="75">
        <v>8.423</v>
      </c>
      <c r="AQ18" s="127"/>
      <c r="AR18" s="77" t="s">
        <v>4</v>
      </c>
      <c r="AS18" s="131">
        <f t="shared" ref="AS18:AU18" si="9">AVERAGE(AN18,AI18)</f>
        <v>118</v>
      </c>
      <c r="AT18" s="76">
        <f t="shared" si="9"/>
        <v>51.005000000000003</v>
      </c>
      <c r="AU18" s="132">
        <f t="shared" si="9"/>
        <v>10.971500000000001</v>
      </c>
      <c r="AV18" s="76">
        <f t="shared" si="6"/>
        <v>2.31349867660033</v>
      </c>
      <c r="AW18" s="133">
        <f t="shared" si="7"/>
        <v>10.7551383129016</v>
      </c>
    </row>
    <row r="19" spans="1:49">
      <c r="A19" s="96">
        <v>74.074070000000006</v>
      </c>
      <c r="B19" s="64">
        <v>72.781989999999993</v>
      </c>
      <c r="C19" s="64">
        <v>81.775810000000007</v>
      </c>
      <c r="D19" s="64">
        <v>80.958399999999997</v>
      </c>
      <c r="E19" s="64">
        <v>80.958399999999997</v>
      </c>
      <c r="F19" s="64">
        <v>83.410619999999994</v>
      </c>
      <c r="G19" s="64">
        <v>84.228030000000004</v>
      </c>
      <c r="H19" s="64">
        <v>78.506180000000001</v>
      </c>
      <c r="I19" s="64">
        <v>72.781989999999993</v>
      </c>
      <c r="J19" s="64">
        <v>75.234210000000004</v>
      </c>
      <c r="L19" s="27">
        <v>74.074070000000006</v>
      </c>
      <c r="M19" s="27">
        <v>60.20552</v>
      </c>
      <c r="N19" s="27">
        <v>61.125329999999998</v>
      </c>
      <c r="O19" s="27">
        <v>55.429169999999999</v>
      </c>
      <c r="P19" s="27">
        <v>53.643419999999999</v>
      </c>
      <c r="Q19" s="27">
        <v>53.454830000000001</v>
      </c>
      <c r="R19" s="27">
        <v>57.408360000000002</v>
      </c>
      <c r="S19" s="27">
        <v>71.782669999999996</v>
      </c>
      <c r="T19" s="27">
        <v>77.171149999999997</v>
      </c>
      <c r="U19" s="27">
        <v>63.432679999999998</v>
      </c>
      <c r="V19" s="49"/>
      <c r="W19" s="27">
        <v>74.074070000000006</v>
      </c>
      <c r="X19" s="59">
        <v>59.016800000000003</v>
      </c>
      <c r="Y19" s="59">
        <v>58.103650000000002</v>
      </c>
      <c r="Z19" s="59">
        <v>56.255000000000003</v>
      </c>
      <c r="AA19" s="59">
        <v>64.262619999999998</v>
      </c>
      <c r="AB19" s="59">
        <v>57.369300000000003</v>
      </c>
      <c r="AC19" s="59">
        <v>65.174180000000007</v>
      </c>
      <c r="AD19" s="59">
        <v>75.412000000000006</v>
      </c>
      <c r="AE19" s="59">
        <v>69.660110000000003</v>
      </c>
      <c r="AF19" s="124">
        <v>67.956729999999993</v>
      </c>
      <c r="AG19" s="59"/>
      <c r="AH19" s="77" t="s">
        <v>5</v>
      </c>
      <c r="AI19" s="74">
        <v>874.9</v>
      </c>
      <c r="AJ19" s="74">
        <v>375.6</v>
      </c>
      <c r="AK19" s="75">
        <v>40.26</v>
      </c>
      <c r="AL19" s="123"/>
      <c r="AM19" s="77" t="s">
        <v>5</v>
      </c>
      <c r="AN19" s="74">
        <v>756.3</v>
      </c>
      <c r="AO19" s="74">
        <v>237</v>
      </c>
      <c r="AP19" s="75">
        <v>43.21</v>
      </c>
      <c r="AQ19" s="127"/>
      <c r="AR19" s="77" t="s">
        <v>5</v>
      </c>
      <c r="AS19" s="131">
        <f t="shared" ref="AS19:AU19" si="10">AVERAGE(AN19,AI19)</f>
        <v>815.6</v>
      </c>
      <c r="AT19" s="76">
        <f t="shared" si="10"/>
        <v>306.3</v>
      </c>
      <c r="AU19" s="132">
        <f t="shared" si="10"/>
        <v>41.734999999999999</v>
      </c>
      <c r="AV19" s="76">
        <f t="shared" si="6"/>
        <v>2.6627489389487402</v>
      </c>
      <c r="AW19" s="133">
        <f t="shared" si="7"/>
        <v>19.542350545106</v>
      </c>
    </row>
    <row r="20" spans="1:49">
      <c r="A20" s="96">
        <v>24.69136</v>
      </c>
      <c r="B20" s="64">
        <v>52.339799999999997</v>
      </c>
      <c r="C20" s="64">
        <v>75.234210000000004</v>
      </c>
      <c r="D20" s="64">
        <v>79.323589999999996</v>
      </c>
      <c r="E20" s="64">
        <v>69.2196</v>
      </c>
      <c r="F20" s="64">
        <v>59.070169999999997</v>
      </c>
      <c r="G20" s="64">
        <v>53.447629999999997</v>
      </c>
      <c r="H20" s="64">
        <v>78.506180000000001</v>
      </c>
      <c r="I20" s="64">
        <v>58.063989999999997</v>
      </c>
      <c r="J20" s="64">
        <v>62.970770000000002</v>
      </c>
      <c r="L20" s="27">
        <v>24.69136</v>
      </c>
      <c r="M20" s="27">
        <v>29.9147</v>
      </c>
      <c r="N20" s="27">
        <v>31.233260000000001</v>
      </c>
      <c r="O20" s="27">
        <v>42.910640000000001</v>
      </c>
      <c r="P20" s="27">
        <v>42.722050000000003</v>
      </c>
      <c r="Q20" s="27">
        <v>44.228670000000001</v>
      </c>
      <c r="R20" s="27">
        <v>53.266770000000001</v>
      </c>
      <c r="S20" s="27">
        <v>64.136409999999998</v>
      </c>
      <c r="T20" s="27">
        <v>57.032240000000002</v>
      </c>
      <c r="U20" s="27">
        <v>63.996850000000002</v>
      </c>
      <c r="V20" s="49"/>
      <c r="W20" s="27">
        <v>24.69136</v>
      </c>
      <c r="X20" s="59">
        <v>44.751220000000004</v>
      </c>
      <c r="Y20" s="59">
        <v>53.314399999999999</v>
      </c>
      <c r="Z20" s="59">
        <v>40.290840000000003</v>
      </c>
      <c r="AA20" s="59">
        <v>47.182560000000002</v>
      </c>
      <c r="AB20" s="59">
        <v>50.831969999999998</v>
      </c>
      <c r="AC20" s="59">
        <v>51.18638</v>
      </c>
      <c r="AD20" s="59">
        <v>57.040439999999997</v>
      </c>
      <c r="AE20" s="59">
        <v>58.307989999999997</v>
      </c>
      <c r="AF20" s="124">
        <v>58.636850000000003</v>
      </c>
      <c r="AG20" s="59"/>
      <c r="AH20" s="77" t="s">
        <v>6</v>
      </c>
      <c r="AI20" s="74">
        <v>262.39999999999998</v>
      </c>
      <c r="AJ20" s="74">
        <v>103.5</v>
      </c>
      <c r="AK20" s="75">
        <v>28.12</v>
      </c>
      <c r="AL20" s="123"/>
      <c r="AM20" s="77" t="s">
        <v>6</v>
      </c>
      <c r="AN20" s="74">
        <v>226.1</v>
      </c>
      <c r="AO20" s="74">
        <v>90.46</v>
      </c>
      <c r="AP20" s="75">
        <v>34.06</v>
      </c>
      <c r="AQ20" s="127"/>
      <c r="AR20" s="77" t="s">
        <v>6</v>
      </c>
      <c r="AS20" s="131">
        <f t="shared" ref="AS20:AU20" si="11">AVERAGE(AN20,AI20)</f>
        <v>244.25</v>
      </c>
      <c r="AT20" s="76">
        <f t="shared" si="11"/>
        <v>96.98</v>
      </c>
      <c r="AU20" s="132">
        <f t="shared" si="11"/>
        <v>31.09</v>
      </c>
      <c r="AV20" s="76">
        <f t="shared" si="6"/>
        <v>2.5185605279439098</v>
      </c>
      <c r="AW20" s="133">
        <f t="shared" si="7"/>
        <v>7.8562238661949202</v>
      </c>
    </row>
    <row r="21" spans="1:49">
      <c r="A21" s="96">
        <v>8.2304530000000007</v>
      </c>
      <c r="B21" s="64">
        <v>49.070169999999997</v>
      </c>
      <c r="C21" s="64">
        <v>62.970770000000002</v>
      </c>
      <c r="D21" s="64">
        <v>53.157200000000003</v>
      </c>
      <c r="E21" s="64">
        <v>49.980789999999999</v>
      </c>
      <c r="F21" s="64">
        <v>56.804380000000002</v>
      </c>
      <c r="G21" s="64">
        <v>53.974609999999998</v>
      </c>
      <c r="H21" s="64">
        <v>57.246580000000002</v>
      </c>
      <c r="I21" s="64">
        <v>32.715009999999999</v>
      </c>
      <c r="J21" s="64">
        <v>42.528570000000002</v>
      </c>
      <c r="L21" s="27">
        <v>8.2304530000000007</v>
      </c>
      <c r="M21" s="27">
        <v>27.336849999999998</v>
      </c>
      <c r="N21" s="27">
        <v>41.780679999999997</v>
      </c>
      <c r="O21" s="27">
        <v>25.016570000000002</v>
      </c>
      <c r="P21" s="27">
        <v>31.98657</v>
      </c>
      <c r="Q21" s="27">
        <v>32.551819999999999</v>
      </c>
      <c r="R21" s="27">
        <v>33.075049999999997</v>
      </c>
      <c r="S21" s="27">
        <v>42.489800000000002</v>
      </c>
      <c r="T21" s="27">
        <v>50.442659999999997</v>
      </c>
      <c r="U21" s="27">
        <v>56.843640000000001</v>
      </c>
      <c r="V21" s="49"/>
      <c r="W21" s="27">
        <v>8.2304530000000007</v>
      </c>
      <c r="X21" s="59">
        <v>10.386760000000001</v>
      </c>
      <c r="Y21" s="59">
        <v>35.476039999999998</v>
      </c>
      <c r="Z21" s="59">
        <v>24.88382</v>
      </c>
      <c r="AA21" s="59">
        <v>30.45851</v>
      </c>
      <c r="AB21" s="59">
        <v>30.45851</v>
      </c>
      <c r="AC21" s="59">
        <v>24.88382</v>
      </c>
      <c r="AD21" s="59">
        <v>36.438679999999998</v>
      </c>
      <c r="AE21" s="59">
        <v>39.174939999999999</v>
      </c>
      <c r="AF21" s="124">
        <v>43.635330000000003</v>
      </c>
      <c r="AG21" s="59"/>
      <c r="AH21" s="77" t="s">
        <v>7</v>
      </c>
      <c r="AI21" s="74">
        <v>316.3</v>
      </c>
      <c r="AJ21" s="74">
        <v>49.64</v>
      </c>
      <c r="AK21" s="75">
        <v>15.42</v>
      </c>
      <c r="AL21" s="123"/>
      <c r="AM21" s="77" t="s">
        <v>7</v>
      </c>
      <c r="AN21" s="74">
        <v>321.89999999999998</v>
      </c>
      <c r="AO21" s="74">
        <v>56.48</v>
      </c>
      <c r="AP21" s="75">
        <v>19.34</v>
      </c>
      <c r="AQ21" s="127"/>
      <c r="AR21" s="77" t="s">
        <v>7</v>
      </c>
      <c r="AS21" s="131">
        <f t="shared" ref="AS21:AU21" si="12">AVERAGE(AN21,AI21)</f>
        <v>319.10000000000002</v>
      </c>
      <c r="AT21" s="76">
        <f t="shared" si="12"/>
        <v>53.06</v>
      </c>
      <c r="AU21" s="132">
        <f t="shared" si="12"/>
        <v>17.38</v>
      </c>
      <c r="AV21" s="76">
        <f t="shared" si="6"/>
        <v>6.0139464756879004</v>
      </c>
      <c r="AW21" s="133">
        <f t="shared" si="7"/>
        <v>18.3601841196778</v>
      </c>
    </row>
    <row r="22" spans="1:49">
      <c r="A22" s="96">
        <v>2.743484</v>
      </c>
      <c r="B22" s="64">
        <v>26.17107</v>
      </c>
      <c r="C22" s="64">
        <v>14.72269</v>
      </c>
      <c r="D22" s="64">
        <v>49.88758</v>
      </c>
      <c r="E22" s="64">
        <v>39.481450000000002</v>
      </c>
      <c r="F22" s="64">
        <v>47.658329999999999</v>
      </c>
      <c r="G22" s="64">
        <v>47.510770000000001</v>
      </c>
      <c r="H22" s="64">
        <v>49.070169999999997</v>
      </c>
      <c r="I22" s="64">
        <v>58.063989999999997</v>
      </c>
      <c r="J22" s="64">
        <v>35.167230000000004</v>
      </c>
      <c r="L22" s="27">
        <v>2.743484</v>
      </c>
      <c r="M22" s="27">
        <v>19.929839999999999</v>
      </c>
      <c r="N22" s="27">
        <v>7.1160300000000003</v>
      </c>
      <c r="O22" s="27">
        <v>13.09994</v>
      </c>
      <c r="P22" s="27">
        <v>16.91499</v>
      </c>
      <c r="Q22" s="27">
        <v>3.7234419999999999</v>
      </c>
      <c r="R22" s="27">
        <v>12.958220000000001</v>
      </c>
      <c r="S22" s="27">
        <v>34.623699999999999</v>
      </c>
      <c r="T22" s="27">
        <v>22.190850000000001</v>
      </c>
      <c r="U22" s="27">
        <v>33.87039</v>
      </c>
      <c r="V22" s="49"/>
      <c r="W22" s="27">
        <v>2.743484</v>
      </c>
      <c r="X22" s="59">
        <v>28.78706</v>
      </c>
      <c r="Y22" s="59">
        <v>30.45851</v>
      </c>
      <c r="Z22" s="59">
        <v>23.21078</v>
      </c>
      <c r="AA22" s="59">
        <v>13.175700000000001</v>
      </c>
      <c r="AB22" s="59">
        <v>20.42343</v>
      </c>
      <c r="AC22" s="59">
        <v>22.09648</v>
      </c>
      <c r="AD22" s="59">
        <v>38.820540000000001</v>
      </c>
      <c r="AE22" s="59">
        <v>20.217500000000001</v>
      </c>
      <c r="AF22" s="124">
        <v>29.90136</v>
      </c>
      <c r="AG22" s="59"/>
      <c r="AH22" s="77" t="s">
        <v>8</v>
      </c>
      <c r="AI22" s="91">
        <v>559.5</v>
      </c>
      <c r="AJ22" s="91">
        <v>227.5</v>
      </c>
      <c r="AK22" s="92">
        <v>33.82</v>
      </c>
      <c r="AL22" s="123"/>
      <c r="AM22" s="77" t="s">
        <v>8</v>
      </c>
      <c r="AN22" s="91">
        <v>633.5</v>
      </c>
      <c r="AO22" s="91">
        <v>218.6</v>
      </c>
      <c r="AP22" s="92">
        <v>43.36</v>
      </c>
      <c r="AQ22" s="127"/>
      <c r="AR22" s="77" t="s">
        <v>8</v>
      </c>
      <c r="AS22" s="134">
        <f t="shared" ref="AS22:AU22" si="13">AVERAGE(AN22,AI22)</f>
        <v>596.5</v>
      </c>
      <c r="AT22" s="135">
        <f t="shared" si="13"/>
        <v>223.05</v>
      </c>
      <c r="AU22" s="125">
        <f t="shared" si="13"/>
        <v>38.590000000000003</v>
      </c>
      <c r="AV22" s="135">
        <f t="shared" si="6"/>
        <v>2.6742882761712599</v>
      </c>
      <c r="AW22" s="78">
        <f t="shared" si="7"/>
        <v>15.457372376263301</v>
      </c>
    </row>
    <row r="23" spans="1:49">
      <c r="A23" s="96">
        <v>0.91449499999999995</v>
      </c>
      <c r="B23" s="64">
        <v>8.1787519999999994</v>
      </c>
      <c r="C23" s="64">
        <v>44.980789999999999</v>
      </c>
      <c r="D23" s="64">
        <v>26.17107</v>
      </c>
      <c r="E23" s="64">
        <v>22.901440000000001</v>
      </c>
      <c r="F23" s="64">
        <v>28.848140000000001</v>
      </c>
      <c r="G23" s="64">
        <v>-6.5439400000000001</v>
      </c>
      <c r="H23" s="64">
        <v>22.084040000000002</v>
      </c>
      <c r="I23" s="64">
        <v>10.63331</v>
      </c>
      <c r="J23" s="64">
        <v>39.256599999999999</v>
      </c>
      <c r="L23" s="27">
        <v>0.91449499999999995</v>
      </c>
      <c r="M23" s="27">
        <v>-3.43947</v>
      </c>
      <c r="N23" s="27">
        <v>5.2311389999999998</v>
      </c>
      <c r="O23" s="27">
        <v>-1.36598</v>
      </c>
      <c r="P23" s="27">
        <v>14.08873</v>
      </c>
      <c r="Q23" s="27">
        <v>9.9428280000000004</v>
      </c>
      <c r="R23" s="27">
        <v>9.5661729999999991</v>
      </c>
      <c r="S23" s="27">
        <v>6.3621809999999996</v>
      </c>
      <c r="T23" s="27">
        <v>-8.7180300000000006</v>
      </c>
      <c r="U23" s="27">
        <v>7.304627</v>
      </c>
      <c r="V23" s="49"/>
      <c r="W23" s="27">
        <v>0.91449499999999995</v>
      </c>
      <c r="X23" s="59">
        <v>21.53773</v>
      </c>
      <c r="Y23" s="59">
        <v>31.01566</v>
      </c>
      <c r="Z23" s="59">
        <v>13.175700000000001</v>
      </c>
      <c r="AA23" s="59">
        <v>30.45851</v>
      </c>
      <c r="AB23" s="59">
        <v>27.11401</v>
      </c>
      <c r="AC23" s="59">
        <v>20.98058</v>
      </c>
      <c r="AD23" s="59">
        <v>17.07734</v>
      </c>
      <c r="AE23" s="59">
        <v>31.01566</v>
      </c>
      <c r="AF23" s="124">
        <v>16.520199999999999</v>
      </c>
      <c r="AG23" s="59"/>
      <c r="AH23" s="131"/>
      <c r="AI23" s="76"/>
      <c r="AJ23" s="76"/>
      <c r="AK23" s="132"/>
      <c r="AL23" s="123"/>
      <c r="AM23" s="131"/>
      <c r="AN23" s="76"/>
      <c r="AO23" s="76"/>
      <c r="AP23" s="132"/>
      <c r="AQ23" s="123"/>
      <c r="AR23" s="131"/>
      <c r="AS23" s="76"/>
      <c r="AT23" s="76"/>
      <c r="AU23" s="132"/>
      <c r="AV23" s="76"/>
      <c r="AW23" s="76"/>
    </row>
    <row r="24" spans="1:49">
      <c r="A24" s="122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136"/>
      <c r="AG24" s="49"/>
      <c r="AH24" s="77"/>
      <c r="AI24" s="223" t="s">
        <v>31</v>
      </c>
      <c r="AJ24" s="223"/>
      <c r="AK24" s="224"/>
      <c r="AL24" s="123"/>
      <c r="AM24" s="77"/>
      <c r="AN24" s="223" t="s">
        <v>31</v>
      </c>
      <c r="AO24" s="223"/>
      <c r="AP24" s="224"/>
      <c r="AQ24" s="76"/>
      <c r="AR24" s="77"/>
      <c r="AS24" s="228" t="s">
        <v>31</v>
      </c>
      <c r="AT24" s="223"/>
      <c r="AU24" s="223"/>
      <c r="AV24" s="223"/>
      <c r="AW24" s="224"/>
    </row>
    <row r="25" spans="1:49">
      <c r="A25" s="122"/>
      <c r="B25" s="202" t="s">
        <v>4</v>
      </c>
      <c r="C25" s="202"/>
      <c r="D25" s="202"/>
      <c r="E25" s="202"/>
      <c r="F25" s="202"/>
      <c r="G25" s="202"/>
      <c r="H25" s="202"/>
      <c r="I25" s="202"/>
      <c r="J25" s="202"/>
      <c r="L25" s="49"/>
      <c r="M25" s="198" t="s">
        <v>4</v>
      </c>
      <c r="N25" s="198"/>
      <c r="O25" s="198"/>
      <c r="P25" s="198"/>
      <c r="Q25" s="198"/>
      <c r="R25" s="198"/>
      <c r="S25" s="198"/>
      <c r="T25" s="198"/>
      <c r="U25" s="198"/>
      <c r="V25" s="49"/>
      <c r="W25" s="49"/>
      <c r="X25" s="198" t="s">
        <v>4</v>
      </c>
      <c r="Y25" s="198"/>
      <c r="Z25" s="198"/>
      <c r="AA25" s="198"/>
      <c r="AB25" s="198"/>
      <c r="AC25" s="198"/>
      <c r="AD25" s="198"/>
      <c r="AE25" s="198"/>
      <c r="AF25" s="227"/>
      <c r="AG25" s="4"/>
      <c r="AH25" s="77" t="s">
        <v>85</v>
      </c>
      <c r="AI25" s="77" t="s">
        <v>86</v>
      </c>
      <c r="AJ25" s="77" t="s">
        <v>65</v>
      </c>
      <c r="AK25" s="77" t="s">
        <v>66</v>
      </c>
      <c r="AL25" s="123"/>
      <c r="AM25" s="77" t="s">
        <v>85</v>
      </c>
      <c r="AN25" s="77" t="s">
        <v>86</v>
      </c>
      <c r="AO25" s="77" t="s">
        <v>65</v>
      </c>
      <c r="AP25" s="77" t="s">
        <v>66</v>
      </c>
      <c r="AQ25" s="123"/>
      <c r="AR25" s="77" t="s">
        <v>85</v>
      </c>
      <c r="AS25" s="78" t="s">
        <v>86</v>
      </c>
      <c r="AT25" s="78" t="s">
        <v>65</v>
      </c>
      <c r="AU25" s="78" t="s">
        <v>66</v>
      </c>
      <c r="AV25" s="78" t="s">
        <v>87</v>
      </c>
      <c r="AW25" s="78" t="s">
        <v>88</v>
      </c>
    </row>
    <row r="26" spans="1:49">
      <c r="A26" s="9" t="s">
        <v>75</v>
      </c>
      <c r="B26" s="193" t="s">
        <v>76</v>
      </c>
      <c r="C26" s="193"/>
      <c r="D26" s="193"/>
      <c r="E26" s="193" t="s">
        <v>77</v>
      </c>
      <c r="F26" s="193"/>
      <c r="G26" s="193"/>
      <c r="H26" s="193" t="s">
        <v>78</v>
      </c>
      <c r="I26" s="193"/>
      <c r="J26" s="193"/>
      <c r="L26" s="10" t="s">
        <v>75</v>
      </c>
      <c r="M26" s="193" t="s">
        <v>79</v>
      </c>
      <c r="N26" s="193"/>
      <c r="O26" s="193"/>
      <c r="P26" s="193" t="s">
        <v>80</v>
      </c>
      <c r="Q26" s="193"/>
      <c r="R26" s="193"/>
      <c r="S26" s="193" t="s">
        <v>81</v>
      </c>
      <c r="T26" s="193"/>
      <c r="U26" s="193"/>
      <c r="W26" s="10" t="s">
        <v>75</v>
      </c>
      <c r="X26" s="193" t="s">
        <v>82</v>
      </c>
      <c r="Y26" s="193"/>
      <c r="Z26" s="193"/>
      <c r="AA26" s="193" t="s">
        <v>83</v>
      </c>
      <c r="AB26" s="193"/>
      <c r="AC26" s="193"/>
      <c r="AD26" s="193" t="s">
        <v>84</v>
      </c>
      <c r="AE26" s="193"/>
      <c r="AF26" s="221"/>
      <c r="AG26" s="10"/>
      <c r="AH26" s="77" t="s">
        <v>52</v>
      </c>
      <c r="AI26" s="74">
        <v>48.37</v>
      </c>
      <c r="AJ26" s="74">
        <v>52.51</v>
      </c>
      <c r="AK26" s="75">
        <v>19.649999999999999</v>
      </c>
      <c r="AL26" s="123"/>
      <c r="AM26" s="77" t="s">
        <v>52</v>
      </c>
      <c r="AN26" s="74">
        <v>47.88</v>
      </c>
      <c r="AO26" s="74">
        <v>41.26</v>
      </c>
      <c r="AP26" s="75">
        <v>19.760000000000002</v>
      </c>
      <c r="AQ26" s="127"/>
      <c r="AR26" s="77" t="s">
        <v>52</v>
      </c>
      <c r="AS26" s="131">
        <f t="shared" ref="AS26:AU26" si="14">AVERAGE(AN26,AI26)</f>
        <v>48.125</v>
      </c>
      <c r="AT26" s="76">
        <f t="shared" si="14"/>
        <v>46.884999999999998</v>
      </c>
      <c r="AU26" s="132">
        <f t="shared" si="14"/>
        <v>19.704999999999998</v>
      </c>
      <c r="AV26" s="76">
        <f t="shared" ref="AV26:AV32" si="15">AS26/AT26</f>
        <v>1.02644769115922</v>
      </c>
      <c r="AW26" s="126">
        <f t="shared" ref="AW26:AW32" si="16">AS26/AU26</f>
        <v>2.4422735346358802</v>
      </c>
    </row>
    <row r="27" spans="1:49">
      <c r="A27" s="96">
        <v>2000</v>
      </c>
      <c r="B27" s="47">
        <v>84.560199999999995</v>
      </c>
      <c r="C27" s="47">
        <v>91.018360000000001</v>
      </c>
      <c r="D27" s="47">
        <v>90.18656</v>
      </c>
      <c r="E27" s="47">
        <v>82.032129999999995</v>
      </c>
      <c r="F27" s="47">
        <v>82.571619999999996</v>
      </c>
      <c r="G27" s="47">
        <v>83.028059999999996</v>
      </c>
      <c r="H27" s="47">
        <v>91.475449999999995</v>
      </c>
      <c r="I27" s="47">
        <v>90.10548</v>
      </c>
      <c r="J27" s="47">
        <v>90.790139999999994</v>
      </c>
      <c r="L27" s="27">
        <v>2000</v>
      </c>
      <c r="M27" s="27">
        <v>64.639150000000001</v>
      </c>
      <c r="N27" s="27">
        <v>77.837940000000003</v>
      </c>
      <c r="O27" s="27">
        <v>66.157790000000006</v>
      </c>
      <c r="P27" s="27">
        <v>67.725729999999999</v>
      </c>
      <c r="Q27" s="27">
        <v>71.523430000000005</v>
      </c>
      <c r="R27" s="27">
        <v>68.325209999999998</v>
      </c>
      <c r="S27" s="27">
        <v>78.612129999999993</v>
      </c>
      <c r="T27" s="27">
        <v>79.9452</v>
      </c>
      <c r="U27" s="27">
        <v>82.063329999999993</v>
      </c>
      <c r="W27" s="27">
        <v>2000</v>
      </c>
      <c r="X27" s="27">
        <v>85.124430000000004</v>
      </c>
      <c r="Y27" s="27">
        <v>75.984260000000006</v>
      </c>
      <c r="Z27" s="27">
        <v>85.40128</v>
      </c>
      <c r="AA27" s="27">
        <v>70.343249999999998</v>
      </c>
      <c r="AB27" s="27">
        <v>81.600679999999997</v>
      </c>
      <c r="AC27" s="27">
        <v>84.791250000000005</v>
      </c>
      <c r="AD27" s="27">
        <v>93.43244</v>
      </c>
      <c r="AE27" s="27">
        <v>92.601879999999994</v>
      </c>
      <c r="AF27" s="97">
        <v>92.601879999999994</v>
      </c>
      <c r="AG27" s="27"/>
      <c r="AH27" s="77" t="s">
        <v>3</v>
      </c>
      <c r="AI27" s="74">
        <v>35.15</v>
      </c>
      <c r="AJ27" s="74">
        <v>31.11</v>
      </c>
      <c r="AK27" s="75">
        <v>13.98</v>
      </c>
      <c r="AL27" s="123"/>
      <c r="AM27" s="77" t="s">
        <v>3</v>
      </c>
      <c r="AN27" s="74">
        <v>31.14</v>
      </c>
      <c r="AO27" s="74">
        <v>32.92</v>
      </c>
      <c r="AP27" s="75">
        <v>15.13</v>
      </c>
      <c r="AQ27" s="127"/>
      <c r="AR27" s="77" t="s">
        <v>3</v>
      </c>
      <c r="AS27" s="131">
        <f t="shared" ref="AS27:AU27" si="17">AVERAGE(AN27,AI27)</f>
        <v>33.145000000000003</v>
      </c>
      <c r="AT27" s="76">
        <f t="shared" si="17"/>
        <v>32.015000000000001</v>
      </c>
      <c r="AU27" s="132">
        <f t="shared" si="17"/>
        <v>14.555</v>
      </c>
      <c r="AV27" s="76">
        <f t="shared" si="15"/>
        <v>1.0352959550210801</v>
      </c>
      <c r="AW27" s="133">
        <f t="shared" si="16"/>
        <v>2.27722432153899</v>
      </c>
    </row>
    <row r="28" spans="1:49">
      <c r="A28" s="96">
        <v>666.66669999999999</v>
      </c>
      <c r="B28" s="47">
        <v>83.109800000000007</v>
      </c>
      <c r="C28" s="47">
        <v>77.827399999999997</v>
      </c>
      <c r="D28" s="47">
        <v>85.082689999999999</v>
      </c>
      <c r="E28" s="47">
        <v>76.779820000000001</v>
      </c>
      <c r="F28" s="47">
        <v>97.902869999999993</v>
      </c>
      <c r="G28" s="47">
        <v>77.236909999999995</v>
      </c>
      <c r="H28" s="47">
        <v>89.420820000000006</v>
      </c>
      <c r="I28" s="47">
        <v>87.366190000000003</v>
      </c>
      <c r="J28" s="47">
        <v>86.909099999999995</v>
      </c>
      <c r="L28" s="27">
        <v>666.66669999999999</v>
      </c>
      <c r="M28" s="27">
        <v>55.782449999999997</v>
      </c>
      <c r="N28" s="27">
        <v>73.569789999999998</v>
      </c>
      <c r="O28" s="27">
        <v>63.134279999999997</v>
      </c>
      <c r="P28" s="27">
        <v>57.185830000000003</v>
      </c>
      <c r="Q28" s="27">
        <v>59.211170000000003</v>
      </c>
      <c r="R28" s="27">
        <v>59.623640000000002</v>
      </c>
      <c r="S28" s="27">
        <v>77.852440000000001</v>
      </c>
      <c r="T28" s="27">
        <v>73.134860000000003</v>
      </c>
      <c r="U28" s="27">
        <v>65.540909999999997</v>
      </c>
      <c r="W28" s="27">
        <v>666.66669999999999</v>
      </c>
      <c r="X28" s="27">
        <v>61.856749999999998</v>
      </c>
      <c r="Y28" s="27">
        <v>60.470889999999997</v>
      </c>
      <c r="Z28" s="27">
        <v>65.458240000000004</v>
      </c>
      <c r="AA28" s="27">
        <v>57.977609999999999</v>
      </c>
      <c r="AB28" s="27">
        <v>69.890289999999993</v>
      </c>
      <c r="AC28" s="27">
        <v>72.106710000000007</v>
      </c>
      <c r="AD28" s="27">
        <v>80.13946</v>
      </c>
      <c r="AE28" s="27">
        <v>80.970020000000005</v>
      </c>
      <c r="AF28" s="97">
        <v>79.308099999999996</v>
      </c>
      <c r="AG28" s="27"/>
      <c r="AH28" s="77" t="s">
        <v>4</v>
      </c>
      <c r="AI28" s="74">
        <v>309.10000000000002</v>
      </c>
      <c r="AJ28" s="74">
        <v>162.80000000000001</v>
      </c>
      <c r="AK28" s="75">
        <v>74.52</v>
      </c>
      <c r="AL28" s="123"/>
      <c r="AM28" s="77" t="s">
        <v>4</v>
      </c>
      <c r="AN28" s="74">
        <v>294.3</v>
      </c>
      <c r="AO28" s="74">
        <v>129.6</v>
      </c>
      <c r="AP28" s="75">
        <v>63.95</v>
      </c>
      <c r="AQ28" s="127"/>
      <c r="AR28" s="77" t="s">
        <v>4</v>
      </c>
      <c r="AS28" s="131">
        <f t="shared" ref="AS28:AU28" si="18">AVERAGE(AN28,AI28)</f>
        <v>301.7</v>
      </c>
      <c r="AT28" s="76">
        <f t="shared" si="18"/>
        <v>146.19999999999999</v>
      </c>
      <c r="AU28" s="132">
        <f t="shared" si="18"/>
        <v>69.234999999999999</v>
      </c>
      <c r="AV28" s="76">
        <f t="shared" si="15"/>
        <v>2.0636114911080701</v>
      </c>
      <c r="AW28" s="133">
        <f t="shared" si="16"/>
        <v>4.3576225897306298</v>
      </c>
    </row>
    <row r="29" spans="1:49">
      <c r="A29" s="96">
        <v>222.22219999999999</v>
      </c>
      <c r="B29" s="47">
        <v>70.634240000000005</v>
      </c>
      <c r="C29" s="47">
        <v>74.122919999999993</v>
      </c>
      <c r="D29" s="47">
        <v>67.043539999999993</v>
      </c>
      <c r="E29" s="47">
        <v>82.114530000000002</v>
      </c>
      <c r="F29" s="47">
        <v>75.721109999999996</v>
      </c>
      <c r="G29" s="47">
        <v>65.216480000000004</v>
      </c>
      <c r="H29" s="47">
        <v>83.712720000000004</v>
      </c>
      <c r="I29" s="47">
        <v>83.941590000000005</v>
      </c>
      <c r="J29" s="47">
        <v>68.870609999999999</v>
      </c>
      <c r="L29" s="27">
        <v>222.22219999999999</v>
      </c>
      <c r="M29" s="27">
        <v>35.233269999999997</v>
      </c>
      <c r="N29" s="27">
        <v>37.070869999999999</v>
      </c>
      <c r="O29" s="27">
        <v>44.737299999999998</v>
      </c>
      <c r="P29" s="27">
        <v>51.108359999999998</v>
      </c>
      <c r="Q29" s="27">
        <v>53.387410000000003</v>
      </c>
      <c r="R29" s="27">
        <v>57.691809999999997</v>
      </c>
      <c r="S29" s="27">
        <v>62.249189999999999</v>
      </c>
      <c r="T29" s="27">
        <v>60.223849999999999</v>
      </c>
      <c r="U29" s="27">
        <v>70.164259999999999</v>
      </c>
      <c r="W29" s="27">
        <v>222.22219999999999</v>
      </c>
      <c r="X29" s="27">
        <v>46.340209999999999</v>
      </c>
      <c r="Y29" s="27">
        <v>41.352069999999998</v>
      </c>
      <c r="Z29" s="27">
        <v>43.569279999999999</v>
      </c>
      <c r="AA29" s="27">
        <v>46.51314</v>
      </c>
      <c r="AB29" s="27">
        <v>59.917180000000002</v>
      </c>
      <c r="AC29" s="27">
        <v>45.231990000000003</v>
      </c>
      <c r="AD29" s="27">
        <v>68.855850000000004</v>
      </c>
      <c r="AE29" s="27">
        <v>64.350030000000004</v>
      </c>
      <c r="AF29" s="97">
        <v>60.748539999999998</v>
      </c>
      <c r="AG29" s="27"/>
      <c r="AH29" s="77" t="s">
        <v>5</v>
      </c>
      <c r="AI29" s="74">
        <v>408.3</v>
      </c>
      <c r="AJ29" s="74">
        <v>330</v>
      </c>
      <c r="AK29" s="75">
        <v>159.5</v>
      </c>
      <c r="AL29" s="123"/>
      <c r="AM29" s="77" t="s">
        <v>5</v>
      </c>
      <c r="AN29" s="74">
        <v>402</v>
      </c>
      <c r="AO29" s="74">
        <v>301.8</v>
      </c>
      <c r="AP29" s="75">
        <v>133.1</v>
      </c>
      <c r="AQ29" s="127"/>
      <c r="AR29" s="77" t="s">
        <v>5</v>
      </c>
      <c r="AS29" s="131">
        <f t="shared" ref="AS29:AU29" si="19">AVERAGE(AN29,AI29)</f>
        <v>405.15</v>
      </c>
      <c r="AT29" s="76">
        <f t="shared" si="19"/>
        <v>315.89999999999998</v>
      </c>
      <c r="AU29" s="132">
        <f t="shared" si="19"/>
        <v>146.30000000000001</v>
      </c>
      <c r="AV29" s="76">
        <f t="shared" si="15"/>
        <v>1.2825261158594501</v>
      </c>
      <c r="AW29" s="133">
        <f t="shared" si="16"/>
        <v>2.7693096377306898</v>
      </c>
    </row>
    <row r="30" spans="1:49">
      <c r="A30" s="96">
        <v>74.074070000000006</v>
      </c>
      <c r="B30" s="47">
        <v>49.68383</v>
      </c>
      <c r="C30" s="47">
        <v>56.079859999999996</v>
      </c>
      <c r="D30" s="47">
        <v>54.938110000000002</v>
      </c>
      <c r="E30" s="47">
        <v>61.333480000000002</v>
      </c>
      <c r="F30" s="47">
        <v>54.252789999999997</v>
      </c>
      <c r="G30" s="47">
        <v>64.759389999999996</v>
      </c>
      <c r="H30" s="47">
        <v>70.240579999999994</v>
      </c>
      <c r="I30" s="47">
        <v>59.734639999999999</v>
      </c>
      <c r="J30" s="47">
        <v>65.216480000000004</v>
      </c>
      <c r="L30" s="27">
        <v>74.074070000000006</v>
      </c>
      <c r="M30" s="27">
        <v>26.9833</v>
      </c>
      <c r="N30" s="27">
        <v>27.62773</v>
      </c>
      <c r="O30" s="27">
        <v>25.176870000000001</v>
      </c>
      <c r="P30" s="27">
        <v>33.887149999999998</v>
      </c>
      <c r="Q30" s="27">
        <v>41.739159999999998</v>
      </c>
      <c r="R30" s="27">
        <v>41.992139999999999</v>
      </c>
      <c r="S30" s="27">
        <v>55.41348</v>
      </c>
      <c r="T30" s="27">
        <v>58.198500000000003</v>
      </c>
      <c r="U30" s="27">
        <v>48.323329999999999</v>
      </c>
      <c r="W30" s="27">
        <v>74.074070000000006</v>
      </c>
      <c r="X30" s="27">
        <v>13.6333</v>
      </c>
      <c r="Y30" s="27">
        <v>30.265989999999999</v>
      </c>
      <c r="Z30" s="27">
        <v>24.75825</v>
      </c>
      <c r="AA30" s="27">
        <v>28.32563</v>
      </c>
      <c r="AB30" s="27">
        <v>46.06335</v>
      </c>
      <c r="AC30" s="27">
        <v>40.520710000000001</v>
      </c>
      <c r="AD30" s="27">
        <v>52.887140000000002</v>
      </c>
      <c r="AE30" s="27">
        <v>49.839359999999999</v>
      </c>
      <c r="AF30" s="97">
        <v>47.239780000000003</v>
      </c>
      <c r="AG30" s="27"/>
      <c r="AH30" s="77" t="s">
        <v>6</v>
      </c>
      <c r="AI30" s="74">
        <v>269.2</v>
      </c>
      <c r="AJ30" s="74">
        <v>65.06</v>
      </c>
      <c r="AK30" s="75">
        <v>28.74</v>
      </c>
      <c r="AL30" s="123"/>
      <c r="AM30" s="77" t="s">
        <v>6</v>
      </c>
      <c r="AN30" s="74">
        <v>289.2</v>
      </c>
      <c r="AO30" s="74">
        <v>107.6</v>
      </c>
      <c r="AP30" s="75">
        <v>47.33</v>
      </c>
      <c r="AQ30" s="127"/>
      <c r="AR30" s="77" t="s">
        <v>6</v>
      </c>
      <c r="AS30" s="131">
        <f t="shared" ref="AS30:AU30" si="20">AVERAGE(AN30,AI30)</f>
        <v>279.2</v>
      </c>
      <c r="AT30" s="76">
        <f t="shared" si="20"/>
        <v>86.33</v>
      </c>
      <c r="AU30" s="132">
        <f t="shared" si="20"/>
        <v>38.034999999999997</v>
      </c>
      <c r="AV30" s="76">
        <f t="shared" si="15"/>
        <v>3.23410170276845</v>
      </c>
      <c r="AW30" s="133">
        <f t="shared" si="16"/>
        <v>7.34060733534902</v>
      </c>
    </row>
    <row r="31" spans="1:49">
      <c r="A31" s="96">
        <v>24.69136</v>
      </c>
      <c r="B31" s="47">
        <v>21.80509</v>
      </c>
      <c r="C31" s="47">
        <v>47.1708</v>
      </c>
      <c r="D31" s="47">
        <v>31.861129999999999</v>
      </c>
      <c r="E31" s="47">
        <v>37.802689999999998</v>
      </c>
      <c r="F31" s="47">
        <v>35.974310000000003</v>
      </c>
      <c r="G31" s="47">
        <v>50.140270000000001</v>
      </c>
      <c r="H31" s="47">
        <v>61.561700000000002</v>
      </c>
      <c r="I31" s="47">
        <v>65.330259999999996</v>
      </c>
      <c r="J31" s="47">
        <v>57.678699999999999</v>
      </c>
      <c r="L31" s="27">
        <v>24.69136</v>
      </c>
      <c r="M31" s="27">
        <v>3.4990429999999999</v>
      </c>
      <c r="N31" s="27">
        <v>8.0875959999999996</v>
      </c>
      <c r="O31" s="27">
        <v>19.366160000000001</v>
      </c>
      <c r="P31" s="27">
        <v>23.24794</v>
      </c>
      <c r="Q31" s="27">
        <v>36.166930000000001</v>
      </c>
      <c r="R31" s="27">
        <v>18.434670000000001</v>
      </c>
      <c r="S31" s="27">
        <v>49.589709999999997</v>
      </c>
      <c r="T31" s="27">
        <v>40.978749999999998</v>
      </c>
      <c r="U31" s="27">
        <v>45.284590000000001</v>
      </c>
      <c r="W31" s="27">
        <v>24.69136</v>
      </c>
      <c r="X31" s="27">
        <v>10.365780000000001</v>
      </c>
      <c r="Y31" s="27">
        <v>1.71031</v>
      </c>
      <c r="Z31" s="27">
        <v>24.72176</v>
      </c>
      <c r="AA31" s="27">
        <v>35.254919999999998</v>
      </c>
      <c r="AB31" s="27">
        <v>27.216619999999999</v>
      </c>
      <c r="AC31" s="27">
        <v>23.8904</v>
      </c>
      <c r="AD31" s="27">
        <v>37.708530000000003</v>
      </c>
      <c r="AE31" s="27">
        <v>34.977269999999997</v>
      </c>
      <c r="AF31" s="97">
        <v>21.288440000000001</v>
      </c>
      <c r="AG31" s="27"/>
      <c r="AH31" s="77" t="s">
        <v>7</v>
      </c>
      <c r="AI31" s="74">
        <v>472.6</v>
      </c>
      <c r="AJ31" s="74">
        <v>248.6</v>
      </c>
      <c r="AK31" s="75">
        <v>40.89</v>
      </c>
      <c r="AL31" s="123"/>
      <c r="AM31" s="77" t="s">
        <v>7</v>
      </c>
      <c r="AN31" s="74">
        <v>421.9</v>
      </c>
      <c r="AO31" s="74">
        <v>121</v>
      </c>
      <c r="AP31" s="75">
        <v>43.38</v>
      </c>
      <c r="AQ31" s="127"/>
      <c r="AR31" s="77" t="s">
        <v>7</v>
      </c>
      <c r="AS31" s="131">
        <f t="shared" ref="AS31:AU31" si="21">AVERAGE(AN31,AI31)</f>
        <v>447.25</v>
      </c>
      <c r="AT31" s="76">
        <f t="shared" si="21"/>
        <v>184.8</v>
      </c>
      <c r="AU31" s="132">
        <f t="shared" si="21"/>
        <v>42.134999999999998</v>
      </c>
      <c r="AV31" s="76">
        <f t="shared" si="15"/>
        <v>2.4201839826839802</v>
      </c>
      <c r="AW31" s="133">
        <f t="shared" si="16"/>
        <v>10.614690874569799</v>
      </c>
    </row>
    <row r="32" spans="1:49">
      <c r="A32" s="96">
        <v>8.2304530000000007</v>
      </c>
      <c r="B32" s="47">
        <v>3.516149</v>
      </c>
      <c r="C32" s="47">
        <v>38.259779999999999</v>
      </c>
      <c r="D32" s="47">
        <v>14.71852</v>
      </c>
      <c r="E32" s="47">
        <v>23.176369999999999</v>
      </c>
      <c r="F32" s="47">
        <v>23.404589999999999</v>
      </c>
      <c r="G32" s="47">
        <v>26.37602</v>
      </c>
      <c r="H32" s="47">
        <v>25.91893</v>
      </c>
      <c r="I32" s="47">
        <v>38.259779999999999</v>
      </c>
      <c r="J32" s="47">
        <v>24.09056</v>
      </c>
      <c r="L32" s="27">
        <v>8.2304530000000007</v>
      </c>
      <c r="M32" s="27">
        <v>0.42913499999999999</v>
      </c>
      <c r="N32" s="27">
        <v>-7.2677500000000004</v>
      </c>
      <c r="O32" s="27">
        <v>3.5280390000000001</v>
      </c>
      <c r="P32" s="27">
        <v>19.19436</v>
      </c>
      <c r="Q32" s="27">
        <v>5.4569710000000002</v>
      </c>
      <c r="R32" s="27">
        <v>31.861080000000001</v>
      </c>
      <c r="S32" s="27">
        <v>37.180320000000002</v>
      </c>
      <c r="T32" s="27">
        <v>34.39385</v>
      </c>
      <c r="U32" s="27">
        <v>22.544070000000001</v>
      </c>
      <c r="W32" s="27">
        <v>8.2304530000000007</v>
      </c>
      <c r="X32" s="27">
        <v>10.64343</v>
      </c>
      <c r="Y32" s="27">
        <v>11.415290000000001</v>
      </c>
      <c r="Z32" s="27">
        <v>10.86079</v>
      </c>
      <c r="AA32" s="27">
        <v>34.145919999999997</v>
      </c>
      <c r="AB32" s="27">
        <v>16.405809999999999</v>
      </c>
      <c r="AC32" s="27">
        <v>25.553909999999998</v>
      </c>
      <c r="AD32" s="27">
        <v>16.575569999999999</v>
      </c>
      <c r="AE32" s="27">
        <v>29.711480000000002</v>
      </c>
      <c r="AF32" s="97">
        <v>15.296810000000001</v>
      </c>
      <c r="AG32" s="27"/>
      <c r="AH32" s="77" t="s">
        <v>8</v>
      </c>
      <c r="AI32" s="91">
        <v>465.5</v>
      </c>
      <c r="AJ32" s="91">
        <v>120.8</v>
      </c>
      <c r="AK32" s="92">
        <v>62</v>
      </c>
      <c r="AL32" s="123"/>
      <c r="AM32" s="77" t="s">
        <v>8</v>
      </c>
      <c r="AN32" s="91">
        <v>465.7</v>
      </c>
      <c r="AO32" s="91">
        <v>247.1</v>
      </c>
      <c r="AP32" s="92">
        <v>51.08</v>
      </c>
      <c r="AQ32" s="127"/>
      <c r="AR32" s="77" t="s">
        <v>8</v>
      </c>
      <c r="AS32" s="134">
        <f t="shared" ref="AS32:AU32" si="22">AVERAGE(AN32,AI32)</f>
        <v>465.6</v>
      </c>
      <c r="AT32" s="135">
        <f t="shared" si="22"/>
        <v>183.95</v>
      </c>
      <c r="AU32" s="125">
        <f t="shared" si="22"/>
        <v>56.54</v>
      </c>
      <c r="AV32" s="135">
        <f t="shared" si="15"/>
        <v>2.5311225876596901</v>
      </c>
      <c r="AW32" s="78">
        <f t="shared" si="16"/>
        <v>8.2348779625044202</v>
      </c>
    </row>
    <row r="33" spans="1:33">
      <c r="A33" s="96">
        <v>2.743484</v>
      </c>
      <c r="B33" s="47">
        <v>-0.82852000000000003</v>
      </c>
      <c r="C33" s="47">
        <v>21.119129999999998</v>
      </c>
      <c r="D33" s="47">
        <v>14.4903</v>
      </c>
      <c r="E33" s="47">
        <v>20.433160000000001</v>
      </c>
      <c r="F33" s="47">
        <v>11.97531</v>
      </c>
      <c r="G33" s="47">
        <v>5.3451740000000001</v>
      </c>
      <c r="H33" s="47">
        <v>24.776520000000001</v>
      </c>
      <c r="I33" s="47">
        <v>25.004740000000002</v>
      </c>
      <c r="J33" s="47">
        <v>26.1478</v>
      </c>
      <c r="L33" s="27">
        <v>2.743484</v>
      </c>
      <c r="M33" s="27">
        <v>-6.39933</v>
      </c>
      <c r="N33" s="27">
        <v>-1.6375299999999999</v>
      </c>
      <c r="O33" s="27">
        <v>8.0462769999999999</v>
      </c>
      <c r="P33" s="27">
        <v>14.887790000000001</v>
      </c>
      <c r="Q33" s="27">
        <v>12.04332</v>
      </c>
      <c r="R33" s="27">
        <v>1.501247</v>
      </c>
      <c r="S33" s="27">
        <v>14.887790000000001</v>
      </c>
      <c r="T33" s="27">
        <v>4.7516530000000001</v>
      </c>
      <c r="U33" s="27">
        <v>11.846869999999999</v>
      </c>
      <c r="W33" s="27">
        <v>2.743484</v>
      </c>
      <c r="X33" s="27">
        <v>1.71031</v>
      </c>
      <c r="Y33" s="27">
        <v>21.39554</v>
      </c>
      <c r="Z33" s="27">
        <v>19.732030000000002</v>
      </c>
      <c r="AA33" s="27">
        <v>17.514810000000001</v>
      </c>
      <c r="AB33" s="27">
        <v>13.078799999999999</v>
      </c>
      <c r="AC33" s="27">
        <v>19.732030000000002</v>
      </c>
      <c r="AD33" s="27">
        <v>19.12041</v>
      </c>
      <c r="AE33" s="27">
        <v>15.568899999999999</v>
      </c>
      <c r="AF33" s="97">
        <v>5.9480079999999997</v>
      </c>
      <c r="AG33" s="27"/>
    </row>
    <row r="34" spans="1:33">
      <c r="A34" s="96">
        <v>0.91449499999999995</v>
      </c>
      <c r="B34" s="47">
        <v>3.059056</v>
      </c>
      <c r="C34" s="47">
        <v>10.60403</v>
      </c>
      <c r="D34" s="47">
        <v>-11.119300000000001</v>
      </c>
      <c r="E34" s="47">
        <v>-4.7154499999999997</v>
      </c>
      <c r="F34" s="47">
        <v>-4.7154499999999997</v>
      </c>
      <c r="G34" s="47">
        <v>5.3451740000000001</v>
      </c>
      <c r="H34" s="47">
        <v>13.57546</v>
      </c>
      <c r="I34" s="47">
        <v>11.061120000000001</v>
      </c>
      <c r="J34" s="47">
        <v>10.146280000000001</v>
      </c>
      <c r="L34" s="27">
        <v>0.91449499999999995</v>
      </c>
      <c r="M34" s="27">
        <v>-4.1181000000000001</v>
      </c>
      <c r="N34" s="27">
        <v>-8.4268400000000003</v>
      </c>
      <c r="O34" s="27">
        <v>2.7241360000000001</v>
      </c>
      <c r="P34" s="27">
        <v>-20.847799999999999</v>
      </c>
      <c r="Q34" s="27">
        <v>10.326779999999999</v>
      </c>
      <c r="R34" s="27">
        <v>13.36697</v>
      </c>
      <c r="S34" s="27">
        <v>1.2040420000000001</v>
      </c>
      <c r="T34" s="27">
        <v>0.443633</v>
      </c>
      <c r="U34" s="27">
        <v>-4.6255199999999999</v>
      </c>
      <c r="W34" s="27">
        <v>0.91449499999999995</v>
      </c>
      <c r="X34" s="27">
        <v>-0.78534999999999999</v>
      </c>
      <c r="Y34" s="27">
        <v>21.950040000000001</v>
      </c>
      <c r="Z34" s="27">
        <v>15.85131</v>
      </c>
      <c r="AA34" s="27">
        <v>0.659215</v>
      </c>
      <c r="AB34" s="27">
        <v>2.3227220000000002</v>
      </c>
      <c r="AC34" s="27">
        <v>4.819172</v>
      </c>
      <c r="AD34" s="27">
        <v>10.86079</v>
      </c>
      <c r="AE34" s="27">
        <v>2.0458669999999999</v>
      </c>
      <c r="AF34" s="97">
        <v>8.4246269999999992</v>
      </c>
      <c r="AG34" s="27"/>
    </row>
    <row r="35" spans="1:33">
      <c r="A35" s="122"/>
      <c r="AF35" s="137"/>
    </row>
    <row r="36" spans="1:33">
      <c r="A36" s="122"/>
      <c r="B36" s="202" t="s">
        <v>5</v>
      </c>
      <c r="C36" s="202"/>
      <c r="D36" s="202"/>
      <c r="E36" s="202"/>
      <c r="F36" s="202"/>
      <c r="G36" s="202"/>
      <c r="H36" s="202"/>
      <c r="I36" s="202"/>
      <c r="J36" s="202"/>
      <c r="M36" s="202" t="s">
        <v>5</v>
      </c>
      <c r="N36" s="202"/>
      <c r="O36" s="202"/>
      <c r="P36" s="202"/>
      <c r="Q36" s="202"/>
      <c r="R36" s="202"/>
      <c r="S36" s="202"/>
      <c r="T36" s="202"/>
      <c r="U36" s="202"/>
      <c r="X36" s="202" t="s">
        <v>5</v>
      </c>
      <c r="Y36" s="202"/>
      <c r="Z36" s="202"/>
      <c r="AA36" s="202"/>
      <c r="AB36" s="202"/>
      <c r="AC36" s="202"/>
      <c r="AD36" s="202"/>
      <c r="AE36" s="202"/>
      <c r="AF36" s="229"/>
      <c r="AG36" s="21"/>
    </row>
    <row r="37" spans="1:33">
      <c r="A37" s="9" t="s">
        <v>75</v>
      </c>
      <c r="B37" s="193" t="s">
        <v>76</v>
      </c>
      <c r="C37" s="193"/>
      <c r="D37" s="193"/>
      <c r="E37" s="193" t="s">
        <v>77</v>
      </c>
      <c r="F37" s="193"/>
      <c r="G37" s="193"/>
      <c r="H37" s="193" t="s">
        <v>78</v>
      </c>
      <c r="I37" s="193"/>
      <c r="J37" s="193"/>
      <c r="L37" s="10" t="s">
        <v>75</v>
      </c>
      <c r="M37" s="193" t="s">
        <v>79</v>
      </c>
      <c r="N37" s="193"/>
      <c r="O37" s="193"/>
      <c r="P37" s="193" t="s">
        <v>80</v>
      </c>
      <c r="Q37" s="193"/>
      <c r="R37" s="193"/>
      <c r="S37" s="193" t="s">
        <v>81</v>
      </c>
      <c r="T37" s="193"/>
      <c r="U37" s="193"/>
      <c r="W37" s="10" t="s">
        <v>75</v>
      </c>
      <c r="X37" s="193" t="s">
        <v>82</v>
      </c>
      <c r="Y37" s="193"/>
      <c r="Z37" s="193"/>
      <c r="AA37" s="193" t="s">
        <v>83</v>
      </c>
      <c r="AB37" s="193"/>
      <c r="AC37" s="193"/>
      <c r="AD37" s="193" t="s">
        <v>84</v>
      </c>
      <c r="AE37" s="193"/>
      <c r="AF37" s="221"/>
      <c r="AG37" s="10"/>
    </row>
    <row r="38" spans="1:33">
      <c r="A38" s="96">
        <v>2000</v>
      </c>
      <c r="B38" s="64">
        <v>88.187039999999996</v>
      </c>
      <c r="C38" s="64">
        <v>91.054500000000004</v>
      </c>
      <c r="D38" s="64">
        <v>90.807500000000005</v>
      </c>
      <c r="E38" s="64">
        <v>82.469329999999999</v>
      </c>
      <c r="F38" s="64">
        <v>86.664259999999999</v>
      </c>
      <c r="G38" s="64">
        <v>83.812989999999999</v>
      </c>
      <c r="H38" s="64">
        <v>90.625240000000005</v>
      </c>
      <c r="I38" s="64">
        <v>90.442989999999995</v>
      </c>
      <c r="J38" s="64">
        <v>94.089079999999996</v>
      </c>
      <c r="L38" s="27">
        <v>2000</v>
      </c>
      <c r="M38" s="27">
        <v>68.71754</v>
      </c>
      <c r="N38" s="27">
        <v>69.281450000000007</v>
      </c>
      <c r="O38" s="27">
        <v>68.721770000000006</v>
      </c>
      <c r="P38" s="27">
        <v>65.42013</v>
      </c>
      <c r="Q38" s="27">
        <v>64.436120000000003</v>
      </c>
      <c r="R38" s="27">
        <v>69.849580000000003</v>
      </c>
      <c r="S38" s="27">
        <v>80.677899999999994</v>
      </c>
      <c r="T38" s="27">
        <v>83.137919999999994</v>
      </c>
      <c r="U38" s="27">
        <v>81.661910000000006</v>
      </c>
      <c r="W38" s="27">
        <v>2000</v>
      </c>
      <c r="X38" s="27">
        <v>64.834360000000004</v>
      </c>
      <c r="Y38" s="27">
        <v>65.118790000000004</v>
      </c>
      <c r="Z38" s="27">
        <v>68.249210000000005</v>
      </c>
      <c r="AA38" s="27">
        <v>64.549109999999999</v>
      </c>
      <c r="AB38" s="27">
        <v>60.28013</v>
      </c>
      <c r="AC38" s="27">
        <v>68.818889999999996</v>
      </c>
      <c r="AD38" s="27">
        <v>76.787149999999997</v>
      </c>
      <c r="AE38" s="27">
        <v>76.502719999999997</v>
      </c>
      <c r="AF38" s="97">
        <v>73.087050000000005</v>
      </c>
      <c r="AG38" s="27"/>
    </row>
    <row r="39" spans="1:33">
      <c r="A39" s="96">
        <v>666.66669999999999</v>
      </c>
      <c r="B39" s="64">
        <v>71.295559999999995</v>
      </c>
      <c r="C39" s="64">
        <v>84.972819999999999</v>
      </c>
      <c r="D39" s="64">
        <v>80.778930000000003</v>
      </c>
      <c r="E39" s="64">
        <v>74.943209999999993</v>
      </c>
      <c r="F39" s="64">
        <v>72.754620000000003</v>
      </c>
      <c r="G39" s="64">
        <v>70.383769999999998</v>
      </c>
      <c r="H39" s="64">
        <v>86.796379999999999</v>
      </c>
      <c r="I39" s="64">
        <v>87.890420000000006</v>
      </c>
      <c r="J39" s="64">
        <v>87.160889999999995</v>
      </c>
      <c r="L39" s="27">
        <v>666.66669999999999</v>
      </c>
      <c r="M39" s="27">
        <v>40.309579999999997</v>
      </c>
      <c r="N39" s="27">
        <v>52.29813</v>
      </c>
      <c r="O39" s="27">
        <v>39.610340000000001</v>
      </c>
      <c r="P39" s="27">
        <v>59.513260000000002</v>
      </c>
      <c r="Q39" s="27">
        <v>44.254069999999999</v>
      </c>
      <c r="R39" s="27">
        <v>60.00526</v>
      </c>
      <c r="S39" s="27">
        <v>82.645920000000004</v>
      </c>
      <c r="T39" s="27">
        <v>55.08381</v>
      </c>
      <c r="U39" s="27">
        <v>70.341579999999993</v>
      </c>
      <c r="W39" s="27">
        <v>666.66669999999999</v>
      </c>
      <c r="X39" s="27">
        <v>56.294780000000003</v>
      </c>
      <c r="Y39" s="27">
        <v>68.249210000000005</v>
      </c>
      <c r="Z39" s="27">
        <v>69.10333</v>
      </c>
      <c r="AA39" s="27">
        <v>63.695799999999998</v>
      </c>
      <c r="AB39" s="27">
        <v>54.017670000000003</v>
      </c>
      <c r="AC39" s="27">
        <v>70.526319999999998</v>
      </c>
      <c r="AD39" s="27">
        <v>60.564570000000003</v>
      </c>
      <c r="AE39" s="27">
        <v>65.972909999999999</v>
      </c>
      <c r="AF39" s="97">
        <v>58.287460000000003</v>
      </c>
      <c r="AG39" s="27"/>
    </row>
    <row r="40" spans="1:33">
      <c r="A40" s="96">
        <v>222.22219999999999</v>
      </c>
      <c r="B40" s="64">
        <v>68.377430000000004</v>
      </c>
      <c r="C40" s="64">
        <v>69.903859999999995</v>
      </c>
      <c r="D40" s="64">
        <v>59.255949999999999</v>
      </c>
      <c r="E40" s="64">
        <v>55.607250000000001</v>
      </c>
      <c r="F40" s="64">
        <v>65.093760000000003</v>
      </c>
      <c r="G40" s="64">
        <v>65.276539999999997</v>
      </c>
      <c r="H40" s="64">
        <v>85.520099999999999</v>
      </c>
      <c r="I40" s="64">
        <v>74.760959999999997</v>
      </c>
      <c r="J40" s="64">
        <v>83.514279999999999</v>
      </c>
      <c r="L40" s="27">
        <v>222.22219999999999</v>
      </c>
      <c r="M40" s="27">
        <v>24.886859999999999</v>
      </c>
      <c r="N40" s="27">
        <v>11.281319999999999</v>
      </c>
      <c r="O40" s="27">
        <v>15.93633</v>
      </c>
      <c r="P40" s="27">
        <v>40.315219999999997</v>
      </c>
      <c r="Q40" s="27">
        <v>47.918030000000002</v>
      </c>
      <c r="R40" s="27">
        <v>34.898940000000003</v>
      </c>
      <c r="S40" s="27">
        <v>70.834999999999994</v>
      </c>
      <c r="T40" s="27">
        <v>80.185900000000004</v>
      </c>
      <c r="U40" s="27">
        <v>58.037239999999997</v>
      </c>
      <c r="W40" s="27">
        <v>222.22219999999999</v>
      </c>
      <c r="X40" s="27">
        <v>39.783679999999997</v>
      </c>
      <c r="Y40" s="27">
        <v>44.908410000000003</v>
      </c>
      <c r="Z40" s="27">
        <v>26.400559999999999</v>
      </c>
      <c r="AA40" s="27">
        <v>39.783679999999997</v>
      </c>
      <c r="AB40" s="27">
        <v>37.790190000000003</v>
      </c>
      <c r="AC40" s="27">
        <v>46.331400000000002</v>
      </c>
      <c r="AD40" s="27">
        <v>51.170870000000001</v>
      </c>
      <c r="AE40" s="27">
        <v>64.378770000000003</v>
      </c>
      <c r="AF40" s="97">
        <v>55.905209999999997</v>
      </c>
      <c r="AG40" s="27"/>
    </row>
    <row r="41" spans="1:33">
      <c r="A41" s="96">
        <v>74.074070000000006</v>
      </c>
      <c r="B41" s="64">
        <v>29.873149999999999</v>
      </c>
      <c r="C41" s="64">
        <v>41.737819999999999</v>
      </c>
      <c r="D41" s="64">
        <v>51.227980000000002</v>
      </c>
      <c r="E41" s="64">
        <v>50.31568</v>
      </c>
      <c r="F41" s="64">
        <v>62.17512</v>
      </c>
      <c r="G41" s="64">
        <v>64.729259999999996</v>
      </c>
      <c r="H41" s="64">
        <v>71.228189999999998</v>
      </c>
      <c r="I41" s="64">
        <v>70.931049999999999</v>
      </c>
      <c r="J41" s="64">
        <v>70.748279999999994</v>
      </c>
      <c r="L41" s="27">
        <v>74.074070000000006</v>
      </c>
      <c r="M41" s="27">
        <v>10.589130000000001</v>
      </c>
      <c r="N41" s="27">
        <v>16.72156</v>
      </c>
      <c r="O41" s="27">
        <v>24.461120000000001</v>
      </c>
      <c r="P41" s="27">
        <v>38.837800000000001</v>
      </c>
      <c r="Q41" s="27">
        <v>35.571390000000001</v>
      </c>
      <c r="R41" s="27">
        <v>28.498660000000001</v>
      </c>
      <c r="S41" s="27">
        <v>62.46669</v>
      </c>
      <c r="T41" s="27">
        <v>66.897549999999995</v>
      </c>
      <c r="U41" s="27">
        <v>48.683520000000001</v>
      </c>
      <c r="W41" s="27">
        <v>74.074070000000006</v>
      </c>
      <c r="X41" s="27">
        <v>9.5960610000000006</v>
      </c>
      <c r="Y41" s="27">
        <v>32.664650000000002</v>
      </c>
      <c r="Z41" s="27">
        <v>28.96292</v>
      </c>
      <c r="AA41" s="27">
        <v>38.644309999999997</v>
      </c>
      <c r="AB41" s="27">
        <v>35.689120000000003</v>
      </c>
      <c r="AC41" s="27">
        <v>36.543239999999997</v>
      </c>
      <c r="AD41" s="27">
        <v>54.017670000000003</v>
      </c>
      <c r="AE41" s="27">
        <v>45.192839999999997</v>
      </c>
      <c r="AF41" s="97">
        <v>45.762529999999998</v>
      </c>
      <c r="AG41" s="27"/>
    </row>
    <row r="42" spans="1:33">
      <c r="A42" s="96">
        <v>24.69136</v>
      </c>
      <c r="B42" s="64">
        <v>23.117290000000001</v>
      </c>
      <c r="C42" s="64">
        <v>42.832900000000002</v>
      </c>
      <c r="D42" s="64">
        <v>30.055409999999998</v>
      </c>
      <c r="E42" s="64">
        <v>32.063839999999999</v>
      </c>
      <c r="F42" s="64">
        <v>49.585619999999999</v>
      </c>
      <c r="G42" s="64">
        <v>53.417619999999999</v>
      </c>
      <c r="H42" s="64">
        <v>47.943269999999998</v>
      </c>
      <c r="I42" s="64">
        <v>46.665410000000001</v>
      </c>
      <c r="J42" s="64">
        <v>51.775260000000003</v>
      </c>
      <c r="L42" s="27">
        <v>24.69136</v>
      </c>
      <c r="M42" s="27">
        <v>9.0299440000000004</v>
      </c>
      <c r="N42" s="27">
        <v>22.635490000000001</v>
      </c>
      <c r="O42" s="27">
        <v>0.36277199999999998</v>
      </c>
      <c r="P42" s="27">
        <v>42.776649999999997</v>
      </c>
      <c r="Q42" s="27">
        <v>39.508839999999999</v>
      </c>
      <c r="R42" s="27">
        <v>21.604949999999999</v>
      </c>
      <c r="S42" s="27">
        <v>39.823210000000003</v>
      </c>
      <c r="T42" s="27">
        <v>47.207509999999999</v>
      </c>
      <c r="U42" s="27">
        <v>46.715499999999999</v>
      </c>
      <c r="W42" s="27">
        <v>24.69136</v>
      </c>
      <c r="X42" s="27">
        <v>25.830870000000001</v>
      </c>
      <c r="Y42" s="27">
        <v>32.664650000000002</v>
      </c>
      <c r="Z42" s="27">
        <v>24.975940000000001</v>
      </c>
      <c r="AA42" s="27">
        <v>32.77223</v>
      </c>
      <c r="AB42" s="27">
        <v>21.490179999999999</v>
      </c>
      <c r="AC42" s="27">
        <v>34.94258</v>
      </c>
      <c r="AD42" s="27">
        <v>28.96292</v>
      </c>
      <c r="AE42" s="27">
        <v>46.578339999999997</v>
      </c>
      <c r="AF42" s="97">
        <v>24.691500000000001</v>
      </c>
      <c r="AG42" s="27"/>
    </row>
    <row r="43" spans="1:33">
      <c r="A43" s="96">
        <v>8.2304530000000007</v>
      </c>
      <c r="B43" s="64">
        <v>4.8544859999999996</v>
      </c>
      <c r="C43" s="64">
        <v>28.229749999999999</v>
      </c>
      <c r="D43" s="64">
        <v>14.90028</v>
      </c>
      <c r="E43" s="64">
        <v>23.482839999999999</v>
      </c>
      <c r="F43" s="64">
        <v>26.586349999999999</v>
      </c>
      <c r="G43" s="64">
        <v>17.639289999999999</v>
      </c>
      <c r="H43" s="64">
        <v>55.424480000000003</v>
      </c>
      <c r="I43" s="64">
        <v>42.252719999999997</v>
      </c>
      <c r="J43" s="64">
        <v>36.444670000000002</v>
      </c>
      <c r="L43" s="27">
        <v>8.2304530000000007</v>
      </c>
      <c r="M43" s="27">
        <v>-7.5290299999999997</v>
      </c>
      <c r="N43" s="27">
        <v>7.8683059999999996</v>
      </c>
      <c r="O43" s="27">
        <v>1.780985</v>
      </c>
      <c r="P43" s="27">
        <v>19.81739</v>
      </c>
      <c r="Q43" s="27">
        <v>23.756239999999998</v>
      </c>
      <c r="R43" s="27">
        <v>19.635529999999999</v>
      </c>
      <c r="S43" s="27">
        <v>29.484069999999999</v>
      </c>
      <c r="T43" s="27">
        <v>37.490070000000003</v>
      </c>
      <c r="U43" s="27">
        <v>32.437510000000003</v>
      </c>
      <c r="W43" s="27">
        <v>8.2304530000000007</v>
      </c>
      <c r="X43" s="27">
        <v>18.995460000000001</v>
      </c>
      <c r="Y43" s="27">
        <v>5.7598539999999998</v>
      </c>
      <c r="Z43" s="27">
        <v>3.8992070000000001</v>
      </c>
      <c r="AA43" s="27">
        <v>0.76553000000000004</v>
      </c>
      <c r="AB43" s="27">
        <v>23.267700000000001</v>
      </c>
      <c r="AC43" s="27">
        <v>16.71754</v>
      </c>
      <c r="AD43" s="27">
        <v>-0.37384000000000001</v>
      </c>
      <c r="AE43" s="27">
        <v>26.684989999999999</v>
      </c>
      <c r="AF43" s="97">
        <v>-3.79277</v>
      </c>
      <c r="AG43" s="27"/>
    </row>
    <row r="44" spans="1:33">
      <c r="A44" s="96">
        <v>2.743484</v>
      </c>
      <c r="B44" s="64">
        <v>9.6034839999999999</v>
      </c>
      <c r="C44" s="64">
        <v>16.543690000000002</v>
      </c>
      <c r="D44" s="64">
        <v>13.43913</v>
      </c>
      <c r="E44" s="64">
        <v>18.2226</v>
      </c>
      <c r="F44" s="64">
        <v>13.62139</v>
      </c>
      <c r="G44" s="64">
        <v>24.943470000000001</v>
      </c>
      <c r="H44" s="64">
        <v>34.801789999999997</v>
      </c>
      <c r="I44" s="64">
        <v>24.7607</v>
      </c>
      <c r="J44" s="64">
        <v>33.88897</v>
      </c>
      <c r="L44" s="27">
        <v>2.743484</v>
      </c>
      <c r="M44" s="27">
        <v>-4.00183</v>
      </c>
      <c r="N44" s="27">
        <v>3.4811489999999998</v>
      </c>
      <c r="O44" s="27">
        <v>-6.1559999999999997E-2</v>
      </c>
      <c r="P44" s="27">
        <v>4.3707050000000001</v>
      </c>
      <c r="Q44" s="27">
        <v>9.2949769999999994</v>
      </c>
      <c r="R44" s="27">
        <v>20.12894</v>
      </c>
      <c r="S44" s="27">
        <v>10.150700000000001</v>
      </c>
      <c r="T44" s="27">
        <v>30.960090000000001</v>
      </c>
      <c r="U44" s="27">
        <v>42.776649999999997</v>
      </c>
      <c r="W44" s="27">
        <v>2.743484</v>
      </c>
      <c r="X44" s="27">
        <v>12.37847</v>
      </c>
      <c r="Y44" s="27">
        <v>4.1192570000000002</v>
      </c>
      <c r="Z44" s="27">
        <v>7.0328840000000001</v>
      </c>
      <c r="AA44" s="27">
        <v>4.1192570000000002</v>
      </c>
      <c r="AB44" s="27">
        <v>0.52592000000000005</v>
      </c>
      <c r="AC44" s="27">
        <v>14.438789999999999</v>
      </c>
      <c r="AD44" s="27">
        <v>13.01417</v>
      </c>
      <c r="AE44" s="27">
        <v>8.1722549999999998</v>
      </c>
      <c r="AF44" s="97">
        <v>-5.5018200000000004</v>
      </c>
      <c r="AG44" s="27"/>
    </row>
    <row r="45" spans="1:33">
      <c r="A45" s="96">
        <v>0.91449499999999995</v>
      </c>
      <c r="B45" s="64">
        <v>-13.781700000000001</v>
      </c>
      <c r="C45" s="64">
        <v>-0.44335999999999998</v>
      </c>
      <c r="D45" s="64">
        <v>-11.2234</v>
      </c>
      <c r="E45" s="64">
        <v>3.3928129999999999</v>
      </c>
      <c r="F45" s="64">
        <v>6.1328610000000001</v>
      </c>
      <c r="G45" s="64">
        <v>-9.0306200000000008</v>
      </c>
      <c r="H45" s="64">
        <v>-10.3095</v>
      </c>
      <c r="I45" s="64">
        <v>1.7488889999999999</v>
      </c>
      <c r="J45" s="64">
        <v>-2.6356099999999998</v>
      </c>
      <c r="L45" s="27">
        <v>0.91449499999999995</v>
      </c>
      <c r="M45" s="27">
        <v>-0.55357000000000001</v>
      </c>
      <c r="N45" s="27">
        <v>-3.50841</v>
      </c>
      <c r="O45" s="27">
        <v>4.0619680000000002</v>
      </c>
      <c r="P45" s="27">
        <v>3.3852859999999998</v>
      </c>
      <c r="Q45" s="27">
        <v>11.2644</v>
      </c>
      <c r="R45" s="27">
        <v>9.2949769999999994</v>
      </c>
      <c r="S45" s="27">
        <v>30.46808</v>
      </c>
      <c r="T45" s="27">
        <v>8.3109690000000001</v>
      </c>
      <c r="U45" s="27">
        <v>9.7869820000000001</v>
      </c>
      <c r="W45" s="27">
        <v>0.91449499999999995</v>
      </c>
      <c r="X45" s="27">
        <v>-4.0307500000000003</v>
      </c>
      <c r="Y45" s="27">
        <v>6.003539</v>
      </c>
      <c r="Z45" s="27">
        <v>-3.7454999999999998</v>
      </c>
      <c r="AA45" s="27">
        <v>-3.79277</v>
      </c>
      <c r="AB45" s="27">
        <v>7.3173199999999996</v>
      </c>
      <c r="AC45" s="27">
        <v>-1.7520100000000001</v>
      </c>
      <c r="AD45" s="27">
        <v>13.869109999999999</v>
      </c>
      <c r="AE45" s="27">
        <v>12.72974</v>
      </c>
      <c r="AF45" s="97">
        <v>7.0328840000000001</v>
      </c>
      <c r="AG45" s="27"/>
    </row>
    <row r="46" spans="1:33">
      <c r="A46" s="122"/>
      <c r="AF46" s="137"/>
    </row>
    <row r="47" spans="1:33">
      <c r="A47" s="122"/>
      <c r="B47" s="202" t="s">
        <v>6</v>
      </c>
      <c r="C47" s="202"/>
      <c r="D47" s="202"/>
      <c r="E47" s="202"/>
      <c r="F47" s="202"/>
      <c r="G47" s="202"/>
      <c r="H47" s="202"/>
      <c r="I47" s="202"/>
      <c r="J47" s="202"/>
      <c r="M47" s="202" t="s">
        <v>6</v>
      </c>
      <c r="N47" s="202"/>
      <c r="O47" s="202"/>
      <c r="P47" s="202"/>
      <c r="Q47" s="202"/>
      <c r="R47" s="202"/>
      <c r="S47" s="202"/>
      <c r="T47" s="202"/>
      <c r="U47" s="202"/>
      <c r="X47" s="202" t="s">
        <v>6</v>
      </c>
      <c r="Y47" s="202"/>
      <c r="Z47" s="202"/>
      <c r="AA47" s="202"/>
      <c r="AB47" s="202"/>
      <c r="AC47" s="202"/>
      <c r="AD47" s="202"/>
      <c r="AE47" s="202"/>
      <c r="AF47" s="229"/>
      <c r="AG47" s="21"/>
    </row>
    <row r="48" spans="1:33">
      <c r="A48" s="9" t="s">
        <v>75</v>
      </c>
      <c r="B48" s="193" t="s">
        <v>76</v>
      </c>
      <c r="C48" s="193"/>
      <c r="D48" s="193"/>
      <c r="E48" s="193" t="s">
        <v>77</v>
      </c>
      <c r="F48" s="193"/>
      <c r="G48" s="193"/>
      <c r="H48" s="193" t="s">
        <v>78</v>
      </c>
      <c r="I48" s="193"/>
      <c r="J48" s="193"/>
      <c r="L48" s="10" t="s">
        <v>75</v>
      </c>
      <c r="M48" s="193" t="s">
        <v>79</v>
      </c>
      <c r="N48" s="193"/>
      <c r="O48" s="193"/>
      <c r="P48" s="193" t="s">
        <v>80</v>
      </c>
      <c r="Q48" s="193"/>
      <c r="R48" s="193"/>
      <c r="S48" s="193" t="s">
        <v>81</v>
      </c>
      <c r="T48" s="193"/>
      <c r="U48" s="193"/>
      <c r="W48" s="10" t="s">
        <v>75</v>
      </c>
      <c r="X48" s="193" t="s">
        <v>82</v>
      </c>
      <c r="Y48" s="193"/>
      <c r="Z48" s="193"/>
      <c r="AA48" s="193" t="s">
        <v>83</v>
      </c>
      <c r="AB48" s="193"/>
      <c r="AC48" s="193"/>
      <c r="AD48" s="193" t="s">
        <v>84</v>
      </c>
      <c r="AE48" s="193"/>
      <c r="AF48" s="221"/>
      <c r="AG48" s="10"/>
    </row>
    <row r="49" spans="1:33">
      <c r="A49" s="96">
        <v>2000</v>
      </c>
      <c r="B49" s="64">
        <v>93.421130000000005</v>
      </c>
      <c r="C49" s="64">
        <v>93.229839999999996</v>
      </c>
      <c r="D49" s="64">
        <v>93.899410000000003</v>
      </c>
      <c r="E49" s="64">
        <v>79.209879999999998</v>
      </c>
      <c r="F49" s="64">
        <v>75.857810000000001</v>
      </c>
      <c r="G49" s="64">
        <v>74.181420000000003</v>
      </c>
      <c r="H49" s="64">
        <v>97.24615</v>
      </c>
      <c r="I49" s="64">
        <v>96.24221</v>
      </c>
      <c r="J49" s="64">
        <v>97.24615</v>
      </c>
      <c r="L49" s="27">
        <v>2000</v>
      </c>
      <c r="M49" s="27">
        <v>86.397379999999998</v>
      </c>
      <c r="N49" s="27">
        <v>86.931880000000007</v>
      </c>
      <c r="O49" s="27">
        <v>85.916259999999994</v>
      </c>
      <c r="P49" s="27">
        <v>86.40625</v>
      </c>
      <c r="Q49" s="27">
        <v>87.996449999999996</v>
      </c>
      <c r="R49" s="27">
        <v>89.771850000000001</v>
      </c>
      <c r="S49" s="27">
        <v>92.839979999999997</v>
      </c>
      <c r="T49" s="27">
        <v>91.96602</v>
      </c>
      <c r="U49" s="27">
        <v>94.047880000000006</v>
      </c>
      <c r="V49" s="49"/>
      <c r="W49" s="27">
        <v>2000</v>
      </c>
      <c r="X49" s="27">
        <v>75.231790000000004</v>
      </c>
      <c r="Y49" s="27">
        <v>70.093339999999998</v>
      </c>
      <c r="Z49" s="27">
        <v>76.135540000000006</v>
      </c>
      <c r="AA49" s="27">
        <v>62.857610000000001</v>
      </c>
      <c r="AB49" s="27">
        <v>65.904880000000006</v>
      </c>
      <c r="AC49" s="27">
        <v>62.857610000000001</v>
      </c>
      <c r="AD49" s="27">
        <v>80.938370000000006</v>
      </c>
      <c r="AE49" s="27">
        <v>82.744929999999997</v>
      </c>
      <c r="AF49" s="97">
        <v>80.367779999999996</v>
      </c>
      <c r="AG49" s="27"/>
    </row>
    <row r="50" spans="1:33">
      <c r="A50" s="96">
        <v>666.66669999999999</v>
      </c>
      <c r="B50" s="64">
        <v>81.220500000000001</v>
      </c>
      <c r="C50" s="64">
        <v>80.454679999999996</v>
      </c>
      <c r="D50" s="64">
        <v>81.842830000000006</v>
      </c>
      <c r="E50" s="64">
        <v>72.504769999999994</v>
      </c>
      <c r="F50" s="64">
        <v>75.953649999999996</v>
      </c>
      <c r="G50" s="64">
        <v>75.809880000000007</v>
      </c>
      <c r="H50" s="64">
        <v>97.293940000000006</v>
      </c>
      <c r="I50" s="64">
        <v>97.628579999999999</v>
      </c>
      <c r="J50" s="64">
        <v>96.003140000000002</v>
      </c>
      <c r="L50" s="27">
        <v>666.66669999999999</v>
      </c>
      <c r="M50" s="27">
        <v>68.447950000000006</v>
      </c>
      <c r="N50" s="27">
        <v>60.46302</v>
      </c>
      <c r="O50" s="27">
        <v>56.285960000000003</v>
      </c>
      <c r="P50" s="27">
        <v>73.845259999999996</v>
      </c>
      <c r="Q50" s="27">
        <v>74.808890000000005</v>
      </c>
      <c r="R50" s="27">
        <v>75.86336</v>
      </c>
      <c r="S50" s="27">
        <v>88.030420000000007</v>
      </c>
      <c r="T50" s="27">
        <v>98.729339999999993</v>
      </c>
      <c r="U50" s="27">
        <v>86.135750000000002</v>
      </c>
      <c r="V50" s="49"/>
      <c r="W50" s="27">
        <v>666.66669999999999</v>
      </c>
      <c r="X50" s="27">
        <v>57.570799999999998</v>
      </c>
      <c r="Y50" s="27">
        <v>64.667010000000005</v>
      </c>
      <c r="Z50" s="27">
        <v>67.190070000000006</v>
      </c>
      <c r="AA50" s="27">
        <v>68.189689999999999</v>
      </c>
      <c r="AB50" s="27">
        <v>69.617530000000002</v>
      </c>
      <c r="AC50" s="27">
        <v>68.760829999999999</v>
      </c>
      <c r="AD50" s="27">
        <v>80.177679999999995</v>
      </c>
      <c r="AE50" s="27">
        <v>79.416839999999993</v>
      </c>
      <c r="AF50" s="97">
        <v>70.90231</v>
      </c>
      <c r="AG50" s="27"/>
    </row>
    <row r="51" spans="1:33">
      <c r="A51" s="96">
        <v>222.22219999999999</v>
      </c>
      <c r="B51" s="64">
        <v>66.4191</v>
      </c>
      <c r="C51" s="64">
        <v>64.597579999999994</v>
      </c>
      <c r="D51" s="64">
        <v>58.89134</v>
      </c>
      <c r="E51" s="64">
        <v>78.874690000000001</v>
      </c>
      <c r="F51" s="64">
        <v>80.358829999999998</v>
      </c>
      <c r="G51" s="64">
        <v>75.426760000000002</v>
      </c>
      <c r="H51" s="64">
        <v>93.75591</v>
      </c>
      <c r="I51" s="64">
        <v>93.851489999999998</v>
      </c>
      <c r="J51" s="64">
        <v>93.564629999999994</v>
      </c>
      <c r="L51" s="27">
        <v>222.22219999999999</v>
      </c>
      <c r="M51" s="27">
        <v>52.712989999999998</v>
      </c>
      <c r="N51" s="27">
        <v>48.283290000000001</v>
      </c>
      <c r="O51" s="27">
        <v>44.01876</v>
      </c>
      <c r="P51" s="27">
        <v>57.592320000000001</v>
      </c>
      <c r="Q51" s="27">
        <v>55.983609999999999</v>
      </c>
      <c r="R51" s="27">
        <v>67.254310000000004</v>
      </c>
      <c r="S51" s="27">
        <v>79.747190000000003</v>
      </c>
      <c r="T51" s="27">
        <v>73.838840000000005</v>
      </c>
      <c r="U51" s="27">
        <v>72.669619999999995</v>
      </c>
      <c r="V51" s="49"/>
      <c r="W51" s="27">
        <v>222.22219999999999</v>
      </c>
      <c r="X51" s="27">
        <v>32.628120000000003</v>
      </c>
      <c r="Y51" s="27">
        <v>48.515590000000003</v>
      </c>
      <c r="Z51" s="27">
        <v>52.948819999999998</v>
      </c>
      <c r="AA51" s="27">
        <v>58.697839999999999</v>
      </c>
      <c r="AB51" s="27">
        <v>64.000420000000005</v>
      </c>
      <c r="AC51" s="27">
        <v>62.191009999999999</v>
      </c>
      <c r="AD51" s="27">
        <v>72.459609999999998</v>
      </c>
      <c r="AE51" s="27">
        <v>71.10615</v>
      </c>
      <c r="AF51" s="97">
        <v>68.78707</v>
      </c>
      <c r="AG51" s="27"/>
    </row>
    <row r="52" spans="1:33">
      <c r="A52" s="96">
        <v>74.074070000000006</v>
      </c>
      <c r="B52" s="64">
        <v>45.934060000000002</v>
      </c>
      <c r="C52" s="64">
        <v>45.021720000000002</v>
      </c>
      <c r="D52" s="64">
        <v>48.094610000000003</v>
      </c>
      <c r="E52" s="64">
        <v>63.39893</v>
      </c>
      <c r="F52" s="64">
        <v>75.953649999999996</v>
      </c>
      <c r="G52" s="64">
        <v>74.181420000000003</v>
      </c>
      <c r="H52" s="64">
        <v>86.43723</v>
      </c>
      <c r="I52" s="64">
        <v>84.810280000000006</v>
      </c>
      <c r="J52" s="64">
        <v>84.236019999999996</v>
      </c>
      <c r="L52" s="27">
        <v>74.074070000000006</v>
      </c>
      <c r="M52" s="27">
        <v>32.098089999999999</v>
      </c>
      <c r="N52" s="27">
        <v>35.055199999999999</v>
      </c>
      <c r="O52" s="27">
        <v>29.960699999999999</v>
      </c>
      <c r="P52" s="27">
        <v>44.28792</v>
      </c>
      <c r="Q52" s="27">
        <v>41.603949999999998</v>
      </c>
      <c r="R52" s="27">
        <v>44.382579999999997</v>
      </c>
      <c r="S52" s="27">
        <v>67.169290000000004</v>
      </c>
      <c r="T52" s="27">
        <v>59.698920000000001</v>
      </c>
      <c r="U52" s="27">
        <v>62.652389999999997</v>
      </c>
      <c r="V52" s="49"/>
      <c r="W52" s="27">
        <v>74.074070000000006</v>
      </c>
      <c r="X52" s="27">
        <v>17.578990000000001</v>
      </c>
      <c r="Y52" s="27">
        <v>38.117269999999998</v>
      </c>
      <c r="Z52" s="27">
        <v>40.884689999999999</v>
      </c>
      <c r="AA52" s="27">
        <v>53.43918</v>
      </c>
      <c r="AB52" s="27">
        <v>55.093299999999999</v>
      </c>
      <c r="AC52" s="27">
        <v>53.2348</v>
      </c>
      <c r="AD52" s="27">
        <v>65.040970000000002</v>
      </c>
      <c r="AE52" s="27">
        <v>65.656300000000002</v>
      </c>
      <c r="AF52" s="97">
        <v>67.315039999999996</v>
      </c>
      <c r="AG52" s="27"/>
    </row>
    <row r="53" spans="1:33">
      <c r="A53" s="96">
        <v>24.69136</v>
      </c>
      <c r="B53" s="64">
        <v>31.712409999999998</v>
      </c>
      <c r="C53" s="64">
        <v>40.41075</v>
      </c>
      <c r="D53" s="64">
        <v>41.659790000000001</v>
      </c>
      <c r="E53" s="64">
        <v>55.821330000000003</v>
      </c>
      <c r="F53" s="64">
        <v>58.459609999999998</v>
      </c>
      <c r="G53" s="64">
        <v>52.558390000000003</v>
      </c>
      <c r="H53" s="64">
        <v>73.702460000000002</v>
      </c>
      <c r="I53" s="64">
        <v>71.307079999999999</v>
      </c>
      <c r="J53" s="64">
        <v>71.498779999999996</v>
      </c>
      <c r="L53" s="27">
        <v>24.69136</v>
      </c>
      <c r="M53" s="27">
        <v>10.517580000000001</v>
      </c>
      <c r="N53" s="27">
        <v>12.076269999999999</v>
      </c>
      <c r="O53" s="27">
        <v>21.63917</v>
      </c>
      <c r="P53" s="27">
        <v>24.431570000000001</v>
      </c>
      <c r="Q53" s="27">
        <v>25.070979999999999</v>
      </c>
      <c r="R53" s="27">
        <v>22.244019999999999</v>
      </c>
      <c r="S53" s="27">
        <v>53.527279999999998</v>
      </c>
      <c r="T53" s="27">
        <v>44.730930000000001</v>
      </c>
      <c r="U53" s="27">
        <v>41.34254</v>
      </c>
      <c r="V53" s="49"/>
      <c r="W53" s="27">
        <v>24.69136</v>
      </c>
      <c r="X53" s="27">
        <v>0.451876</v>
      </c>
      <c r="Y53" s="27">
        <v>35.301439999999999</v>
      </c>
      <c r="Z53" s="27">
        <v>35.587820000000001</v>
      </c>
      <c r="AA53" s="27">
        <v>44.365479999999998</v>
      </c>
      <c r="AB53" s="27">
        <v>53.377719999999997</v>
      </c>
      <c r="AC53" s="27">
        <v>45.389580000000002</v>
      </c>
      <c r="AD53" s="27">
        <v>47.752719999999997</v>
      </c>
      <c r="AE53" s="27">
        <v>49.973750000000003</v>
      </c>
      <c r="AF53" s="97">
        <v>48.802930000000003</v>
      </c>
      <c r="AG53" s="27"/>
    </row>
    <row r="54" spans="1:33">
      <c r="A54" s="96">
        <v>8.2304530000000007</v>
      </c>
      <c r="B54" s="64">
        <v>24.643070000000002</v>
      </c>
      <c r="C54" s="64">
        <v>28.00994</v>
      </c>
      <c r="D54" s="64">
        <v>30.125710000000002</v>
      </c>
      <c r="E54" s="64">
        <v>27.288609999999998</v>
      </c>
      <c r="F54" s="64">
        <v>36.518909999999998</v>
      </c>
      <c r="G54" s="64">
        <v>42.092059999999996</v>
      </c>
      <c r="H54" s="64">
        <v>40.218640000000001</v>
      </c>
      <c r="I54" s="64">
        <v>45.117710000000002</v>
      </c>
      <c r="J54" s="64">
        <v>52.606450000000002</v>
      </c>
      <c r="L54" s="27">
        <v>8.2304530000000007</v>
      </c>
      <c r="M54" s="27">
        <v>-1.47435</v>
      </c>
      <c r="N54" s="27">
        <v>9.9263399999999997</v>
      </c>
      <c r="O54" s="27">
        <v>22.76689</v>
      </c>
      <c r="P54" s="27">
        <v>22.122589999999999</v>
      </c>
      <c r="Q54" s="27">
        <v>18.255369999999999</v>
      </c>
      <c r="R54" s="27">
        <v>15.999000000000001</v>
      </c>
      <c r="S54" s="27">
        <v>31.56701</v>
      </c>
      <c r="T54" s="27">
        <v>32.008290000000002</v>
      </c>
      <c r="U54" s="27">
        <v>32.860080000000004</v>
      </c>
      <c r="V54" s="49"/>
      <c r="W54" s="27">
        <v>8.2304530000000007</v>
      </c>
      <c r="X54" s="27">
        <v>5.3821300000000001</v>
      </c>
      <c r="Y54" s="27">
        <v>22.16751</v>
      </c>
      <c r="Z54" s="27">
        <v>31.338850000000001</v>
      </c>
      <c r="AA54" s="27">
        <v>36.898710000000001</v>
      </c>
      <c r="AB54" s="27">
        <v>34.442149999999998</v>
      </c>
      <c r="AC54" s="27">
        <v>37.401449999999997</v>
      </c>
      <c r="AD54" s="27">
        <v>43.07499</v>
      </c>
      <c r="AE54" s="27">
        <v>38.25638</v>
      </c>
      <c r="AF54" s="97">
        <v>46.01878</v>
      </c>
      <c r="AG54" s="27"/>
    </row>
    <row r="55" spans="1:33">
      <c r="A55" s="96">
        <v>2.743484</v>
      </c>
      <c r="B55" s="64">
        <v>20.26473</v>
      </c>
      <c r="C55" s="64">
        <v>15.836550000000001</v>
      </c>
      <c r="D55" s="64">
        <v>16.991800000000001</v>
      </c>
      <c r="E55" s="64">
        <v>14.055149999999999</v>
      </c>
      <c r="F55" s="64">
        <v>16.462309999999999</v>
      </c>
      <c r="G55" s="64">
        <v>14.344060000000001</v>
      </c>
      <c r="H55" s="64">
        <v>23.536570000000001</v>
      </c>
      <c r="I55" s="64">
        <v>30.510339999999999</v>
      </c>
      <c r="J55" s="64">
        <v>47.902500000000003</v>
      </c>
      <c r="L55" s="27">
        <v>2.743484</v>
      </c>
      <c r="M55" s="27">
        <v>3.3129089999999999</v>
      </c>
      <c r="N55" s="27">
        <v>18.040500000000002</v>
      </c>
      <c r="O55" s="27">
        <v>19.81315</v>
      </c>
      <c r="P55" s="27">
        <v>14.54828</v>
      </c>
      <c r="Q55" s="27">
        <v>-1.044</v>
      </c>
      <c r="R55" s="27">
        <v>2.7751969999999999</v>
      </c>
      <c r="S55" s="27">
        <v>11.449730000000001</v>
      </c>
      <c r="T55" s="27">
        <v>13.060230000000001</v>
      </c>
      <c r="U55" s="27">
        <v>17.891729999999999</v>
      </c>
      <c r="V55" s="49"/>
      <c r="W55" s="27">
        <v>2.743484</v>
      </c>
      <c r="X55" s="27">
        <v>1.3136099999999999</v>
      </c>
      <c r="Y55" s="27">
        <v>15.666639999999999</v>
      </c>
      <c r="Z55" s="27">
        <v>21.450600000000001</v>
      </c>
      <c r="AA55" s="27">
        <v>27.13625</v>
      </c>
      <c r="AB55" s="27">
        <v>29.142289999999999</v>
      </c>
      <c r="AC55" s="27">
        <v>23.505459999999999</v>
      </c>
      <c r="AD55" s="27">
        <v>28.903500000000001</v>
      </c>
      <c r="AE55" s="27">
        <v>24.986609999999999</v>
      </c>
      <c r="AF55" s="97">
        <v>23.80463</v>
      </c>
      <c r="AG55" s="27"/>
    </row>
    <row r="56" spans="1:33">
      <c r="A56" s="96">
        <v>0.91449499999999995</v>
      </c>
      <c r="B56" s="64">
        <v>-0.10927000000000001</v>
      </c>
      <c r="C56" s="64">
        <v>27.577110000000001</v>
      </c>
      <c r="D56" s="64">
        <v>7.5050350000000003</v>
      </c>
      <c r="E56" s="64">
        <v>10.25081</v>
      </c>
      <c r="F56" s="64">
        <v>2.97567</v>
      </c>
      <c r="G56" s="64">
        <v>8.6130379999999995</v>
      </c>
      <c r="H56" s="64">
        <v>26.615210000000001</v>
      </c>
      <c r="I56" s="64">
        <v>10.58792</v>
      </c>
      <c r="J56" s="64">
        <v>19.8797</v>
      </c>
      <c r="L56" s="27">
        <v>0.91449499999999995</v>
      </c>
      <c r="M56" s="27">
        <v>-7.3399400000000004</v>
      </c>
      <c r="N56" s="27">
        <v>13.957190000000001</v>
      </c>
      <c r="O56" s="27">
        <v>9.9263399999999997</v>
      </c>
      <c r="P56" s="27">
        <v>12.66736</v>
      </c>
      <c r="Q56" s="27">
        <v>9.7113160000000001</v>
      </c>
      <c r="R56" s="27">
        <v>1.0539369999999999</v>
      </c>
      <c r="S56" s="27">
        <v>-0.57116</v>
      </c>
      <c r="T56" s="27">
        <v>3.8905379999999998</v>
      </c>
      <c r="U56" s="27">
        <v>9.5911639999999991</v>
      </c>
      <c r="V56" s="49"/>
      <c r="W56" s="27">
        <v>0.91449499999999995</v>
      </c>
      <c r="X56" s="27">
        <v>-8.6963399999999993</v>
      </c>
      <c r="Y56" s="27">
        <v>-0.26639000000000002</v>
      </c>
      <c r="Z56" s="27">
        <v>6.195589</v>
      </c>
      <c r="AA56" s="27">
        <v>14.566929999999999</v>
      </c>
      <c r="AB56" s="27">
        <v>14.28</v>
      </c>
      <c r="AC56" s="27">
        <v>17.435659999999999</v>
      </c>
      <c r="AD56" s="27">
        <v>8.9707609999999995</v>
      </c>
      <c r="AE56" s="27">
        <v>14.71039</v>
      </c>
      <c r="AF56" s="97">
        <v>-3.0916100000000002</v>
      </c>
      <c r="AG56" s="27"/>
    </row>
    <row r="57" spans="1:33">
      <c r="A57" s="122"/>
      <c r="AF57" s="137"/>
    </row>
    <row r="58" spans="1:33">
      <c r="A58" s="122"/>
      <c r="B58" s="202" t="s">
        <v>7</v>
      </c>
      <c r="C58" s="202"/>
      <c r="D58" s="202"/>
      <c r="E58" s="202"/>
      <c r="F58" s="202"/>
      <c r="G58" s="202"/>
      <c r="H58" s="202"/>
      <c r="I58" s="202"/>
      <c r="J58" s="202"/>
      <c r="M58" s="202" t="s">
        <v>7</v>
      </c>
      <c r="N58" s="202"/>
      <c r="O58" s="202"/>
      <c r="P58" s="202"/>
      <c r="Q58" s="202"/>
      <c r="R58" s="202"/>
      <c r="S58" s="202"/>
      <c r="T58" s="202"/>
      <c r="U58" s="202"/>
      <c r="X58" s="202" t="s">
        <v>7</v>
      </c>
      <c r="Y58" s="202"/>
      <c r="Z58" s="202"/>
      <c r="AA58" s="202"/>
      <c r="AB58" s="202"/>
      <c r="AC58" s="202"/>
      <c r="AD58" s="202"/>
      <c r="AE58" s="202"/>
      <c r="AF58" s="229"/>
      <c r="AG58" s="21"/>
    </row>
    <row r="59" spans="1:33">
      <c r="A59" s="9" t="s">
        <v>75</v>
      </c>
      <c r="B59" s="193" t="s">
        <v>76</v>
      </c>
      <c r="C59" s="193"/>
      <c r="D59" s="193"/>
      <c r="E59" s="193" t="s">
        <v>77</v>
      </c>
      <c r="F59" s="193"/>
      <c r="G59" s="193"/>
      <c r="H59" s="193" t="s">
        <v>78</v>
      </c>
      <c r="I59" s="193"/>
      <c r="J59" s="193"/>
      <c r="L59" s="10" t="s">
        <v>75</v>
      </c>
      <c r="M59" s="193" t="s">
        <v>79</v>
      </c>
      <c r="N59" s="193"/>
      <c r="O59" s="193"/>
      <c r="P59" s="193" t="s">
        <v>80</v>
      </c>
      <c r="Q59" s="193"/>
      <c r="R59" s="193"/>
      <c r="S59" s="193" t="s">
        <v>81</v>
      </c>
      <c r="T59" s="193"/>
      <c r="U59" s="193"/>
      <c r="W59" s="10" t="s">
        <v>75</v>
      </c>
      <c r="X59" s="193" t="s">
        <v>82</v>
      </c>
      <c r="Y59" s="193"/>
      <c r="Z59" s="193"/>
      <c r="AA59" s="193" t="s">
        <v>83</v>
      </c>
      <c r="AB59" s="193"/>
      <c r="AC59" s="193"/>
      <c r="AD59" s="193" t="s">
        <v>84</v>
      </c>
      <c r="AE59" s="193"/>
      <c r="AF59" s="221"/>
      <c r="AG59" s="10"/>
    </row>
    <row r="60" spans="1:33">
      <c r="A60" s="96">
        <v>2000</v>
      </c>
      <c r="B60" s="64">
        <v>86.421689999999998</v>
      </c>
      <c r="C60" s="64">
        <v>75.386570000000006</v>
      </c>
      <c r="D60" s="64">
        <v>83.865939999999995</v>
      </c>
      <c r="E60" s="64">
        <v>77.843010000000007</v>
      </c>
      <c r="F60" s="64">
        <v>70.760310000000004</v>
      </c>
      <c r="G60" s="64">
        <v>78.063010000000006</v>
      </c>
      <c r="H60" s="64">
        <v>95.340429999999998</v>
      </c>
      <c r="I60" s="64">
        <v>89.854929999999996</v>
      </c>
      <c r="J60" s="64">
        <v>92.049250000000001</v>
      </c>
      <c r="L60" s="27">
        <v>2000</v>
      </c>
      <c r="M60" s="27">
        <v>83.870710000000003</v>
      </c>
      <c r="N60" s="27">
        <v>81.843760000000003</v>
      </c>
      <c r="O60" s="27">
        <v>68.362989999999996</v>
      </c>
      <c r="P60" s="27">
        <v>89.261970000000005</v>
      </c>
      <c r="Q60" s="27">
        <v>81.496989999999997</v>
      </c>
      <c r="R60" s="27">
        <v>79.212249999999997</v>
      </c>
      <c r="S60" s="27">
        <v>87.891909999999996</v>
      </c>
      <c r="T60" s="27">
        <v>87.435230000000004</v>
      </c>
      <c r="U60" s="27">
        <v>92.916780000000003</v>
      </c>
      <c r="W60" s="27">
        <v>2000</v>
      </c>
      <c r="X60" s="27">
        <v>86.452439999999996</v>
      </c>
      <c r="Y60" s="27">
        <v>55.670400000000001</v>
      </c>
      <c r="Z60" s="27">
        <v>64.221509999999995</v>
      </c>
      <c r="AA60" s="27">
        <v>78.064610000000002</v>
      </c>
      <c r="AB60" s="27">
        <v>56.810110000000002</v>
      </c>
      <c r="AC60" s="27">
        <v>66.29683</v>
      </c>
      <c r="AD60" s="27">
        <v>93.292349999999999</v>
      </c>
      <c r="AE60" s="27">
        <v>86.452439999999996</v>
      </c>
      <c r="AF60" s="97">
        <v>88.993120000000005</v>
      </c>
      <c r="AG60" s="27"/>
    </row>
    <row r="61" spans="1:33">
      <c r="A61" s="96">
        <v>666.66669999999999</v>
      </c>
      <c r="B61" s="64">
        <v>71.498249999999999</v>
      </c>
      <c r="C61" s="64">
        <v>71.418419999999998</v>
      </c>
      <c r="D61" s="64">
        <v>77.424379999999999</v>
      </c>
      <c r="E61" s="64">
        <v>63.954819999999998</v>
      </c>
      <c r="F61" s="64">
        <v>79.957509999999999</v>
      </c>
      <c r="G61" s="64">
        <v>72.05265</v>
      </c>
      <c r="H61" s="64">
        <v>89.854929999999996</v>
      </c>
      <c r="I61" s="64">
        <v>87.87997</v>
      </c>
      <c r="J61" s="64">
        <v>90.951779999999999</v>
      </c>
      <c r="L61" s="27">
        <v>666.66669999999999</v>
      </c>
      <c r="M61" s="27">
        <v>54.820729999999998</v>
      </c>
      <c r="N61" s="27">
        <v>61.758699999999997</v>
      </c>
      <c r="O61" s="27">
        <v>68.234759999999994</v>
      </c>
      <c r="P61" s="27">
        <v>86.065169999999995</v>
      </c>
      <c r="Q61" s="27">
        <v>67.334469999999996</v>
      </c>
      <c r="R61" s="27">
        <v>70.989270000000005</v>
      </c>
      <c r="S61" s="27">
        <v>88.805289999999999</v>
      </c>
      <c r="T61" s="27">
        <v>83.323740000000001</v>
      </c>
      <c r="U61" s="27">
        <v>87.435230000000004</v>
      </c>
      <c r="W61" s="27">
        <v>666.66669999999999</v>
      </c>
      <c r="X61" s="27">
        <v>62.510309999999997</v>
      </c>
      <c r="Y61" s="27">
        <v>57.949820000000003</v>
      </c>
      <c r="Z61" s="27">
        <v>66.500929999999997</v>
      </c>
      <c r="AA61" s="27">
        <v>58.315579999999997</v>
      </c>
      <c r="AB61" s="27">
        <v>62.876060000000003</v>
      </c>
      <c r="AC61" s="27">
        <v>57.949820000000003</v>
      </c>
      <c r="AD61" s="27">
        <v>69.921710000000004</v>
      </c>
      <c r="AE61" s="27">
        <v>74.095209999999994</v>
      </c>
      <c r="AF61" s="97">
        <v>70.491560000000007</v>
      </c>
      <c r="AG61" s="27"/>
    </row>
    <row r="62" spans="1:33">
      <c r="A62" s="96">
        <v>222.22219999999999</v>
      </c>
      <c r="B62" s="64">
        <v>50.999420000000001</v>
      </c>
      <c r="C62" s="64">
        <v>45.289520000000003</v>
      </c>
      <c r="D62" s="64">
        <v>52.317529999999998</v>
      </c>
      <c r="E62" s="64">
        <v>66.58914</v>
      </c>
      <c r="F62" s="64">
        <v>65.930409999999995</v>
      </c>
      <c r="G62" s="64">
        <v>61.539239999999999</v>
      </c>
      <c r="H62" s="64">
        <v>79.320769999999996</v>
      </c>
      <c r="I62" s="64">
        <v>76.686449999999994</v>
      </c>
      <c r="J62" s="64">
        <v>73.174639999999997</v>
      </c>
      <c r="L62" s="27">
        <v>222.22219999999999</v>
      </c>
      <c r="M62" s="27">
        <v>40.783830000000002</v>
      </c>
      <c r="N62" s="27">
        <v>33.822299999999998</v>
      </c>
      <c r="O62" s="27">
        <v>43.253079999999997</v>
      </c>
      <c r="P62" s="27">
        <v>65.506410000000002</v>
      </c>
      <c r="Q62" s="27">
        <v>53.627319999999997</v>
      </c>
      <c r="R62" s="27">
        <v>58.196809999999999</v>
      </c>
      <c r="S62" s="27">
        <v>77.842190000000002</v>
      </c>
      <c r="T62" s="27">
        <v>81.953680000000006</v>
      </c>
      <c r="U62" s="27">
        <v>81.953680000000006</v>
      </c>
      <c r="W62" s="27">
        <v>222.22219999999999</v>
      </c>
      <c r="X62" s="27">
        <v>28.302600000000002</v>
      </c>
      <c r="Y62" s="27">
        <v>40.276110000000003</v>
      </c>
      <c r="Z62" s="27">
        <v>26.021540000000002</v>
      </c>
      <c r="AA62" s="27">
        <v>49.398710000000001</v>
      </c>
      <c r="AB62" s="27">
        <v>59.661029999999997</v>
      </c>
      <c r="AC62" s="27">
        <v>43.127029999999998</v>
      </c>
      <c r="AD62" s="27">
        <v>79.612530000000007</v>
      </c>
      <c r="AE62" s="27">
        <v>56.810110000000002</v>
      </c>
      <c r="AF62" s="97">
        <v>62.510309999999997</v>
      </c>
      <c r="AG62" s="27"/>
    </row>
    <row r="63" spans="1:33">
      <c r="A63" s="96">
        <v>74.074070000000006</v>
      </c>
      <c r="B63" s="64">
        <v>34.966560000000001</v>
      </c>
      <c r="C63" s="64">
        <v>39.579610000000002</v>
      </c>
      <c r="D63" s="64">
        <v>30.133510000000001</v>
      </c>
      <c r="E63" s="64">
        <v>49.681950000000001</v>
      </c>
      <c r="F63" s="64">
        <v>48.803840000000001</v>
      </c>
      <c r="G63" s="64">
        <v>49.462580000000003</v>
      </c>
      <c r="H63" s="64">
        <v>65.491669999999999</v>
      </c>
      <c r="I63" s="64">
        <v>69.442840000000004</v>
      </c>
      <c r="J63" s="64">
        <v>74.052750000000003</v>
      </c>
      <c r="L63" s="27">
        <v>74.074070000000006</v>
      </c>
      <c r="M63" s="27">
        <v>34.969900000000003</v>
      </c>
      <c r="N63" s="27">
        <v>30.804760000000002</v>
      </c>
      <c r="O63" s="27">
        <v>20.180579999999999</v>
      </c>
      <c r="P63" s="27">
        <v>50.429209999999998</v>
      </c>
      <c r="Q63" s="27">
        <v>53.170639999999999</v>
      </c>
      <c r="R63" s="27">
        <v>54.540700000000001</v>
      </c>
      <c r="S63" s="27">
        <v>67.334469999999996</v>
      </c>
      <c r="T63" s="27">
        <v>69.162520000000001</v>
      </c>
      <c r="U63" s="27">
        <v>70.075900000000004</v>
      </c>
      <c r="W63" s="27">
        <v>74.074070000000006</v>
      </c>
      <c r="X63" s="27">
        <v>26.021540000000002</v>
      </c>
      <c r="Y63" s="27">
        <v>38.564909999999998</v>
      </c>
      <c r="Z63" s="27">
        <v>11.19384</v>
      </c>
      <c r="AA63" s="27">
        <v>44.838230000000003</v>
      </c>
      <c r="AB63" s="27">
        <v>37.630929999999999</v>
      </c>
      <c r="AC63" s="27">
        <v>45.408079999999998</v>
      </c>
      <c r="AD63" s="27">
        <v>53.183599999999998</v>
      </c>
      <c r="AE63" s="27">
        <v>55.255659999999999</v>
      </c>
      <c r="AF63" s="97">
        <v>52.819479999999999</v>
      </c>
      <c r="AG63" s="27"/>
    </row>
    <row r="64" spans="1:33">
      <c r="A64" s="96">
        <v>24.69136</v>
      </c>
      <c r="B64" s="64">
        <v>42.434570000000001</v>
      </c>
      <c r="C64" s="64">
        <v>22.224250000000001</v>
      </c>
      <c r="D64" s="64">
        <v>37.163400000000003</v>
      </c>
      <c r="E64" s="64">
        <v>27.936669999999999</v>
      </c>
      <c r="F64" s="64">
        <v>29.91414</v>
      </c>
      <c r="G64" s="64">
        <v>35.185929999999999</v>
      </c>
      <c r="H64" s="64">
        <v>58.904910000000001</v>
      </c>
      <c r="I64" s="64">
        <v>47.705730000000003</v>
      </c>
      <c r="J64" s="64">
        <v>46.826990000000002</v>
      </c>
      <c r="L64" s="27">
        <v>24.69136</v>
      </c>
      <c r="M64" s="27">
        <v>21.6815</v>
      </c>
      <c r="N64" s="27">
        <v>15.448840000000001</v>
      </c>
      <c r="O64" s="27">
        <v>30.068049999999999</v>
      </c>
      <c r="P64" s="27">
        <v>56.368749999999999</v>
      </c>
      <c r="Q64" s="27">
        <v>50.885890000000003</v>
      </c>
      <c r="R64" s="27">
        <v>36.719450000000002</v>
      </c>
      <c r="S64" s="27">
        <v>66.421090000000007</v>
      </c>
      <c r="T64" s="27">
        <v>52.713949999999997</v>
      </c>
      <c r="U64" s="27">
        <v>54.540700000000001</v>
      </c>
      <c r="W64" s="27">
        <v>24.69136</v>
      </c>
      <c r="X64" s="27">
        <v>13.83412</v>
      </c>
      <c r="Y64" s="27">
        <v>13.4749</v>
      </c>
      <c r="Z64" s="27">
        <v>18.246020000000001</v>
      </c>
      <c r="AA64" s="27">
        <v>10.62398</v>
      </c>
      <c r="AB64" s="27">
        <v>30.219529999999999</v>
      </c>
      <c r="AC64" s="27">
        <v>27.938479999999998</v>
      </c>
      <c r="AD64" s="27">
        <v>38.927399999999999</v>
      </c>
      <c r="AE64" s="27">
        <v>41.208449999999999</v>
      </c>
      <c r="AF64" s="97">
        <v>30.374649999999999</v>
      </c>
      <c r="AG64" s="27"/>
    </row>
    <row r="65" spans="1:33">
      <c r="A65" s="96">
        <v>8.2304530000000007</v>
      </c>
      <c r="B65" s="64">
        <v>2.4457550000000001</v>
      </c>
      <c r="C65" s="64">
        <v>23.102979999999999</v>
      </c>
      <c r="D65" s="64">
        <v>27.936669999999999</v>
      </c>
      <c r="E65" s="64">
        <v>24.641089999999998</v>
      </c>
      <c r="F65" s="64">
        <v>25.080459999999999</v>
      </c>
      <c r="G65" s="64">
        <v>23.102979999999999</v>
      </c>
      <c r="H65" s="64">
        <v>28.8154</v>
      </c>
      <c r="I65" s="64">
        <v>41.336460000000002</v>
      </c>
      <c r="J65" s="64">
        <v>13.65436</v>
      </c>
      <c r="L65" s="27">
        <v>8.2304530000000007</v>
      </c>
      <c r="M65" s="27">
        <v>12.376340000000001</v>
      </c>
      <c r="N65" s="27">
        <v>16.489139999999999</v>
      </c>
      <c r="O65" s="27">
        <v>8.8877260000000007</v>
      </c>
      <c r="P65" s="27">
        <v>42.203609999999998</v>
      </c>
      <c r="Q65" s="27">
        <v>33.978020000000001</v>
      </c>
      <c r="R65" s="27">
        <v>33.520020000000002</v>
      </c>
      <c r="S65" s="27">
        <v>53.170639999999999</v>
      </c>
      <c r="T65" s="27">
        <v>43.116990000000001</v>
      </c>
      <c r="U65" s="27">
        <v>50.885890000000003</v>
      </c>
      <c r="W65" s="27">
        <v>8.2304530000000007</v>
      </c>
      <c r="X65" s="27">
        <v>-15.042400000000001</v>
      </c>
      <c r="Y65" s="27">
        <v>10.62398</v>
      </c>
      <c r="Z65" s="27">
        <v>11.19384</v>
      </c>
      <c r="AA65" s="27">
        <v>26.952249999999999</v>
      </c>
      <c r="AB65" s="27">
        <v>20.889559999999999</v>
      </c>
      <c r="AC65" s="27">
        <v>17.416540000000001</v>
      </c>
      <c r="AD65" s="27">
        <v>40.276110000000003</v>
      </c>
      <c r="AE65" s="27">
        <v>24.880189999999999</v>
      </c>
      <c r="AF65" s="97">
        <v>33.434570000000001</v>
      </c>
      <c r="AG65" s="27"/>
    </row>
    <row r="66" spans="1:33">
      <c r="A66" s="96">
        <v>2.743484</v>
      </c>
      <c r="B66" s="64">
        <v>14.31373</v>
      </c>
      <c r="C66" s="64">
        <v>3.3251200000000001</v>
      </c>
      <c r="D66" s="64">
        <v>-6.3466399999999998</v>
      </c>
      <c r="E66" s="64">
        <v>3.9844870000000001</v>
      </c>
      <c r="F66" s="64">
        <v>6.8419530000000002</v>
      </c>
      <c r="G66" s="64">
        <v>5.0832220000000001</v>
      </c>
      <c r="H66" s="64">
        <v>20.906140000000001</v>
      </c>
      <c r="I66" s="64">
        <v>19.368040000000001</v>
      </c>
      <c r="J66" s="64">
        <v>11.89626</v>
      </c>
      <c r="L66" s="27">
        <v>2.743484</v>
      </c>
      <c r="M66" s="27">
        <v>1.0677829999999999</v>
      </c>
      <c r="N66" s="27">
        <v>4.3182410000000004</v>
      </c>
      <c r="O66" s="27">
        <v>15.78252</v>
      </c>
      <c r="P66" s="27">
        <v>33.978020000000001</v>
      </c>
      <c r="Q66" s="27">
        <v>35.348080000000003</v>
      </c>
      <c r="R66" s="27">
        <v>6.0952630000000001</v>
      </c>
      <c r="S66" s="27">
        <v>32.606650000000002</v>
      </c>
      <c r="T66" s="27">
        <v>38.547499999999999</v>
      </c>
      <c r="U66" s="27">
        <v>12.038729999999999</v>
      </c>
      <c r="W66" s="27">
        <v>2.743484</v>
      </c>
      <c r="X66" s="27">
        <v>10.62398</v>
      </c>
      <c r="Y66" s="27">
        <v>-9.2785399999999996</v>
      </c>
      <c r="Z66" s="27">
        <v>6.2708700000000004</v>
      </c>
      <c r="AA66" s="27">
        <v>4.3506660000000004</v>
      </c>
      <c r="AB66" s="27">
        <v>15.96496</v>
      </c>
      <c r="AC66" s="27">
        <v>26.591390000000001</v>
      </c>
      <c r="AD66" s="27">
        <v>48.259</v>
      </c>
      <c r="AE66" s="27">
        <v>22.599129999999999</v>
      </c>
      <c r="AF66" s="97">
        <v>36.855339999999998</v>
      </c>
      <c r="AG66" s="27"/>
    </row>
    <row r="67" spans="1:33">
      <c r="A67" s="96">
        <v>0.91449499999999995</v>
      </c>
      <c r="B67" s="64">
        <v>-0.19170999999999999</v>
      </c>
      <c r="C67" s="64">
        <v>-9.2047399999999993</v>
      </c>
      <c r="D67" s="64">
        <v>-5.4672799999999997</v>
      </c>
      <c r="E67" s="64">
        <v>-12.722200000000001</v>
      </c>
      <c r="F67" s="64">
        <v>3.7644880000000001</v>
      </c>
      <c r="G67" s="64">
        <v>-5.0279100000000003</v>
      </c>
      <c r="H67" s="64">
        <v>6.6219549999999998</v>
      </c>
      <c r="I67" s="64">
        <v>-3.7091699999999999</v>
      </c>
      <c r="J67" s="64">
        <v>-2.3898100000000002</v>
      </c>
      <c r="L67" s="27">
        <v>0.91449499999999995</v>
      </c>
      <c r="M67" s="27">
        <v>5.1818900000000001</v>
      </c>
      <c r="N67" s="27">
        <v>4.6074330000000003</v>
      </c>
      <c r="O67" s="27">
        <v>-7.16174</v>
      </c>
      <c r="P67" s="27">
        <v>7.0099450000000001</v>
      </c>
      <c r="Q67" s="27">
        <v>-2.1329500000000001</v>
      </c>
      <c r="R67" s="27">
        <v>19.808949999999999</v>
      </c>
      <c r="S67" s="27">
        <v>0.15310099999999999</v>
      </c>
      <c r="T67" s="27">
        <v>17.980899999999998</v>
      </c>
      <c r="U67" s="27">
        <v>7.4666319999999997</v>
      </c>
      <c r="W67" s="27">
        <v>0.91449499999999995</v>
      </c>
      <c r="X67" s="27">
        <v>-4.5123199999999999</v>
      </c>
      <c r="Y67" s="27">
        <v>-28.162199999999999</v>
      </c>
      <c r="Z67" s="27">
        <v>12.90504</v>
      </c>
      <c r="AA67" s="27">
        <v>2.069607</v>
      </c>
      <c r="AB67" s="27">
        <v>12.181699999999999</v>
      </c>
      <c r="AC67" s="27">
        <v>16.327449999999999</v>
      </c>
      <c r="AD67" s="27">
        <v>20.732810000000001</v>
      </c>
      <c r="AE67" s="27">
        <v>29.233309999999999</v>
      </c>
      <c r="AF67" s="97">
        <v>13.4749</v>
      </c>
      <c r="AG67" s="27"/>
    </row>
    <row r="68" spans="1:33">
      <c r="A68" s="122"/>
      <c r="AF68" s="137"/>
    </row>
    <row r="69" spans="1:33">
      <c r="A69" s="122"/>
      <c r="B69" s="202" t="s">
        <v>8</v>
      </c>
      <c r="C69" s="202"/>
      <c r="D69" s="202"/>
      <c r="E69" s="202"/>
      <c r="F69" s="202"/>
      <c r="G69" s="202"/>
      <c r="H69" s="202"/>
      <c r="I69" s="202"/>
      <c r="J69" s="202"/>
      <c r="M69" s="202" t="s">
        <v>8</v>
      </c>
      <c r="N69" s="202"/>
      <c r="O69" s="202"/>
      <c r="P69" s="202"/>
      <c r="Q69" s="202"/>
      <c r="R69" s="202"/>
      <c r="S69" s="202"/>
      <c r="T69" s="202"/>
      <c r="U69" s="202"/>
      <c r="X69" s="202" t="s">
        <v>8</v>
      </c>
      <c r="Y69" s="202"/>
      <c r="Z69" s="202"/>
      <c r="AA69" s="202"/>
      <c r="AB69" s="202"/>
      <c r="AC69" s="202"/>
      <c r="AD69" s="202"/>
      <c r="AE69" s="202"/>
      <c r="AF69" s="229"/>
      <c r="AG69" s="21"/>
    </row>
    <row r="70" spans="1:33">
      <c r="A70" s="9" t="s">
        <v>75</v>
      </c>
      <c r="B70" s="193" t="s">
        <v>76</v>
      </c>
      <c r="C70" s="193"/>
      <c r="D70" s="193"/>
      <c r="E70" s="193" t="s">
        <v>77</v>
      </c>
      <c r="F70" s="193"/>
      <c r="G70" s="193"/>
      <c r="H70" s="193" t="s">
        <v>78</v>
      </c>
      <c r="I70" s="193"/>
      <c r="J70" s="193"/>
      <c r="L70" s="10" t="s">
        <v>75</v>
      </c>
      <c r="M70" s="193" t="s">
        <v>79</v>
      </c>
      <c r="N70" s="193"/>
      <c r="O70" s="193"/>
      <c r="P70" s="193" t="s">
        <v>80</v>
      </c>
      <c r="Q70" s="193"/>
      <c r="R70" s="193"/>
      <c r="S70" s="193" t="s">
        <v>81</v>
      </c>
      <c r="T70" s="193"/>
      <c r="U70" s="193"/>
      <c r="W70" s="10" t="s">
        <v>75</v>
      </c>
      <c r="X70" s="193" t="s">
        <v>82</v>
      </c>
      <c r="Y70" s="193"/>
      <c r="Z70" s="193"/>
      <c r="AA70" s="193" t="s">
        <v>83</v>
      </c>
      <c r="AB70" s="193"/>
      <c r="AC70" s="193"/>
      <c r="AD70" s="193" t="s">
        <v>84</v>
      </c>
      <c r="AE70" s="193"/>
      <c r="AF70" s="221"/>
      <c r="AG70" s="10"/>
    </row>
    <row r="71" spans="1:33">
      <c r="A71" s="96">
        <v>2000</v>
      </c>
      <c r="B71" s="64">
        <v>82.805819999999997</v>
      </c>
      <c r="C71" s="64">
        <v>86.586370000000002</v>
      </c>
      <c r="D71" s="64">
        <v>81.773780000000002</v>
      </c>
      <c r="E71" s="64">
        <v>80.841200000000001</v>
      </c>
      <c r="F71" s="64">
        <v>78.090720000000005</v>
      </c>
      <c r="G71" s="64">
        <v>74.432280000000006</v>
      </c>
      <c r="H71" s="64">
        <v>85.21163</v>
      </c>
      <c r="I71" s="64">
        <v>91.621530000000007</v>
      </c>
      <c r="J71" s="64">
        <v>94.089380000000006</v>
      </c>
      <c r="L71" s="27">
        <v>2000</v>
      </c>
      <c r="M71" s="27">
        <v>74.609930000000006</v>
      </c>
      <c r="N71" s="27">
        <v>74.021850000000001</v>
      </c>
      <c r="O71" s="27">
        <v>68.897419999999997</v>
      </c>
      <c r="P71" s="27">
        <v>81.575959999999995</v>
      </c>
      <c r="Q71" s="27">
        <v>86.340940000000003</v>
      </c>
      <c r="R71" s="27">
        <v>75.618889999999993</v>
      </c>
      <c r="S71" s="27">
        <v>90.708929999999995</v>
      </c>
      <c r="T71" s="27">
        <v>95.870890000000003</v>
      </c>
      <c r="U71" s="27">
        <v>92.693860000000001</v>
      </c>
      <c r="W71" s="27">
        <v>2000</v>
      </c>
      <c r="X71" s="27">
        <v>62.57329</v>
      </c>
      <c r="Y71" s="27">
        <v>74.630170000000007</v>
      </c>
      <c r="Z71" s="27">
        <v>71.239609999999999</v>
      </c>
      <c r="AA71" s="27">
        <v>55.036799999999999</v>
      </c>
      <c r="AB71" s="27">
        <v>68.602270000000004</v>
      </c>
      <c r="AC71" s="27">
        <v>78.020719999999997</v>
      </c>
      <c r="AD71" s="27">
        <v>91.58296</v>
      </c>
      <c r="AE71" s="27">
        <v>83.67201</v>
      </c>
      <c r="AF71" s="97">
        <v>75.383380000000002</v>
      </c>
      <c r="AG71" s="27"/>
    </row>
    <row r="72" spans="1:33">
      <c r="A72" s="96">
        <v>666.66669999999999</v>
      </c>
      <c r="B72" s="64">
        <v>82.340019999999996</v>
      </c>
      <c r="C72" s="64">
        <v>84.402140000000003</v>
      </c>
      <c r="D72" s="64">
        <v>70.649749999999997</v>
      </c>
      <c r="E72" s="64">
        <v>79.589550000000003</v>
      </c>
      <c r="F72" s="64">
        <v>70.306070000000005</v>
      </c>
      <c r="G72" s="64">
        <v>82.340019999999996</v>
      </c>
      <c r="H72" s="64">
        <v>89.215720000000005</v>
      </c>
      <c r="I72" s="64">
        <v>90.590469999999996</v>
      </c>
      <c r="J72" s="64">
        <v>90.590469999999996</v>
      </c>
      <c r="L72" s="27">
        <v>666.66669999999999</v>
      </c>
      <c r="M72" s="27">
        <v>50.424469999999999</v>
      </c>
      <c r="N72" s="27">
        <v>60.371879999999997</v>
      </c>
      <c r="O72" s="27">
        <v>50.768000000000001</v>
      </c>
      <c r="P72" s="27">
        <v>64.101740000000007</v>
      </c>
      <c r="Q72" s="27">
        <v>65.689679999999996</v>
      </c>
      <c r="R72" s="27">
        <v>67.675749999999994</v>
      </c>
      <c r="S72" s="27">
        <v>87.134910000000005</v>
      </c>
      <c r="T72" s="27">
        <v>92.296869999999998</v>
      </c>
      <c r="U72" s="27">
        <v>90.311940000000007</v>
      </c>
      <c r="W72" s="27">
        <v>666.66669999999999</v>
      </c>
      <c r="X72" s="27">
        <v>51.540489999999998</v>
      </c>
      <c r="Y72" s="27">
        <v>56.544310000000003</v>
      </c>
      <c r="Z72" s="27">
        <v>63.703119999999998</v>
      </c>
      <c r="AA72" s="27">
        <v>66.718140000000005</v>
      </c>
      <c r="AB72" s="27">
        <v>80.658060000000006</v>
      </c>
      <c r="AC72" s="27">
        <v>67.471360000000004</v>
      </c>
      <c r="AD72" s="27">
        <v>75.488060000000004</v>
      </c>
      <c r="AE72" s="27">
        <v>76.378320000000002</v>
      </c>
      <c r="AF72" s="97">
        <v>81.411280000000005</v>
      </c>
      <c r="AG72" s="27"/>
    </row>
    <row r="73" spans="1:33">
      <c r="A73" s="96">
        <v>222.22219999999999</v>
      </c>
      <c r="B73" s="64">
        <v>66.991309999999999</v>
      </c>
      <c r="C73" s="64">
        <v>48.983710000000002</v>
      </c>
      <c r="D73" s="64">
        <v>54.831310000000002</v>
      </c>
      <c r="E73" s="64">
        <v>68.930340000000001</v>
      </c>
      <c r="F73" s="64">
        <v>64.115769999999998</v>
      </c>
      <c r="G73" s="64">
        <v>74.432280000000006</v>
      </c>
      <c r="H73" s="64">
        <v>78.090720000000005</v>
      </c>
      <c r="I73" s="64">
        <v>73.743920000000003</v>
      </c>
      <c r="J73" s="64">
        <v>83.0274</v>
      </c>
      <c r="L73" s="27">
        <v>222.22219999999999</v>
      </c>
      <c r="M73" s="27">
        <v>26.827100000000002</v>
      </c>
      <c r="N73" s="27">
        <v>40.980980000000002</v>
      </c>
      <c r="O73" s="27">
        <v>26.430119999999999</v>
      </c>
      <c r="P73" s="27">
        <v>43.445929999999997</v>
      </c>
      <c r="Q73" s="27">
        <v>47.41807</v>
      </c>
      <c r="R73" s="27">
        <v>43.047809999999998</v>
      </c>
      <c r="S73" s="27">
        <v>80.781989999999993</v>
      </c>
      <c r="T73" s="27">
        <v>80.781989999999993</v>
      </c>
      <c r="U73" s="27">
        <v>74.029809999999998</v>
      </c>
      <c r="W73" s="27">
        <v>222.22219999999999</v>
      </c>
      <c r="X73" s="27">
        <v>27.899380000000001</v>
      </c>
      <c r="Y73" s="27">
        <v>36.192329999999998</v>
      </c>
      <c r="Z73" s="27">
        <v>41.607300000000002</v>
      </c>
      <c r="AA73" s="27">
        <v>66.341530000000006</v>
      </c>
      <c r="AB73" s="27">
        <v>62.196680000000001</v>
      </c>
      <c r="AC73" s="27">
        <v>66.853030000000004</v>
      </c>
      <c r="AD73" s="27">
        <v>66.341530000000006</v>
      </c>
      <c r="AE73" s="27">
        <v>78.775019999999998</v>
      </c>
      <c r="AF73" s="97">
        <v>62.9499</v>
      </c>
      <c r="AG73" s="27"/>
    </row>
    <row r="74" spans="1:33">
      <c r="A74" s="96">
        <v>74.074070000000006</v>
      </c>
      <c r="B74" s="64">
        <v>35.22542</v>
      </c>
      <c r="C74" s="64">
        <v>48.640030000000003</v>
      </c>
      <c r="D74" s="64">
        <v>40.127630000000003</v>
      </c>
      <c r="E74" s="64">
        <v>46.920610000000003</v>
      </c>
      <c r="F74" s="64">
        <v>51.391489999999997</v>
      </c>
      <c r="G74" s="64">
        <v>55.174990000000001</v>
      </c>
      <c r="H74" s="64">
        <v>63.428400000000003</v>
      </c>
      <c r="I74" s="64">
        <v>74.775959999999998</v>
      </c>
      <c r="J74" s="64">
        <v>69.274019999999993</v>
      </c>
      <c r="L74" s="27">
        <v>74.074070000000006</v>
      </c>
      <c r="M74" s="27">
        <v>16.900169999999999</v>
      </c>
      <c r="N74" s="27">
        <v>6.7161569999999999</v>
      </c>
      <c r="O74" s="27">
        <v>37.408099999999997</v>
      </c>
      <c r="P74" s="27">
        <v>41.06174</v>
      </c>
      <c r="Q74" s="27">
        <v>17.222079999999998</v>
      </c>
      <c r="R74" s="27">
        <v>23.579550000000001</v>
      </c>
      <c r="S74" s="27">
        <v>65.292699999999996</v>
      </c>
      <c r="T74" s="27">
        <v>69.264830000000003</v>
      </c>
      <c r="U74" s="27">
        <v>69.661820000000006</v>
      </c>
      <c r="W74" s="27">
        <v>74.074070000000006</v>
      </c>
      <c r="X74" s="27">
        <v>35.815719999999999</v>
      </c>
      <c r="Y74" s="27">
        <v>29.784590000000001</v>
      </c>
      <c r="Z74" s="27">
        <v>21.017910000000001</v>
      </c>
      <c r="AA74" s="27">
        <v>44.484200000000001</v>
      </c>
      <c r="AB74" s="27">
        <v>35.715359999999997</v>
      </c>
      <c r="AC74" s="27">
        <v>35.715359999999997</v>
      </c>
      <c r="AD74" s="27">
        <v>54.282499999999999</v>
      </c>
      <c r="AE74" s="27">
        <v>55.790010000000002</v>
      </c>
      <c r="AF74" s="97">
        <v>38.830750000000002</v>
      </c>
      <c r="AG74" s="27"/>
    </row>
    <row r="75" spans="1:33">
      <c r="A75" s="96">
        <v>24.69136</v>
      </c>
      <c r="B75" s="64">
        <v>16.302959999999999</v>
      </c>
      <c r="C75" s="64">
        <v>29.376830000000002</v>
      </c>
      <c r="D75" s="64">
        <v>35.569099999999999</v>
      </c>
      <c r="E75" s="64">
        <v>39.008920000000003</v>
      </c>
      <c r="F75" s="64">
        <v>35.22542</v>
      </c>
      <c r="G75" s="64">
        <v>38.321550000000002</v>
      </c>
      <c r="H75" s="64">
        <v>51.391489999999997</v>
      </c>
      <c r="I75" s="64">
        <v>59.989559999999997</v>
      </c>
      <c r="J75" s="64">
        <v>68.242959999999997</v>
      </c>
      <c r="L75" s="27">
        <v>24.69136</v>
      </c>
      <c r="M75" s="27">
        <v>4.3012509999999997</v>
      </c>
      <c r="N75" s="27">
        <v>14.517110000000001</v>
      </c>
      <c r="O75" s="27">
        <v>1.1572100000000001</v>
      </c>
      <c r="P75" s="27">
        <v>34.307279999999999</v>
      </c>
      <c r="Q75" s="27">
        <v>44.636890000000001</v>
      </c>
      <c r="R75" s="27">
        <v>33.116320000000002</v>
      </c>
      <c r="S75" s="27">
        <v>50.199249999999999</v>
      </c>
      <c r="T75" s="27">
        <v>52.185319999999997</v>
      </c>
      <c r="U75" s="27">
        <v>14.042770000000001</v>
      </c>
      <c r="W75" s="27">
        <v>24.69136</v>
      </c>
      <c r="X75" s="27">
        <v>9.0505990000000001</v>
      </c>
      <c r="Y75" s="27">
        <v>6.0334130000000004</v>
      </c>
      <c r="Z75" s="27">
        <v>29.308700000000002</v>
      </c>
      <c r="AA75" s="27">
        <v>42.976680000000002</v>
      </c>
      <c r="AB75" s="27">
        <v>29.686389999999999</v>
      </c>
      <c r="AC75" s="27">
        <v>33.930520000000001</v>
      </c>
      <c r="AD75" s="27">
        <v>45.335610000000003</v>
      </c>
      <c r="AE75" s="27">
        <v>43.730980000000002</v>
      </c>
      <c r="AF75" s="97">
        <v>28.653680000000001</v>
      </c>
      <c r="AG75" s="27"/>
    </row>
    <row r="76" spans="1:33">
      <c r="A76" s="96">
        <v>8.2304530000000007</v>
      </c>
      <c r="B76" s="64">
        <v>26.2807</v>
      </c>
      <c r="C76" s="64">
        <v>13.550509999999999</v>
      </c>
      <c r="D76" s="64">
        <v>39.008920000000003</v>
      </c>
      <c r="E76" s="64">
        <v>25.937010000000001</v>
      </c>
      <c r="F76" s="64">
        <v>40.040970000000002</v>
      </c>
      <c r="G76" s="64">
        <v>30.753550000000001</v>
      </c>
      <c r="H76" s="64">
        <v>30.065190000000001</v>
      </c>
      <c r="I76" s="64">
        <v>55.862369999999999</v>
      </c>
      <c r="J76" s="64">
        <v>43.824469999999998</v>
      </c>
      <c r="L76" s="27">
        <v>8.2304530000000007</v>
      </c>
      <c r="M76" s="27">
        <v>0.53044899999999995</v>
      </c>
      <c r="N76" s="27">
        <v>5.4933480000000001</v>
      </c>
      <c r="O76" s="27">
        <v>5.2010110000000003</v>
      </c>
      <c r="P76" s="27">
        <v>-3.04698</v>
      </c>
      <c r="Q76" s="27">
        <v>8.8762629999999998</v>
      </c>
      <c r="R76" s="27">
        <v>19.20928</v>
      </c>
      <c r="S76" s="27">
        <v>31.129110000000001</v>
      </c>
      <c r="T76" s="27">
        <v>43.047809999999998</v>
      </c>
      <c r="U76" s="27">
        <v>19.606269999999999</v>
      </c>
      <c r="W76" s="27">
        <v>8.2304530000000007</v>
      </c>
      <c r="X76" s="27">
        <v>16.590330000000002</v>
      </c>
      <c r="Y76" s="27">
        <v>16.73169</v>
      </c>
      <c r="Z76" s="27">
        <v>7.825812</v>
      </c>
      <c r="AA76" s="27">
        <v>29.407979999999998</v>
      </c>
      <c r="AB76" s="27">
        <v>20.36073</v>
      </c>
      <c r="AC76" s="27">
        <v>30.538879999999999</v>
      </c>
      <c r="AD76" s="27">
        <v>24.507750000000001</v>
      </c>
      <c r="AE76" s="27">
        <v>30.915489999999998</v>
      </c>
      <c r="AF76" s="97">
        <v>26.015260000000001</v>
      </c>
      <c r="AG76" s="27"/>
    </row>
    <row r="77" spans="1:33">
      <c r="A77" s="96">
        <v>2.743484</v>
      </c>
      <c r="B77" s="64">
        <v>6.3242269999999996</v>
      </c>
      <c r="C77" s="64">
        <v>13.20682</v>
      </c>
      <c r="D77" s="64">
        <v>-1.2467299999999999</v>
      </c>
      <c r="E77" s="64">
        <v>19.743760000000002</v>
      </c>
      <c r="F77" s="64">
        <v>21.377500000000001</v>
      </c>
      <c r="G77" s="64">
        <v>15.270910000000001</v>
      </c>
      <c r="H77" s="64">
        <v>10.79806</v>
      </c>
      <c r="I77" s="64">
        <v>12.86215</v>
      </c>
      <c r="J77" s="64">
        <v>33.505009999999999</v>
      </c>
      <c r="L77" s="27">
        <v>2.743484</v>
      </c>
      <c r="M77" s="27">
        <v>-12.189</v>
      </c>
      <c r="N77" s="27">
        <v>1.4757089999999999</v>
      </c>
      <c r="O77" s="27">
        <v>-3.9387799999999999</v>
      </c>
      <c r="P77" s="27">
        <v>0.53044899999999995</v>
      </c>
      <c r="Q77" s="27">
        <v>10.0695</v>
      </c>
      <c r="R77" s="27">
        <v>15.632989999999999</v>
      </c>
      <c r="S77" s="27">
        <v>21.195350000000001</v>
      </c>
      <c r="T77" s="27">
        <v>15.234870000000001</v>
      </c>
      <c r="U77" s="27">
        <v>2.1206700000000001</v>
      </c>
      <c r="W77" s="27">
        <v>2.743484</v>
      </c>
      <c r="X77" s="27">
        <v>-6.4097799999999996</v>
      </c>
      <c r="Y77" s="27">
        <v>18.475529999999999</v>
      </c>
      <c r="Z77" s="27">
        <v>17.344629999999999</v>
      </c>
      <c r="AA77" s="27">
        <v>-2.2616900000000002</v>
      </c>
      <c r="AB77" s="27">
        <v>29.407979999999998</v>
      </c>
      <c r="AC77" s="27">
        <v>16.968019999999999</v>
      </c>
      <c r="AD77" s="27">
        <v>31.292100000000001</v>
      </c>
      <c r="AE77" s="27">
        <v>29.784590000000001</v>
      </c>
      <c r="AF77" s="97">
        <v>19.22983</v>
      </c>
      <c r="AG77" s="27"/>
    </row>
    <row r="78" spans="1:33">
      <c r="A78" s="98">
        <v>0.91449499999999995</v>
      </c>
      <c r="B78" s="138">
        <v>-8.8176799999999993</v>
      </c>
      <c r="C78" s="138">
        <v>-0.55837000000000003</v>
      </c>
      <c r="D78" s="138">
        <v>0</v>
      </c>
      <c r="E78" s="138">
        <v>-12.259499999999999</v>
      </c>
      <c r="F78" s="138">
        <v>0</v>
      </c>
      <c r="G78" s="138">
        <v>7.3572569999999997</v>
      </c>
      <c r="H78" s="138">
        <v>3.915467</v>
      </c>
      <c r="I78" s="138">
        <v>3.57178</v>
      </c>
      <c r="J78" s="138">
        <v>10.45438</v>
      </c>
      <c r="K78" s="83"/>
      <c r="L78" s="99">
        <v>0.91449499999999995</v>
      </c>
      <c r="M78" s="99">
        <v>-15.766500000000001</v>
      </c>
      <c r="N78" s="99">
        <v>10.86347</v>
      </c>
      <c r="O78" s="99">
        <v>4.9029870000000004</v>
      </c>
      <c r="P78" s="99">
        <v>-8.2134900000000002</v>
      </c>
      <c r="Q78" s="99">
        <v>4.1078770000000002</v>
      </c>
      <c r="R78" s="99">
        <v>8.0822909999999997</v>
      </c>
      <c r="S78" s="99">
        <v>-1.8537399999999999</v>
      </c>
      <c r="T78" s="99">
        <v>7.2871800000000002</v>
      </c>
      <c r="U78" s="99">
        <v>6.49207</v>
      </c>
      <c r="V78" s="83"/>
      <c r="W78" s="99">
        <v>0.91449499999999995</v>
      </c>
      <c r="X78" s="99">
        <v>-1.12971</v>
      </c>
      <c r="Y78" s="99">
        <v>20.36073</v>
      </c>
      <c r="Z78" s="99">
        <v>-7.1640800000000002</v>
      </c>
      <c r="AA78" s="99">
        <v>7.918615</v>
      </c>
      <c r="AB78" s="99">
        <v>9.8038170000000004</v>
      </c>
      <c r="AC78" s="99">
        <v>1.8864000000000001</v>
      </c>
      <c r="AD78" s="99">
        <v>-19.2317</v>
      </c>
      <c r="AE78" s="99">
        <v>-20.740300000000001</v>
      </c>
      <c r="AF78" s="100">
        <v>8.296303</v>
      </c>
      <c r="AG78" s="27"/>
    </row>
    <row r="81" spans="1:33">
      <c r="A81" s="66" t="s">
        <v>12</v>
      </c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121"/>
    </row>
    <row r="82" spans="1:33">
      <c r="A82" s="122"/>
      <c r="B82" s="202" t="s">
        <v>73</v>
      </c>
      <c r="C82" s="202"/>
      <c r="D82" s="202"/>
      <c r="E82" s="202"/>
      <c r="F82" s="202"/>
      <c r="G82" s="202"/>
      <c r="H82" s="202"/>
      <c r="I82" s="202"/>
      <c r="J82" s="202"/>
      <c r="L82"/>
      <c r="M82" s="198" t="s">
        <v>73</v>
      </c>
      <c r="N82" s="198"/>
      <c r="O82" s="198"/>
      <c r="P82" s="198"/>
      <c r="Q82" s="198"/>
      <c r="R82" s="198"/>
      <c r="S82" s="198"/>
      <c r="T82" s="198"/>
      <c r="U82" s="198"/>
      <c r="V82" s="49"/>
      <c r="W82" s="49"/>
      <c r="X82" s="198" t="s">
        <v>73</v>
      </c>
      <c r="Y82" s="198"/>
      <c r="Z82" s="198"/>
      <c r="AA82" s="198"/>
      <c r="AB82" s="198"/>
      <c r="AC82" s="198"/>
      <c r="AD82" s="198"/>
      <c r="AE82" s="198"/>
      <c r="AF82" s="227"/>
      <c r="AG82" s="4"/>
    </row>
    <row r="83" spans="1:33">
      <c r="A83" s="9" t="s">
        <v>75</v>
      </c>
      <c r="B83" s="193" t="s">
        <v>76</v>
      </c>
      <c r="C83" s="193"/>
      <c r="D83" s="193"/>
      <c r="E83" s="193" t="s">
        <v>77</v>
      </c>
      <c r="F83" s="193"/>
      <c r="G83" s="193"/>
      <c r="H83" s="193" t="s">
        <v>78</v>
      </c>
      <c r="I83" s="193"/>
      <c r="J83" s="193"/>
      <c r="L83" s="10" t="s">
        <v>75</v>
      </c>
      <c r="M83" s="193" t="s">
        <v>79</v>
      </c>
      <c r="N83" s="193"/>
      <c r="O83" s="193"/>
      <c r="P83" s="193" t="s">
        <v>80</v>
      </c>
      <c r="Q83" s="193"/>
      <c r="R83" s="193"/>
      <c r="S83" s="193" t="s">
        <v>81</v>
      </c>
      <c r="T83" s="193"/>
      <c r="U83" s="193"/>
      <c r="V83" s="49"/>
      <c r="W83" s="10" t="s">
        <v>75</v>
      </c>
      <c r="X83" s="193" t="s">
        <v>82</v>
      </c>
      <c r="Y83" s="193"/>
      <c r="Z83" s="193"/>
      <c r="AA83" s="193" t="s">
        <v>83</v>
      </c>
      <c r="AB83" s="193"/>
      <c r="AC83" s="193"/>
      <c r="AD83" s="193" t="s">
        <v>84</v>
      </c>
      <c r="AE83" s="193"/>
      <c r="AF83" s="221"/>
      <c r="AG83" s="10"/>
    </row>
    <row r="84" spans="1:33">
      <c r="A84" s="96">
        <v>2000</v>
      </c>
      <c r="B84" s="26">
        <v>81.854138108667399</v>
      </c>
      <c r="C84" s="26">
        <v>80.6352754228039</v>
      </c>
      <c r="D84" s="26">
        <v>84.598325373473102</v>
      </c>
      <c r="E84" s="26">
        <v>82.354430600787495</v>
      </c>
      <c r="F84" s="26">
        <v>82.464442562405594</v>
      </c>
      <c r="G84" s="26">
        <v>82.769158233871494</v>
      </c>
      <c r="H84" s="26">
        <v>82.464442562405594</v>
      </c>
      <c r="I84" s="26">
        <v>78.501392611736307</v>
      </c>
      <c r="J84" s="26">
        <v>82.159726890939694</v>
      </c>
      <c r="L84" s="27">
        <v>2000</v>
      </c>
      <c r="M84" s="26">
        <v>85.396079701927704</v>
      </c>
      <c r="N84" s="26">
        <v>88.852889824864604</v>
      </c>
      <c r="O84" s="26">
        <v>86.967438846589999</v>
      </c>
      <c r="P84" s="26">
        <v>86.706445632413505</v>
      </c>
      <c r="Q84" s="26">
        <v>84.720197274870898</v>
      </c>
      <c r="R84" s="26">
        <v>83.862519574491103</v>
      </c>
      <c r="S84" s="26">
        <v>91.408823370592401</v>
      </c>
      <c r="T84" s="26">
        <v>88.196806883020997</v>
      </c>
      <c r="U84" s="26">
        <v>89.425274942851502</v>
      </c>
      <c r="W84" s="27">
        <v>2000</v>
      </c>
      <c r="X84" s="26">
        <v>83.080066261733805</v>
      </c>
      <c r="Y84" s="26">
        <v>88.530093870789599</v>
      </c>
      <c r="Z84" s="26">
        <v>84.621755935946993</v>
      </c>
      <c r="AA84" s="26">
        <v>79.328547763666506</v>
      </c>
      <c r="AB84" s="26">
        <v>88.093870789619004</v>
      </c>
      <c r="AC84" s="26">
        <v>85.114301490889005</v>
      </c>
      <c r="AD84" s="26">
        <v>89.039204859193802</v>
      </c>
      <c r="AE84" s="26">
        <v>89.7581446714522</v>
      </c>
      <c r="AF84" s="137">
        <v>94.489232468249597</v>
      </c>
    </row>
    <row r="85" spans="1:33">
      <c r="A85" s="96">
        <v>666.66669999999999</v>
      </c>
      <c r="B85" s="26">
        <v>76.976941143600499</v>
      </c>
      <c r="C85" s="26">
        <v>79.110823954668106</v>
      </c>
      <c r="D85" s="26">
        <v>90.084080570665193</v>
      </c>
      <c r="E85" s="26">
        <v>77.477233635720694</v>
      </c>
      <c r="F85" s="26">
        <v>80.830852243458196</v>
      </c>
      <c r="G85" s="26">
        <v>77.281656815066398</v>
      </c>
      <c r="H85" s="26">
        <v>87.951070870404195</v>
      </c>
      <c r="I85" s="26">
        <v>84.903041044939002</v>
      </c>
      <c r="J85" s="26">
        <v>75.147774003998805</v>
      </c>
      <c r="L85" s="27">
        <v>666.66669999999999</v>
      </c>
      <c r="M85" s="26">
        <v>77.226092121604793</v>
      </c>
      <c r="N85" s="26">
        <v>79.224040174955405</v>
      </c>
      <c r="O85" s="26">
        <v>75.768130028619296</v>
      </c>
      <c r="P85" s="26">
        <v>78.792951383263997</v>
      </c>
      <c r="Q85" s="26">
        <v>75.864427524884306</v>
      </c>
      <c r="R85" s="26">
        <v>78.792951383263997</v>
      </c>
      <c r="S85" s="26">
        <v>84.453804201090804</v>
      </c>
      <c r="T85" s="26">
        <v>82.568353222816199</v>
      </c>
      <c r="U85" s="26">
        <v>87.482225462138004</v>
      </c>
      <c r="W85" s="27">
        <v>666.66669999999999</v>
      </c>
      <c r="X85" s="26">
        <v>78.590833793484293</v>
      </c>
      <c r="Y85" s="26">
        <v>82.831584759801203</v>
      </c>
      <c r="Z85" s="26">
        <v>73.963556046383204</v>
      </c>
      <c r="AA85" s="26">
        <v>73.825510767531796</v>
      </c>
      <c r="AB85" s="26">
        <v>86.657095527332999</v>
      </c>
      <c r="AC85" s="26">
        <v>74.070679182771997</v>
      </c>
      <c r="AD85" s="26">
        <v>88.478188845941503</v>
      </c>
      <c r="AE85" s="26">
        <v>90.652678078409707</v>
      </c>
      <c r="AF85" s="137">
        <v>89.162893429044701</v>
      </c>
    </row>
    <row r="86" spans="1:33">
      <c r="A86" s="96">
        <v>222.22219999999999</v>
      </c>
      <c r="B86" s="26">
        <v>83.988020919734893</v>
      </c>
      <c r="C86" s="26">
        <v>76.367509800668799</v>
      </c>
      <c r="D86" s="26">
        <v>77.390795665878002</v>
      </c>
      <c r="E86" s="26">
        <v>74.843058332533005</v>
      </c>
      <c r="F86" s="26">
        <v>85.512472387870702</v>
      </c>
      <c r="G86" s="26">
        <v>80.220547789720001</v>
      </c>
      <c r="H86" s="26">
        <v>88.865217884801794</v>
      </c>
      <c r="I86" s="26">
        <v>87.951070870404195</v>
      </c>
      <c r="J86" s="26">
        <v>69.355556913727895</v>
      </c>
      <c r="L86" s="27">
        <v>222.22219999999999</v>
      </c>
      <c r="M86" s="26">
        <v>68.310023939377601</v>
      </c>
      <c r="N86" s="26">
        <v>70.625663732743007</v>
      </c>
      <c r="O86" s="26">
        <v>70.311571899130598</v>
      </c>
      <c r="P86" s="26">
        <v>72.738808790971405</v>
      </c>
      <c r="Q86" s="26">
        <v>66.880861097611501</v>
      </c>
      <c r="R86" s="26">
        <v>73.681084291808403</v>
      </c>
      <c r="S86" s="26">
        <v>82.739348776931806</v>
      </c>
      <c r="T86" s="26">
        <v>81.295786309555993</v>
      </c>
      <c r="U86" s="26">
        <v>81.524380366110506</v>
      </c>
      <c r="W86" s="27">
        <v>222.22219999999999</v>
      </c>
      <c r="X86" s="26">
        <v>69.9690778575373</v>
      </c>
      <c r="Y86" s="26">
        <v>77.0480397570403</v>
      </c>
      <c r="Z86" s="26">
        <v>62.009939260077303</v>
      </c>
      <c r="AA86" s="26">
        <v>69.442297073440102</v>
      </c>
      <c r="AB86" s="26">
        <v>71.649917172832701</v>
      </c>
      <c r="AC86" s="26">
        <v>57.768083931529503</v>
      </c>
      <c r="AD86" s="26">
        <v>80.240750966316995</v>
      </c>
      <c r="AE86" s="26">
        <v>81.398122584207599</v>
      </c>
      <c r="AF86" s="137">
        <v>86.025400331308703</v>
      </c>
    </row>
    <row r="87" spans="1:33">
      <c r="A87" s="96">
        <v>74.074070000000006</v>
      </c>
      <c r="B87" s="26">
        <v>70.575292710397903</v>
      </c>
      <c r="C87" s="26">
        <v>77.695511337343802</v>
      </c>
      <c r="D87" s="26">
        <v>78.304942680275602</v>
      </c>
      <c r="E87" s="26">
        <v>74.428330699449106</v>
      </c>
      <c r="F87" s="26">
        <v>80.608208987802598</v>
      </c>
      <c r="G87" s="26">
        <v>68.274645735290306</v>
      </c>
      <c r="H87" s="26">
        <v>78.610531462547897</v>
      </c>
      <c r="I87" s="26">
        <v>79.415539626134006</v>
      </c>
      <c r="J87" s="26">
        <v>69.050841242262095</v>
      </c>
      <c r="L87" s="27">
        <v>74.074070000000006</v>
      </c>
      <c r="M87" s="26">
        <v>61.8256925319942</v>
      </c>
      <c r="N87" s="26">
        <v>62.883165037708999</v>
      </c>
      <c r="O87" s="26">
        <v>56.5977284590601</v>
      </c>
      <c r="P87" s="26">
        <v>63.939737566823297</v>
      </c>
      <c r="Q87" s="26">
        <v>59.339957161113801</v>
      </c>
      <c r="R87" s="26">
        <v>62.2684810194935</v>
      </c>
      <c r="S87" s="26">
        <v>78.525658332883296</v>
      </c>
      <c r="T87" s="26">
        <v>77.339489173281507</v>
      </c>
      <c r="U87" s="26">
        <v>76.9542991882211</v>
      </c>
      <c r="W87" s="27">
        <v>74.074070000000006</v>
      </c>
      <c r="X87" s="26">
        <v>60.081722805080098</v>
      </c>
      <c r="Y87" s="26">
        <v>63.938155715074501</v>
      </c>
      <c r="Z87" s="26">
        <v>50.826062948647198</v>
      </c>
      <c r="AA87" s="26">
        <v>60.713418001104401</v>
      </c>
      <c r="AB87" s="26">
        <v>48.512424075096597</v>
      </c>
      <c r="AC87" s="26">
        <v>53.384870237437902</v>
      </c>
      <c r="AD87" s="26">
        <v>72.510215350634994</v>
      </c>
      <c r="AE87" s="26">
        <v>74.929872998343498</v>
      </c>
      <c r="AF87" s="137">
        <v>67.286581998895599</v>
      </c>
    </row>
    <row r="88" spans="1:33">
      <c r="A88" s="96">
        <v>24.69136</v>
      </c>
      <c r="B88" s="26">
        <v>66.111950267608506</v>
      </c>
      <c r="C88" s="26">
        <v>72.984205425510595</v>
      </c>
      <c r="D88" s="26">
        <v>72.208883029345202</v>
      </c>
      <c r="E88" s="26">
        <v>67.941117407210101</v>
      </c>
      <c r="F88" s="26">
        <v>65.280748779827604</v>
      </c>
      <c r="G88" s="26">
        <v>63.642792906847802</v>
      </c>
      <c r="H88" s="26">
        <v>70.575292710397903</v>
      </c>
      <c r="I88" s="26">
        <v>65.391633852252198</v>
      </c>
      <c r="J88" s="26">
        <v>60.096216810875497</v>
      </c>
      <c r="L88" s="27">
        <v>24.69136</v>
      </c>
      <c r="M88" s="26">
        <v>40.565545295822297</v>
      </c>
      <c r="N88" s="26">
        <v>39.937361628597699</v>
      </c>
      <c r="O88" s="26">
        <v>45.281422683010199</v>
      </c>
      <c r="P88" s="26">
        <v>38.9941861511601</v>
      </c>
      <c r="Q88" s="26">
        <v>42.596792483395397</v>
      </c>
      <c r="R88" s="26">
        <v>48.140648343143098</v>
      </c>
      <c r="S88" s="26">
        <v>64.911712295480299</v>
      </c>
      <c r="T88" s="26">
        <v>72.240221754234398</v>
      </c>
      <c r="U88" s="26">
        <v>64.897312669870601</v>
      </c>
      <c r="W88" s="27">
        <v>24.69136</v>
      </c>
      <c r="X88" s="26">
        <v>48.1270016565433</v>
      </c>
      <c r="Y88" s="26">
        <v>48.1270016565433</v>
      </c>
      <c r="Z88" s="26">
        <v>35.012700165654302</v>
      </c>
      <c r="AA88" s="26">
        <v>51.3130866924351</v>
      </c>
      <c r="AB88" s="26">
        <v>46.441744892324699</v>
      </c>
      <c r="AC88" s="26">
        <v>54.013252346769697</v>
      </c>
      <c r="AD88" s="26">
        <v>58.113749309773603</v>
      </c>
      <c r="AE88" s="26">
        <v>58.013252346769697</v>
      </c>
      <c r="AF88" s="137">
        <v>61.326339039204903</v>
      </c>
    </row>
    <row r="89" spans="1:33">
      <c r="A89" s="96">
        <v>8.2304530000000007</v>
      </c>
      <c r="B89" s="26">
        <v>55.024316135960802</v>
      </c>
      <c r="C89" s="26">
        <v>65.863113687758101</v>
      </c>
      <c r="D89" s="26">
        <v>67.440824915090005</v>
      </c>
      <c r="E89" s="26">
        <v>58.0740921830389</v>
      </c>
      <c r="F89" s="26">
        <v>57.463787729300698</v>
      </c>
      <c r="G89" s="26">
        <v>48.697755232116499</v>
      </c>
      <c r="H89" s="26">
        <v>80.9399910942698</v>
      </c>
      <c r="I89" s="26">
        <v>52.280128871155</v>
      </c>
      <c r="J89" s="26">
        <v>63.257751041184598</v>
      </c>
      <c r="L89" s="27">
        <v>8.2304530000000007</v>
      </c>
      <c r="M89" s="26">
        <v>29.876523210396499</v>
      </c>
      <c r="N89" s="26">
        <v>44.926831902370502</v>
      </c>
      <c r="O89" s="26">
        <v>38.051010673722502</v>
      </c>
      <c r="P89" s="26">
        <v>36.120560865417502</v>
      </c>
      <c r="Q89" s="26">
        <v>29.5615314001836</v>
      </c>
      <c r="R89" s="26">
        <v>39.937361628597699</v>
      </c>
      <c r="S89" s="26">
        <v>50.939575571035199</v>
      </c>
      <c r="T89" s="26">
        <v>47.0840758140288</v>
      </c>
      <c r="U89" s="26">
        <v>57.738898788631502</v>
      </c>
      <c r="W89" s="27">
        <v>8.2304530000000007</v>
      </c>
      <c r="X89" s="26">
        <v>38.4837106570955</v>
      </c>
      <c r="Y89" s="26">
        <v>24.739922694643798</v>
      </c>
      <c r="Z89" s="26">
        <v>11.4798453892877</v>
      </c>
      <c r="AA89" s="26">
        <v>30.912203202650499</v>
      </c>
      <c r="AB89" s="26">
        <v>37.712865819988998</v>
      </c>
      <c r="AC89" s="26">
        <v>27.054665930425202</v>
      </c>
      <c r="AD89" s="26">
        <v>41.041413583655398</v>
      </c>
      <c r="AE89" s="26">
        <v>28.068470458310301</v>
      </c>
      <c r="AF89" s="137">
        <v>23.0535615681944</v>
      </c>
    </row>
    <row r="90" spans="1:33">
      <c r="A90" s="96">
        <v>2.743484</v>
      </c>
      <c r="B90" s="26">
        <v>47.401185684475202</v>
      </c>
      <c r="C90" s="26">
        <v>62.038015244514703</v>
      </c>
      <c r="D90" s="26">
        <v>57.685557874149801</v>
      </c>
      <c r="E90" s="26">
        <v>58.378807854504799</v>
      </c>
      <c r="F90" s="26">
        <v>42.785921961356102</v>
      </c>
      <c r="G90" s="26">
        <v>35.9547030113592</v>
      </c>
      <c r="H90" s="26">
        <v>67.526389774126201</v>
      </c>
      <c r="I90" s="26">
        <v>56.854356386368998</v>
      </c>
      <c r="J90" s="26">
        <v>30.320518977063401</v>
      </c>
      <c r="L90" s="27">
        <v>2.743484</v>
      </c>
      <c r="M90" s="26">
        <v>41.508720773259903</v>
      </c>
      <c r="N90" s="26">
        <v>33.963316953759197</v>
      </c>
      <c r="O90" s="26">
        <v>17.612542073906098</v>
      </c>
      <c r="P90" s="26">
        <v>36.792843386072001</v>
      </c>
      <c r="Q90" s="26">
        <v>16.6693665964685</v>
      </c>
      <c r="R90" s="26">
        <v>25.159745846608001</v>
      </c>
      <c r="S90" s="26">
        <v>30.111417103155301</v>
      </c>
      <c r="T90" s="26">
        <v>37.107835196284903</v>
      </c>
      <c r="U90" s="26">
        <v>28.422161023813398</v>
      </c>
      <c r="W90" s="27">
        <v>2.743484</v>
      </c>
      <c r="X90" s="26">
        <v>24.210933186085001</v>
      </c>
      <c r="Y90" s="26">
        <v>18.4240750966317</v>
      </c>
      <c r="Z90" s="26">
        <v>22.281612368857001</v>
      </c>
      <c r="AA90" s="26">
        <v>18.4240750966317</v>
      </c>
      <c r="AB90" s="26">
        <v>26.5256764218664</v>
      </c>
      <c r="AC90" s="26">
        <v>26.911098840419701</v>
      </c>
      <c r="AD90" s="26">
        <v>21.124240750966301</v>
      </c>
      <c r="AE90" s="26">
        <v>23.825510767531799</v>
      </c>
      <c r="AF90" s="137">
        <v>18.0386526780784</v>
      </c>
    </row>
    <row r="91" spans="1:33">
      <c r="A91" s="96">
        <v>0.91449499999999995</v>
      </c>
      <c r="B91" s="26">
        <v>27.269869819178801</v>
      </c>
      <c r="C91" s="26">
        <v>32.2972418429623</v>
      </c>
      <c r="D91" s="26">
        <v>39.889813416220697</v>
      </c>
      <c r="E91" s="26">
        <v>55.634620589698997</v>
      </c>
      <c r="F91" s="26">
        <v>25.3865698095745</v>
      </c>
      <c r="G91" s="26">
        <v>14.1007395248531</v>
      </c>
      <c r="H91" s="26">
        <v>50.145372949280997</v>
      </c>
      <c r="I91" s="26">
        <v>36.420944182026098</v>
      </c>
      <c r="J91" s="26">
        <v>28.795194398121101</v>
      </c>
      <c r="L91" s="27">
        <v>0.91449499999999995</v>
      </c>
      <c r="M91" s="26">
        <v>13.524848353942801</v>
      </c>
      <c r="N91" s="26">
        <v>-6.9199200820778701</v>
      </c>
      <c r="O91" s="26">
        <v>25.788829490433201</v>
      </c>
      <c r="P91" s="26">
        <v>6.2908364382526099</v>
      </c>
      <c r="Q91" s="26">
        <v>11.9525892326799</v>
      </c>
      <c r="R91" s="26">
        <v>-0.62908364382526005</v>
      </c>
      <c r="S91" s="26">
        <v>16.159979840524102</v>
      </c>
      <c r="T91" s="26">
        <v>4.7635761470201796</v>
      </c>
      <c r="U91" s="26">
        <v>27.675180445308399</v>
      </c>
      <c r="W91" s="27">
        <v>0.91449499999999995</v>
      </c>
      <c r="X91" s="26">
        <v>6.46383213694092</v>
      </c>
      <c r="Y91" s="26">
        <v>-12.831584759801199</v>
      </c>
      <c r="Z91" s="26">
        <v>19.196024295969099</v>
      </c>
      <c r="AA91" s="26">
        <v>1.8332413031474299</v>
      </c>
      <c r="AB91" s="26">
        <v>19.5814467145224</v>
      </c>
      <c r="AC91" s="26">
        <v>10.707896189950301</v>
      </c>
      <c r="AD91" s="26">
        <v>19.5814467145224</v>
      </c>
      <c r="AE91" s="26">
        <v>12.925455549420199</v>
      </c>
      <c r="AF91" s="137">
        <v>4.9199337382661499</v>
      </c>
    </row>
    <row r="92" spans="1:33">
      <c r="A92" s="122"/>
      <c r="AF92" s="137"/>
    </row>
    <row r="93" spans="1:33">
      <c r="A93" s="122"/>
      <c r="B93" s="202" t="s">
        <v>3</v>
      </c>
      <c r="C93" s="202"/>
      <c r="D93" s="202"/>
      <c r="E93" s="202"/>
      <c r="F93" s="202"/>
      <c r="G93" s="202"/>
      <c r="H93" s="202"/>
      <c r="I93" s="202"/>
      <c r="J93" s="202"/>
      <c r="L93" s="49"/>
      <c r="M93" s="198" t="s">
        <v>3</v>
      </c>
      <c r="N93" s="198"/>
      <c r="O93" s="198"/>
      <c r="P93" s="198"/>
      <c r="Q93" s="198"/>
      <c r="R93" s="198"/>
      <c r="S93" s="198"/>
      <c r="T93" s="198"/>
      <c r="U93" s="198"/>
      <c r="V93" s="49"/>
      <c r="W93" s="49"/>
      <c r="X93" s="198" t="s">
        <v>3</v>
      </c>
      <c r="Y93" s="198"/>
      <c r="Z93" s="198"/>
      <c r="AA93" s="198"/>
      <c r="AB93" s="198"/>
      <c r="AC93" s="198"/>
      <c r="AD93" s="198"/>
      <c r="AE93" s="198"/>
      <c r="AF93" s="227"/>
      <c r="AG93" s="4"/>
    </row>
    <row r="94" spans="1:33">
      <c r="A94" s="9" t="s">
        <v>75</v>
      </c>
      <c r="B94" s="193" t="s">
        <v>76</v>
      </c>
      <c r="C94" s="193"/>
      <c r="D94" s="193"/>
      <c r="E94" s="193" t="s">
        <v>77</v>
      </c>
      <c r="F94" s="193"/>
      <c r="G94" s="193"/>
      <c r="H94" s="193" t="s">
        <v>78</v>
      </c>
      <c r="I94" s="193"/>
      <c r="J94" s="193"/>
      <c r="L94" s="10" t="s">
        <v>75</v>
      </c>
      <c r="M94" s="193" t="s">
        <v>79</v>
      </c>
      <c r="N94" s="193"/>
      <c r="O94" s="193"/>
      <c r="P94" s="193" t="s">
        <v>80</v>
      </c>
      <c r="Q94" s="193"/>
      <c r="R94" s="193"/>
      <c r="S94" s="193" t="s">
        <v>81</v>
      </c>
      <c r="T94" s="193"/>
      <c r="U94" s="193"/>
      <c r="V94" s="49"/>
      <c r="W94" s="10" t="s">
        <v>75</v>
      </c>
      <c r="X94" s="193" t="s">
        <v>82</v>
      </c>
      <c r="Y94" s="193"/>
      <c r="Z94" s="193"/>
      <c r="AA94" s="193" t="s">
        <v>83</v>
      </c>
      <c r="AB94" s="193"/>
      <c r="AC94" s="193"/>
      <c r="AD94" s="193" t="s">
        <v>84</v>
      </c>
      <c r="AE94" s="193"/>
      <c r="AF94" s="221"/>
      <c r="AG94" s="10"/>
    </row>
    <row r="95" spans="1:33">
      <c r="A95" s="96">
        <v>2000</v>
      </c>
      <c r="B95" s="26">
        <v>86.702029425645904</v>
      </c>
      <c r="C95" s="26">
        <v>83.3962612603369</v>
      </c>
      <c r="D95" s="26">
        <v>83.3962612603369</v>
      </c>
      <c r="E95" s="26">
        <v>86.732809389941096</v>
      </c>
      <c r="F95" s="26">
        <v>85.416452916914594</v>
      </c>
      <c r="G95" s="26">
        <v>80.041245152155597</v>
      </c>
      <c r="H95" s="26">
        <v>87.080622986477294</v>
      </c>
      <c r="I95" s="26">
        <v>87.178092873412297</v>
      </c>
      <c r="J95" s="26">
        <v>85.696550592001302</v>
      </c>
      <c r="L95" s="27">
        <v>2000</v>
      </c>
      <c r="M95" s="26">
        <v>86.568514456382999</v>
      </c>
      <c r="N95" s="26">
        <v>84.735596287070393</v>
      </c>
      <c r="O95" s="26">
        <v>84.265903260586697</v>
      </c>
      <c r="P95" s="26">
        <v>84.127102155135006</v>
      </c>
      <c r="Q95" s="26">
        <v>84.992130473039097</v>
      </c>
      <c r="R95" s="26">
        <v>87.588454722335797</v>
      </c>
      <c r="S95" s="26">
        <v>98.402547991721505</v>
      </c>
      <c r="T95" s="26">
        <v>99.700090468577699</v>
      </c>
      <c r="U95" s="26">
        <v>96.290788315921205</v>
      </c>
      <c r="W95" s="27">
        <v>2000</v>
      </c>
      <c r="X95" s="26">
        <v>85.390413893819996</v>
      </c>
      <c r="Y95" s="26">
        <v>85.390413893819996</v>
      </c>
      <c r="Z95" s="26">
        <v>87.430587741467207</v>
      </c>
      <c r="AA95" s="26">
        <v>88.371096516925704</v>
      </c>
      <c r="AB95" s="26">
        <v>89.993703706942497</v>
      </c>
      <c r="AC95" s="26">
        <v>88.428375294045594</v>
      </c>
      <c r="AD95" s="26">
        <v>94.398048149152203</v>
      </c>
      <c r="AE95" s="26">
        <v>91.650415817687303</v>
      </c>
      <c r="AF95" s="137">
        <v>95.091514870619903</v>
      </c>
    </row>
    <row r="96" spans="1:33">
      <c r="A96" s="96">
        <v>666.66669999999999</v>
      </c>
      <c r="B96" s="26">
        <v>81.735169187203695</v>
      </c>
      <c r="C96" s="26">
        <v>83.624032996121699</v>
      </c>
      <c r="D96" s="26">
        <v>81.474565489504002</v>
      </c>
      <c r="E96" s="26">
        <v>84.829581597685305</v>
      </c>
      <c r="F96" s="26">
        <v>83.755360843781403</v>
      </c>
      <c r="G96" s="26">
        <v>88.1517657439517</v>
      </c>
      <c r="H96" s="26">
        <v>82.588800196991798</v>
      </c>
      <c r="I96" s="26">
        <v>84.738267703609495</v>
      </c>
      <c r="J96" s="26">
        <v>89.625100034883999</v>
      </c>
      <c r="L96" s="27">
        <v>666.66669999999999</v>
      </c>
      <c r="M96" s="26">
        <v>74.960032717403394</v>
      </c>
      <c r="N96" s="26">
        <v>72.739215030176894</v>
      </c>
      <c r="O96" s="26">
        <v>77.636911179685498</v>
      </c>
      <c r="P96" s="26">
        <v>82.829559678278898</v>
      </c>
      <c r="Q96" s="26">
        <v>72.592978151218801</v>
      </c>
      <c r="R96" s="26">
        <v>84.559616314087094</v>
      </c>
      <c r="S96" s="26">
        <v>97.107484106034093</v>
      </c>
      <c r="T96" s="26">
        <v>96.998426094607794</v>
      </c>
      <c r="U96" s="26">
        <v>96.788985140845895</v>
      </c>
      <c r="W96" s="27">
        <v>666.66669999999999</v>
      </c>
      <c r="X96" s="26">
        <v>81.612200816769104</v>
      </c>
      <c r="Y96" s="26">
        <v>75.214904724843294</v>
      </c>
      <c r="Z96" s="26">
        <v>85.695609210077606</v>
      </c>
      <c r="AA96" s="26">
        <v>79.626245048227801</v>
      </c>
      <c r="AB96" s="26">
        <v>85.810166764317501</v>
      </c>
      <c r="AC96" s="26">
        <v>85.0104500975051</v>
      </c>
      <c r="AD96" s="26">
        <v>89.3046094112091</v>
      </c>
      <c r="AE96" s="26">
        <v>89.401240019938299</v>
      </c>
      <c r="AF96" s="137">
        <v>95.091514870619903</v>
      </c>
    </row>
    <row r="97" spans="1:33">
      <c r="A97" s="96">
        <v>222.22219999999999</v>
      </c>
      <c r="B97" s="26">
        <v>82.322040506432998</v>
      </c>
      <c r="C97" s="26">
        <v>70.576406131368898</v>
      </c>
      <c r="D97" s="26">
        <v>79.487205794841302</v>
      </c>
      <c r="E97" s="26">
        <v>74.439291650421694</v>
      </c>
      <c r="F97" s="26">
        <v>72.874643465413598</v>
      </c>
      <c r="G97" s="26">
        <v>82.775531980382894</v>
      </c>
      <c r="H97" s="26">
        <v>79.334331972174894</v>
      </c>
      <c r="I97" s="26">
        <v>80.5398805737385</v>
      </c>
      <c r="J97" s="26">
        <v>76.012147825908499</v>
      </c>
      <c r="L97" s="27">
        <v>222.22219999999999</v>
      </c>
      <c r="M97" s="26">
        <v>62.060204979489697</v>
      </c>
      <c r="N97" s="26">
        <v>63.358986751930203</v>
      </c>
      <c r="O97" s="26">
        <v>67.6853676370351</v>
      </c>
      <c r="P97" s="26">
        <v>66.542737108227698</v>
      </c>
      <c r="Q97" s="26">
        <v>71.579234363187993</v>
      </c>
      <c r="R97" s="26">
        <v>66.387825160179005</v>
      </c>
      <c r="S97" s="26">
        <v>88.600959214782307</v>
      </c>
      <c r="T97" s="26">
        <v>87.623154998698695</v>
      </c>
      <c r="U97" s="26">
        <v>86.582146707811305</v>
      </c>
      <c r="W97" s="27">
        <v>222.22219999999999</v>
      </c>
      <c r="X97" s="26">
        <v>69.964933145610502</v>
      </c>
      <c r="Y97" s="26">
        <v>71.281907776796402</v>
      </c>
      <c r="Z97" s="26">
        <v>75.443582590749699</v>
      </c>
      <c r="AA97" s="26">
        <v>78.098519496646304</v>
      </c>
      <c r="AB97" s="26">
        <v>79.816008325098593</v>
      </c>
      <c r="AC97" s="26">
        <v>67.215114601278501</v>
      </c>
      <c r="AD97" s="26">
        <v>85.0104500975051</v>
      </c>
      <c r="AE97" s="26">
        <v>82.5286612506887</v>
      </c>
      <c r="AF97" s="137">
        <v>83.902914658994504</v>
      </c>
    </row>
    <row r="98" spans="1:33">
      <c r="A98" s="96">
        <v>74.074070000000006</v>
      </c>
      <c r="B98" s="26">
        <v>72.647897728438593</v>
      </c>
      <c r="C98" s="26">
        <v>74.797365235056304</v>
      </c>
      <c r="D98" s="26">
        <v>69.325713582172199</v>
      </c>
      <c r="E98" s="26">
        <v>63.821229967373199</v>
      </c>
      <c r="F98" s="26">
        <v>77.305932325118505</v>
      </c>
      <c r="G98" s="26">
        <v>67.6317895471241</v>
      </c>
      <c r="H98" s="26">
        <v>65.490530030985198</v>
      </c>
      <c r="I98" s="26">
        <v>80.143845033139797</v>
      </c>
      <c r="J98" s="26">
        <v>68.808610182012202</v>
      </c>
      <c r="L98" s="27">
        <v>74.074070000000006</v>
      </c>
      <c r="M98" s="26">
        <v>52.834888649291699</v>
      </c>
      <c r="N98" s="26">
        <v>51.850887955286197</v>
      </c>
      <c r="O98" s="26">
        <v>55.3717267105377</v>
      </c>
      <c r="P98" s="26">
        <v>51.045345825432797</v>
      </c>
      <c r="Q98" s="26">
        <v>54.447212204582897</v>
      </c>
      <c r="R98" s="26">
        <v>55.2341649006705</v>
      </c>
      <c r="S98" s="26">
        <v>78.069425338637501</v>
      </c>
      <c r="T98" s="26">
        <v>72.973441895626493</v>
      </c>
      <c r="U98" s="26">
        <v>72.915195003160207</v>
      </c>
      <c r="W98" s="27">
        <v>74.074070000000006</v>
      </c>
      <c r="X98" s="26">
        <v>73.032627040829695</v>
      </c>
      <c r="Y98" s="26">
        <v>59.423014700095301</v>
      </c>
      <c r="Z98" s="26">
        <v>53.3698285134627</v>
      </c>
      <c r="AA98" s="26">
        <v>58.259074969611603</v>
      </c>
      <c r="AB98" s="26">
        <v>69.084763845286105</v>
      </c>
      <c r="AC98" s="26">
        <v>64.011875508294494</v>
      </c>
      <c r="AD98" s="26">
        <v>74.068017454723503</v>
      </c>
      <c r="AE98" s="26">
        <v>80.767448164892897</v>
      </c>
      <c r="AF98" s="137">
        <v>75.806931169274094</v>
      </c>
    </row>
    <row r="99" spans="1:33">
      <c r="A99" s="96">
        <v>24.69136</v>
      </c>
      <c r="B99" s="26">
        <v>74.911251102948697</v>
      </c>
      <c r="C99" s="26">
        <v>59.293497219543198</v>
      </c>
      <c r="D99" s="26">
        <v>67.006956271930704</v>
      </c>
      <c r="E99" s="26">
        <v>71.930724560359494</v>
      </c>
      <c r="F99" s="26">
        <v>62.123201937085703</v>
      </c>
      <c r="G99" s="26">
        <v>65.796277676317899</v>
      </c>
      <c r="H99" s="26">
        <v>72.034350440153503</v>
      </c>
      <c r="I99" s="26">
        <v>76.918104774998497</v>
      </c>
      <c r="J99" s="26">
        <v>61.998030082285098</v>
      </c>
      <c r="L99" s="27">
        <v>24.69136</v>
      </c>
      <c r="M99" s="26">
        <v>43.903285372594198</v>
      </c>
      <c r="N99" s="26">
        <v>37.053698677671598</v>
      </c>
      <c r="O99" s="26">
        <v>39.281952138404499</v>
      </c>
      <c r="P99" s="26">
        <v>47.779801960565599</v>
      </c>
      <c r="Q99" s="26">
        <v>40.146980456308597</v>
      </c>
      <c r="R99" s="26">
        <v>43.175818864557399</v>
      </c>
      <c r="S99" s="26">
        <v>65.479421496821203</v>
      </c>
      <c r="T99" s="26">
        <v>57.845360696979803</v>
      </c>
      <c r="U99" s="26">
        <v>56.846488455961598</v>
      </c>
      <c r="W99" s="27">
        <v>24.69136</v>
      </c>
      <c r="X99" s="26">
        <v>50.1932612174582</v>
      </c>
      <c r="Y99" s="26">
        <v>52.823275296669102</v>
      </c>
      <c r="Z99" s="26">
        <v>40.990179531800599</v>
      </c>
      <c r="AA99" s="26">
        <v>44.964277281750398</v>
      </c>
      <c r="AB99" s="26">
        <v>45.422507498710097</v>
      </c>
      <c r="AC99" s="26">
        <v>46.7980726347363</v>
      </c>
      <c r="AD99" s="26">
        <v>60.280884629174601</v>
      </c>
      <c r="AE99" s="26">
        <v>59.456682378249802</v>
      </c>
      <c r="AF99" s="137">
        <v>59.733456927234101</v>
      </c>
    </row>
    <row r="100" spans="1:33">
      <c r="A100" s="96">
        <v>8.2304530000000007</v>
      </c>
      <c r="B100" s="26">
        <v>68.0822030246445</v>
      </c>
      <c r="C100" s="26">
        <v>55.221307943282802</v>
      </c>
      <c r="D100" s="26">
        <v>51.279420515872197</v>
      </c>
      <c r="E100" s="26">
        <v>44.111792830320297</v>
      </c>
      <c r="F100" s="26">
        <v>59.388915108858498</v>
      </c>
      <c r="G100" s="26">
        <v>45.904212751113199</v>
      </c>
      <c r="H100" s="26">
        <v>62.490509511009002</v>
      </c>
      <c r="I100" s="26">
        <v>67.733363429298393</v>
      </c>
      <c r="J100" s="26">
        <v>51.020868815792198</v>
      </c>
      <c r="L100" s="27">
        <v>8.2304530000000007</v>
      </c>
      <c r="M100" s="26">
        <v>47.346048506029199</v>
      </c>
      <c r="N100" s="26">
        <v>29.917834702754998</v>
      </c>
      <c r="O100" s="26">
        <v>43.884695938828401</v>
      </c>
      <c r="P100" s="26">
        <v>43.4509424842919</v>
      </c>
      <c r="Q100" s="26">
        <v>20.077827762699702</v>
      </c>
      <c r="R100" s="26">
        <v>37.8245405311621</v>
      </c>
      <c r="S100" s="26">
        <v>42.092674523800703</v>
      </c>
      <c r="T100" s="26">
        <v>43.293551945074398</v>
      </c>
      <c r="U100" s="26">
        <v>38.139321609597097</v>
      </c>
      <c r="W100" s="27">
        <v>8.2304530000000007</v>
      </c>
      <c r="X100" s="26">
        <v>33.957569980673902</v>
      </c>
      <c r="Y100" s="26">
        <v>33.804972322545098</v>
      </c>
      <c r="Z100" s="26">
        <v>33.346304863011902</v>
      </c>
      <c r="AA100" s="26">
        <v>19.889290180406299</v>
      </c>
      <c r="AB100" s="26">
        <v>35.486607259975699</v>
      </c>
      <c r="AC100" s="26">
        <v>32.122900142541098</v>
      </c>
      <c r="AD100" s="26">
        <v>31.511635024879102</v>
      </c>
      <c r="AE100" s="26">
        <v>48.542233260168103</v>
      </c>
      <c r="AF100" s="137">
        <v>27.535788304635599</v>
      </c>
    </row>
    <row r="101" spans="1:33">
      <c r="A101" s="96">
        <v>2.743484</v>
      </c>
      <c r="B101" s="26">
        <v>33.493731147271902</v>
      </c>
      <c r="C101" s="26">
        <v>44.469866414955</v>
      </c>
      <c r="D101" s="26">
        <v>34.434572055896403</v>
      </c>
      <c r="E101" s="26">
        <v>35.7334865491556</v>
      </c>
      <c r="F101" s="26">
        <v>44.111792830320297</v>
      </c>
      <c r="G101" s="26">
        <v>33.359325303182601</v>
      </c>
      <c r="H101" s="26">
        <v>37.177066874602403</v>
      </c>
      <c r="I101" s="26">
        <v>40.179139392198302</v>
      </c>
      <c r="J101" s="26">
        <v>42.281410953563302</v>
      </c>
      <c r="L101" s="27">
        <v>2.743484</v>
      </c>
      <c r="M101" s="26">
        <v>13.583918900497</v>
      </c>
      <c r="N101" s="26">
        <v>15.748968286426001</v>
      </c>
      <c r="O101" s="26">
        <v>40.422104076043198</v>
      </c>
      <c r="P101" s="26">
        <v>20.510341921651701</v>
      </c>
      <c r="Q101" s="26">
        <v>49.511097891958201</v>
      </c>
      <c r="R101" s="26">
        <v>23.974173080021298</v>
      </c>
      <c r="S101" s="26">
        <v>29.326690709000999</v>
      </c>
      <c r="T101" s="26">
        <v>36.684388593523401</v>
      </c>
      <c r="U101" s="26">
        <v>29.168060874199099</v>
      </c>
      <c r="W101" s="27">
        <v>2.743484</v>
      </c>
      <c r="X101" s="26">
        <v>26.924085944400201</v>
      </c>
      <c r="Y101" s="26">
        <v>26.006751025333799</v>
      </c>
      <c r="Z101" s="26">
        <v>25.3950486650984</v>
      </c>
      <c r="AA101" s="26">
        <v>19.430185478299599</v>
      </c>
      <c r="AB101" s="26">
        <v>31.511635024879102</v>
      </c>
      <c r="AC101" s="26">
        <v>19.430185478299599</v>
      </c>
      <c r="AD101" s="26">
        <v>22.795204323454598</v>
      </c>
      <c r="AE101" s="26">
        <v>24.324241602756398</v>
      </c>
      <c r="AF101" s="137">
        <v>22.030467062516902</v>
      </c>
    </row>
    <row r="102" spans="1:33">
      <c r="A102" s="96">
        <v>0.91449499999999995</v>
      </c>
      <c r="B102" s="26">
        <v>23.544620688239998</v>
      </c>
      <c r="C102" s="26">
        <v>18.081177025834599</v>
      </c>
      <c r="D102" s="26">
        <v>13.063016846900499</v>
      </c>
      <c r="E102" s="26">
        <v>29.192744136416799</v>
      </c>
      <c r="F102" s="26">
        <v>28.8346705517822</v>
      </c>
      <c r="G102" s="26">
        <v>23.323004945314299</v>
      </c>
      <c r="H102" s="26">
        <v>24.5429175302157</v>
      </c>
      <c r="I102" s="26">
        <v>24.133544005089</v>
      </c>
      <c r="J102" s="26">
        <v>30.6352984630538</v>
      </c>
      <c r="L102" s="27">
        <v>0.91449499999999995</v>
      </c>
      <c r="M102" s="26">
        <v>26.570497329317998</v>
      </c>
      <c r="N102" s="26">
        <v>28.3017932607106</v>
      </c>
      <c r="O102" s="26">
        <v>14.4501865139855</v>
      </c>
      <c r="P102" s="26">
        <v>-21.921899592271799</v>
      </c>
      <c r="Q102" s="26">
        <v>10.5538411966638</v>
      </c>
      <c r="R102" s="26">
        <v>23.540419625484901</v>
      </c>
      <c r="S102" s="26">
        <v>25.157700363113602</v>
      </c>
      <c r="T102" s="26">
        <v>21.376609535140201</v>
      </c>
      <c r="U102" s="26">
        <v>21.376609535140201</v>
      </c>
      <c r="W102" s="27">
        <v>0.91449499999999995</v>
      </c>
      <c r="X102" s="26">
        <v>15.7595340743137</v>
      </c>
      <c r="Y102" s="26">
        <v>7.0391681897282998</v>
      </c>
      <c r="Z102" s="26">
        <v>10.0994289611991</v>
      </c>
      <c r="AA102" s="26">
        <v>13.4648850489274</v>
      </c>
      <c r="AB102" s="26">
        <v>2.29596075310661</v>
      </c>
      <c r="AC102" s="26">
        <v>6.73309838832387</v>
      </c>
      <c r="AD102" s="26">
        <v>17.1359736954868</v>
      </c>
      <c r="AE102" s="26">
        <v>23.40690668369</v>
      </c>
      <c r="AF102" s="137">
        <v>16.065166633144699</v>
      </c>
    </row>
    <row r="103" spans="1:33">
      <c r="A103" s="122"/>
      <c r="AF103" s="137"/>
    </row>
    <row r="104" spans="1:33">
      <c r="A104" s="122"/>
      <c r="B104" s="202" t="s">
        <v>4</v>
      </c>
      <c r="C104" s="202"/>
      <c r="D104" s="202"/>
      <c r="E104" s="202"/>
      <c r="F104" s="202"/>
      <c r="G104" s="202"/>
      <c r="H104" s="202"/>
      <c r="I104" s="202"/>
      <c r="J104" s="202"/>
      <c r="L104" s="49"/>
      <c r="M104" s="198" t="s">
        <v>4</v>
      </c>
      <c r="N104" s="198"/>
      <c r="O104" s="198"/>
      <c r="P104" s="198"/>
      <c r="Q104" s="198"/>
      <c r="R104" s="198"/>
      <c r="S104" s="198"/>
      <c r="T104" s="198"/>
      <c r="U104" s="198"/>
      <c r="V104" s="49"/>
      <c r="W104" s="49"/>
      <c r="X104" s="198" t="s">
        <v>4</v>
      </c>
      <c r="Y104" s="198"/>
      <c r="Z104" s="198"/>
      <c r="AA104" s="198"/>
      <c r="AB104" s="198"/>
      <c r="AC104" s="198"/>
      <c r="AD104" s="198"/>
      <c r="AE104" s="198"/>
      <c r="AF104" s="227"/>
      <c r="AG104" s="4"/>
    </row>
    <row r="105" spans="1:33">
      <c r="A105" s="9" t="s">
        <v>75</v>
      </c>
      <c r="B105" s="193" t="s">
        <v>76</v>
      </c>
      <c r="C105" s="193"/>
      <c r="D105" s="193"/>
      <c r="E105" s="193" t="s">
        <v>77</v>
      </c>
      <c r="F105" s="193"/>
      <c r="G105" s="193"/>
      <c r="H105" s="193" t="s">
        <v>78</v>
      </c>
      <c r="I105" s="193"/>
      <c r="J105" s="193"/>
      <c r="L105" s="10" t="s">
        <v>75</v>
      </c>
      <c r="M105" s="193" t="s">
        <v>79</v>
      </c>
      <c r="N105" s="193"/>
      <c r="O105" s="193"/>
      <c r="P105" s="193" t="s">
        <v>80</v>
      </c>
      <c r="Q105" s="193"/>
      <c r="R105" s="193"/>
      <c r="S105" s="193" t="s">
        <v>81</v>
      </c>
      <c r="T105" s="193"/>
      <c r="U105" s="193"/>
      <c r="W105" s="10" t="s">
        <v>75</v>
      </c>
      <c r="X105" s="193" t="s">
        <v>82</v>
      </c>
      <c r="Y105" s="193"/>
      <c r="Z105" s="193"/>
      <c r="AA105" s="193" t="s">
        <v>83</v>
      </c>
      <c r="AB105" s="193"/>
      <c r="AC105" s="193"/>
      <c r="AD105" s="193" t="s">
        <v>84</v>
      </c>
      <c r="AE105" s="193"/>
      <c r="AF105" s="221"/>
      <c r="AG105" s="10"/>
    </row>
    <row r="106" spans="1:33">
      <c r="A106" s="96">
        <v>2000</v>
      </c>
      <c r="B106" s="26">
        <v>93.734151076665398</v>
      </c>
      <c r="C106" s="26">
        <v>95.192348516135496</v>
      </c>
      <c r="D106" s="26">
        <v>94.138262436942</v>
      </c>
      <c r="E106" s="26">
        <v>95.516563934122502</v>
      </c>
      <c r="F106" s="26">
        <v>95.406755259816194</v>
      </c>
      <c r="G106" s="26">
        <v>96.123309930641099</v>
      </c>
      <c r="H106" s="26">
        <v>98.837456144075105</v>
      </c>
      <c r="I106" s="26">
        <v>98.941282271978096</v>
      </c>
      <c r="J106" s="26">
        <v>98.105462643822307</v>
      </c>
      <c r="L106" s="27">
        <v>2000</v>
      </c>
      <c r="M106" s="26">
        <v>89.788040224822794</v>
      </c>
      <c r="N106" s="26">
        <v>94.237921525704905</v>
      </c>
      <c r="O106" s="26">
        <v>94.764088071594799</v>
      </c>
      <c r="P106" s="26">
        <v>95.046828959571101</v>
      </c>
      <c r="Q106" s="26">
        <v>93.767782607325799</v>
      </c>
      <c r="R106" s="26">
        <v>93.470521111730605</v>
      </c>
      <c r="S106" s="26">
        <v>98.679583614727207</v>
      </c>
      <c r="T106" s="26">
        <v>97.388345431556601</v>
      </c>
      <c r="U106" s="26">
        <v>97.723141327978098</v>
      </c>
      <c r="W106" s="27">
        <v>2000</v>
      </c>
      <c r="X106" s="26">
        <v>73.825930858764295</v>
      </c>
      <c r="Y106" s="26">
        <v>71.634624664620603</v>
      </c>
      <c r="Z106" s="26">
        <v>67.083598741482803</v>
      </c>
      <c r="AA106" s="26">
        <v>83.833748335167101</v>
      </c>
      <c r="AB106" s="26">
        <v>82.990715540370999</v>
      </c>
      <c r="AC106" s="26">
        <v>88.049394869419203</v>
      </c>
      <c r="AD106" s="26">
        <v>81.285830100179496</v>
      </c>
      <c r="AE106" s="26">
        <v>84.594745883760893</v>
      </c>
      <c r="AF106" s="137">
        <v>83.920609184087098</v>
      </c>
    </row>
    <row r="107" spans="1:33">
      <c r="A107" s="96">
        <v>666.66669999999999</v>
      </c>
      <c r="B107" s="26">
        <v>87.409248630768801</v>
      </c>
      <c r="C107" s="26">
        <v>91.520801892800506</v>
      </c>
      <c r="D107" s="26">
        <v>92.194706797330596</v>
      </c>
      <c r="E107" s="26">
        <v>92.069266308228507</v>
      </c>
      <c r="F107" s="26">
        <v>90.139412629734394</v>
      </c>
      <c r="G107" s="26">
        <v>91.176323011189297</v>
      </c>
      <c r="H107" s="26">
        <v>95.539915163632301</v>
      </c>
      <c r="I107" s="26">
        <v>97.450470305341497</v>
      </c>
      <c r="J107" s="26">
        <v>97.787422757606507</v>
      </c>
      <c r="L107" s="27">
        <v>666.66669999999999</v>
      </c>
      <c r="M107" s="26">
        <v>77.865662461626599</v>
      </c>
      <c r="N107" s="26">
        <v>78.201006305505402</v>
      </c>
      <c r="O107" s="26">
        <v>80.643756070230395</v>
      </c>
      <c r="P107" s="26">
        <v>86.676931549033796</v>
      </c>
      <c r="Q107" s="26">
        <v>90.498865063829001</v>
      </c>
      <c r="R107" s="26">
        <v>87.567483154040403</v>
      </c>
      <c r="S107" s="26">
        <v>96.718753638713594</v>
      </c>
      <c r="T107" s="26">
        <v>97.770949743629103</v>
      </c>
      <c r="U107" s="26">
        <v>97.149303353301406</v>
      </c>
      <c r="W107" s="27">
        <v>666.66669999999999</v>
      </c>
      <c r="X107" s="26">
        <v>65.735325342135198</v>
      </c>
      <c r="Y107" s="26">
        <v>64.217673287393595</v>
      </c>
      <c r="Z107" s="26">
        <v>58.4858223792152</v>
      </c>
      <c r="AA107" s="26">
        <v>60.276120987511298</v>
      </c>
      <c r="AB107" s="26">
        <v>58.316926284092901</v>
      </c>
      <c r="AC107" s="26">
        <v>84.865462196228293</v>
      </c>
      <c r="AD107" s="26">
        <v>79.915841488601899</v>
      </c>
      <c r="AE107" s="26">
        <v>76.334279151466006</v>
      </c>
      <c r="AF107" s="137">
        <v>83.077576389290996</v>
      </c>
    </row>
    <row r="108" spans="1:33">
      <c r="A108" s="96">
        <v>222.22219999999999</v>
      </c>
      <c r="B108" s="26">
        <v>66.835464535078899</v>
      </c>
      <c r="C108" s="26">
        <v>76.282484262043297</v>
      </c>
      <c r="D108" s="26">
        <v>80.262035532465902</v>
      </c>
      <c r="E108" s="26">
        <v>83.354240081517005</v>
      </c>
      <c r="F108" s="26">
        <v>78.482131484790798</v>
      </c>
      <c r="G108" s="26">
        <v>73.865342529729404</v>
      </c>
      <c r="H108" s="26">
        <v>93.812117165276504</v>
      </c>
      <c r="I108" s="26">
        <v>89.363997421715496</v>
      </c>
      <c r="J108" s="26">
        <v>91.520801892800506</v>
      </c>
      <c r="L108" s="27">
        <v>222.22219999999999</v>
      </c>
      <c r="M108" s="26">
        <v>59.599012050734501</v>
      </c>
      <c r="N108" s="26">
        <v>58.111471690979599</v>
      </c>
      <c r="O108" s="26">
        <v>58.591336676726101</v>
      </c>
      <c r="P108" s="26">
        <v>74.586196929576403</v>
      </c>
      <c r="Q108" s="26">
        <v>97.731634513566505</v>
      </c>
      <c r="R108" s="26">
        <v>73.958797090946902</v>
      </c>
      <c r="S108" s="26">
        <v>95.092582572257101</v>
      </c>
      <c r="T108" s="26">
        <v>93.753125012842503</v>
      </c>
      <c r="U108" s="26">
        <v>93.131204648786195</v>
      </c>
      <c r="W108" s="27">
        <v>222.22219999999999</v>
      </c>
      <c r="X108" s="26">
        <v>52.246800625398102</v>
      </c>
      <c r="Y108" s="26">
        <v>39.428552126160596</v>
      </c>
      <c r="Z108" s="26">
        <v>45.501090586214197</v>
      </c>
      <c r="AA108" s="26">
        <v>64.8396934777154</v>
      </c>
      <c r="AB108" s="26">
        <v>50.3266933039937</v>
      </c>
      <c r="AC108" s="26">
        <v>61.495550794294203</v>
      </c>
      <c r="AD108" s="26">
        <v>64.971914992182505</v>
      </c>
      <c r="AE108" s="26">
        <v>69.019630551855897</v>
      </c>
      <c r="AF108" s="137">
        <v>66.309089505279204</v>
      </c>
    </row>
    <row r="109" spans="1:33">
      <c r="A109" s="96">
        <v>74.074070000000006</v>
      </c>
      <c r="B109" s="26">
        <v>42.268041237113401</v>
      </c>
      <c r="C109" s="26">
        <v>61.772493409549703</v>
      </c>
      <c r="D109" s="26">
        <v>47.519752052399397</v>
      </c>
      <c r="E109" s="26">
        <v>60.668424120083202</v>
      </c>
      <c r="F109" s="26">
        <v>62.7468765318214</v>
      </c>
      <c r="G109" s="26">
        <v>62.042479939171002</v>
      </c>
      <c r="H109" s="26">
        <v>83.161640684403295</v>
      </c>
      <c r="I109" s="26">
        <v>84.442870541555493</v>
      </c>
      <c r="J109" s="26">
        <v>82.217749250251799</v>
      </c>
      <c r="L109" s="27">
        <v>74.074070000000006</v>
      </c>
      <c r="M109" s="26">
        <v>40.486604739471503</v>
      </c>
      <c r="N109" s="26">
        <v>44.042646750603097</v>
      </c>
      <c r="O109" s="26">
        <v>44.234839321257503</v>
      </c>
      <c r="P109" s="26">
        <v>62.496832178762403</v>
      </c>
      <c r="Q109" s="26">
        <v>60.719701587814697</v>
      </c>
      <c r="R109" s="26">
        <v>54.473648521843202</v>
      </c>
      <c r="S109" s="26">
        <v>85.808845789777195</v>
      </c>
      <c r="T109" s="26">
        <v>84.468429322312303</v>
      </c>
      <c r="U109" s="26">
        <v>82.792532024104204</v>
      </c>
      <c r="W109" s="27">
        <v>74.074070000000006</v>
      </c>
      <c r="X109" s="26">
        <v>25.594031694558701</v>
      </c>
      <c r="Y109" s="26">
        <v>29.306367865346399</v>
      </c>
      <c r="Z109" s="26">
        <v>34.874148281120299</v>
      </c>
      <c r="AA109" s="26">
        <v>35.230760321964198</v>
      </c>
      <c r="AB109" s="26">
        <v>43.9168452139672</v>
      </c>
      <c r="AC109" s="26">
        <v>40.778273206323497</v>
      </c>
      <c r="AD109" s="26">
        <v>54.6822823170614</v>
      </c>
      <c r="AE109" s="26">
        <v>53.634161406759702</v>
      </c>
      <c r="AF109" s="137">
        <v>63.760688710019899</v>
      </c>
    </row>
    <row r="110" spans="1:33">
      <c r="A110" s="96">
        <v>24.69136</v>
      </c>
      <c r="B110" s="26">
        <v>27.910701810588701</v>
      </c>
      <c r="C110" s="26">
        <v>30.752025381435601</v>
      </c>
      <c r="D110" s="26">
        <v>20.3987463670504</v>
      </c>
      <c r="E110" s="26">
        <v>42.945612863632697</v>
      </c>
      <c r="F110" s="26">
        <v>47.173729287845397</v>
      </c>
      <c r="G110" s="26">
        <v>38.470282183204901</v>
      </c>
      <c r="H110" s="26">
        <v>66.768112641699503</v>
      </c>
      <c r="I110" s="26">
        <v>61.164782486191903</v>
      </c>
      <c r="J110" s="26">
        <v>60.1519952757182</v>
      </c>
      <c r="L110" s="27">
        <v>24.69136</v>
      </c>
      <c r="M110" s="26">
        <v>37.3142629353271</v>
      </c>
      <c r="N110" s="26">
        <v>29.138749885273501</v>
      </c>
      <c r="O110" s="26">
        <v>29.716012531558299</v>
      </c>
      <c r="P110" s="26">
        <v>33.611918953091603</v>
      </c>
      <c r="Q110" s="26">
        <v>28.657652017747999</v>
      </c>
      <c r="R110" s="26">
        <v>27.839840437700399</v>
      </c>
      <c r="S110" s="26">
        <v>73.067697538483003</v>
      </c>
      <c r="T110" s="26">
        <v>67.506989754752396</v>
      </c>
      <c r="U110" s="26">
        <v>70.958784762129198</v>
      </c>
      <c r="W110" s="27">
        <v>24.69136</v>
      </c>
      <c r="X110" s="26">
        <v>33.187117570984597</v>
      </c>
      <c r="Y110" s="26">
        <v>14.793367691624701</v>
      </c>
      <c r="Z110" s="26">
        <v>20.194182253363401</v>
      </c>
      <c r="AA110" s="26">
        <v>28.969058235373598</v>
      </c>
      <c r="AB110" s="26">
        <v>19.350184338023801</v>
      </c>
      <c r="AC110" s="26">
        <v>25.794776767618298</v>
      </c>
      <c r="AD110" s="26">
        <v>45.402648290771502</v>
      </c>
      <c r="AE110" s="26">
        <v>39.665489219603501</v>
      </c>
      <c r="AF110" s="137">
        <v>18.337772887833701</v>
      </c>
    </row>
    <row r="111" spans="1:33">
      <c r="A111" s="96">
        <v>8.2304530000000007</v>
      </c>
      <c r="B111" s="26">
        <v>11.529138860691599</v>
      </c>
      <c r="C111" s="26">
        <v>19.992705153095301</v>
      </c>
      <c r="D111" s="26">
        <v>31.360894217000499</v>
      </c>
      <c r="E111" s="26">
        <v>26.151447197273502</v>
      </c>
      <c r="F111" s="26">
        <v>25.610123240455898</v>
      </c>
      <c r="G111" s="26">
        <v>32.713721645624801</v>
      </c>
      <c r="H111" s="26">
        <v>11.732352453037</v>
      </c>
      <c r="I111" s="26">
        <v>37.177280218613802</v>
      </c>
      <c r="J111" s="26">
        <v>36.0276663823349</v>
      </c>
      <c r="L111" s="27">
        <v>8.2304530000000007</v>
      </c>
      <c r="M111" s="26">
        <v>19.850218562542</v>
      </c>
      <c r="N111" s="26">
        <v>24.134482744449599</v>
      </c>
      <c r="O111" s="26">
        <v>18.5502132200543</v>
      </c>
      <c r="P111" s="26">
        <v>22.786805973175198</v>
      </c>
      <c r="Q111" s="26">
        <v>18.213225533803602</v>
      </c>
      <c r="R111" s="26">
        <v>10.313467041645399</v>
      </c>
      <c r="S111" s="26">
        <v>48.743761960665601</v>
      </c>
      <c r="T111" s="26">
        <v>44.804978650597199</v>
      </c>
      <c r="U111" s="26">
        <v>42.114282661435603</v>
      </c>
      <c r="W111" s="27">
        <v>8.2304530000000007</v>
      </c>
      <c r="X111" s="26">
        <v>7.1969038932962697</v>
      </c>
      <c r="Y111" s="26">
        <v>14.962263786747</v>
      </c>
      <c r="Z111" s="26">
        <v>22.5567973439883</v>
      </c>
      <c r="AA111" s="26">
        <v>26.944235334993301</v>
      </c>
      <c r="AB111" s="26">
        <v>18.337772887833701</v>
      </c>
      <c r="AC111" s="26">
        <v>26.775339239871101</v>
      </c>
      <c r="AD111" s="26">
        <v>8.3786939988804594</v>
      </c>
      <c r="AE111" s="26">
        <v>21.206593703553601</v>
      </c>
      <c r="AF111" s="137">
        <v>23.231899164205601</v>
      </c>
    </row>
    <row r="112" spans="1:33">
      <c r="A112" s="96">
        <v>2.743484</v>
      </c>
      <c r="B112" s="26">
        <v>2.7222515988837701</v>
      </c>
      <c r="C112" s="26">
        <v>14.9150671396095</v>
      </c>
      <c r="D112" s="26">
        <v>18.300416462423801</v>
      </c>
      <c r="E112" s="26">
        <v>7.3295842709205798</v>
      </c>
      <c r="F112" s="26">
        <v>25.407102633478299</v>
      </c>
      <c r="G112" s="26">
        <v>6.3810611879407304</v>
      </c>
      <c r="H112" s="26">
        <v>39.138204541331703</v>
      </c>
      <c r="I112" s="26">
        <v>21.5495181155365</v>
      </c>
      <c r="J112" s="26">
        <v>20.804980566373501</v>
      </c>
      <c r="L112" s="27">
        <v>2.743484</v>
      </c>
      <c r="M112" s="26">
        <v>20.861318608158701</v>
      </c>
      <c r="N112" s="26">
        <v>15.612666901370799</v>
      </c>
      <c r="O112" s="26">
        <v>13.3006026052162</v>
      </c>
      <c r="P112" s="26">
        <v>9.9279860054219409</v>
      </c>
      <c r="Q112" s="26">
        <v>10.5542899491368</v>
      </c>
      <c r="R112" s="26">
        <v>9.3496274642224595</v>
      </c>
      <c r="S112" s="26">
        <v>33.172739066051001</v>
      </c>
      <c r="T112" s="26">
        <v>33.461370389193398</v>
      </c>
      <c r="U112" s="26">
        <v>24.5613338137006</v>
      </c>
      <c r="W112" s="27">
        <v>2.743484</v>
      </c>
      <c r="X112" s="26">
        <v>18.506186422684198</v>
      </c>
      <c r="Y112" s="26">
        <v>20.363078348485701</v>
      </c>
      <c r="Z112" s="26">
        <v>30.824985040631599</v>
      </c>
      <c r="AA112" s="26">
        <v>15.468469511842001</v>
      </c>
      <c r="AB112" s="26">
        <v>11.0795838400216</v>
      </c>
      <c r="AC112" s="26">
        <v>10.7422742100488</v>
      </c>
      <c r="AD112" s="26">
        <v>17.831084602466799</v>
      </c>
      <c r="AE112" s="26">
        <v>19.012874708051001</v>
      </c>
      <c r="AF112" s="137">
        <v>14.4555755013801</v>
      </c>
    </row>
    <row r="113" spans="1:33">
      <c r="A113" s="96">
        <v>0.91449499999999995</v>
      </c>
      <c r="B113" s="26">
        <v>-6.3482536754063297</v>
      </c>
      <c r="C113" s="26">
        <v>-15.9660654529174</v>
      </c>
      <c r="D113" s="26">
        <v>-14.940927178901299</v>
      </c>
      <c r="E113" s="26">
        <v>21.3549888647443</v>
      </c>
      <c r="F113" s="26">
        <v>14.9191198323343</v>
      </c>
      <c r="G113" s="26">
        <v>-1.8405014531798201</v>
      </c>
      <c r="H113" s="26">
        <v>21.2266535951244</v>
      </c>
      <c r="I113" s="26">
        <v>13.1212681454492</v>
      </c>
      <c r="J113" s="26">
        <v>19.8937036593885</v>
      </c>
      <c r="L113" s="27">
        <v>0.91449499999999995</v>
      </c>
      <c r="M113" s="26">
        <v>5.7830374645375304</v>
      </c>
      <c r="N113" s="26">
        <v>17.394592032569999</v>
      </c>
      <c r="O113" s="26">
        <v>15.1791034757677</v>
      </c>
      <c r="P113" s="26">
        <v>9.3496274642224595</v>
      </c>
      <c r="Q113" s="26">
        <v>13.252383228972199</v>
      </c>
      <c r="R113" s="26">
        <v>3.0350809660861602</v>
      </c>
      <c r="S113" s="26">
        <v>27.3523041875515</v>
      </c>
      <c r="T113" s="26">
        <v>17.243769494943098</v>
      </c>
      <c r="U113" s="26">
        <v>13.727727648195801</v>
      </c>
      <c r="W113" s="27">
        <v>0.91449499999999995</v>
      </c>
      <c r="X113" s="26">
        <v>16.143571332059398</v>
      </c>
      <c r="Y113" s="26">
        <v>17.999980697589098</v>
      </c>
      <c r="Z113" s="26">
        <v>20.531491883336201</v>
      </c>
      <c r="AA113" s="26">
        <v>9.7293801995869291</v>
      </c>
      <c r="AB113" s="26">
        <v>9.8982762947092109</v>
      </c>
      <c r="AC113" s="26">
        <v>13.2742679560677</v>
      </c>
      <c r="AD113" s="26">
        <v>22.219005153743701</v>
      </c>
      <c r="AE113" s="26">
        <v>11.417376030266199</v>
      </c>
      <c r="AF113" s="137">
        <v>8.8853822842472994</v>
      </c>
    </row>
    <row r="114" spans="1:33">
      <c r="A114" s="122"/>
      <c r="AF114" s="137"/>
    </row>
    <row r="115" spans="1:33">
      <c r="A115" s="122"/>
      <c r="B115" s="202" t="s">
        <v>5</v>
      </c>
      <c r="C115" s="202"/>
      <c r="D115" s="202"/>
      <c r="E115" s="202"/>
      <c r="F115" s="202"/>
      <c r="G115" s="202"/>
      <c r="H115" s="202"/>
      <c r="I115" s="202"/>
      <c r="J115" s="202"/>
      <c r="M115" s="202" t="s">
        <v>5</v>
      </c>
      <c r="N115" s="202"/>
      <c r="O115" s="202"/>
      <c r="P115" s="202"/>
      <c r="Q115" s="202"/>
      <c r="R115" s="202"/>
      <c r="S115" s="202"/>
      <c r="T115" s="202"/>
      <c r="U115" s="202"/>
      <c r="X115" s="202" t="s">
        <v>5</v>
      </c>
      <c r="Y115" s="202"/>
      <c r="Z115" s="202"/>
      <c r="AA115" s="202"/>
      <c r="AB115" s="202"/>
      <c r="AC115" s="202"/>
      <c r="AD115" s="202"/>
      <c r="AE115" s="202"/>
      <c r="AF115" s="229"/>
      <c r="AG115" s="21"/>
    </row>
    <row r="116" spans="1:33">
      <c r="A116" s="9" t="s">
        <v>75</v>
      </c>
      <c r="B116" s="193" t="s">
        <v>76</v>
      </c>
      <c r="C116" s="193"/>
      <c r="D116" s="193"/>
      <c r="E116" s="193" t="s">
        <v>77</v>
      </c>
      <c r="F116" s="193"/>
      <c r="G116" s="193"/>
      <c r="H116" s="193" t="s">
        <v>78</v>
      </c>
      <c r="I116" s="193"/>
      <c r="J116" s="193"/>
      <c r="L116" s="10" t="s">
        <v>75</v>
      </c>
      <c r="M116" s="193" t="s">
        <v>79</v>
      </c>
      <c r="N116" s="193"/>
      <c r="O116" s="193"/>
      <c r="P116" s="193" t="s">
        <v>80</v>
      </c>
      <c r="Q116" s="193"/>
      <c r="R116" s="193"/>
      <c r="S116" s="193" t="s">
        <v>81</v>
      </c>
      <c r="T116" s="193"/>
      <c r="U116" s="193"/>
      <c r="W116" s="10" t="s">
        <v>75</v>
      </c>
      <c r="X116" s="193" t="s">
        <v>82</v>
      </c>
      <c r="Y116" s="193"/>
      <c r="Z116" s="193"/>
      <c r="AA116" s="193" t="s">
        <v>83</v>
      </c>
      <c r="AB116" s="193"/>
      <c r="AC116" s="193"/>
      <c r="AD116" s="193" t="s">
        <v>84</v>
      </c>
      <c r="AE116" s="193"/>
      <c r="AF116" s="221"/>
      <c r="AG116" s="10"/>
    </row>
    <row r="117" spans="1:33">
      <c r="A117" s="96">
        <v>2000</v>
      </c>
      <c r="B117" s="26">
        <v>86.452367543213597</v>
      </c>
      <c r="C117" s="26">
        <v>87.964735952865794</v>
      </c>
      <c r="D117" s="26">
        <v>84.639778191742806</v>
      </c>
      <c r="E117" s="26">
        <v>90.868604600788501</v>
      </c>
      <c r="F117" s="26">
        <v>86.839232335484994</v>
      </c>
      <c r="G117" s="26">
        <v>89.713642074253798</v>
      </c>
      <c r="H117" s="26">
        <v>95.970627734696507</v>
      </c>
      <c r="I117" s="26">
        <v>92.750509032621395</v>
      </c>
      <c r="J117" s="26">
        <v>94.306632586752201</v>
      </c>
      <c r="L117" s="27">
        <v>2000</v>
      </c>
      <c r="M117" s="26">
        <v>66.339777289176595</v>
      </c>
      <c r="N117" s="26">
        <v>71.512186709879998</v>
      </c>
      <c r="O117" s="26">
        <v>67.796704731907596</v>
      </c>
      <c r="P117" s="26">
        <v>83.087976100810707</v>
      </c>
      <c r="Q117" s="26">
        <v>80.810782023873799</v>
      </c>
      <c r="R117" s="26">
        <v>78.835244203356098</v>
      </c>
      <c r="S117" s="26">
        <v>95.246790068040696</v>
      </c>
      <c r="T117" s="26">
        <v>93.741171577615304</v>
      </c>
      <c r="U117" s="26">
        <v>95.335296191193507</v>
      </c>
      <c r="W117" s="27">
        <v>2000</v>
      </c>
      <c r="X117" s="26">
        <v>70.163537668983196</v>
      </c>
      <c r="Y117" s="26">
        <v>70.404868098053498</v>
      </c>
      <c r="Z117" s="26">
        <v>73.060885800228206</v>
      </c>
      <c r="AA117" s="26">
        <v>69.921515748712096</v>
      </c>
      <c r="AB117" s="26">
        <v>66.299484839055395</v>
      </c>
      <c r="AC117" s="26">
        <v>73.544238149569594</v>
      </c>
      <c r="AD117" s="26">
        <v>73.390035611796804</v>
      </c>
      <c r="AE117" s="26">
        <v>66.233793174981798</v>
      </c>
      <c r="AF117" s="137">
        <v>77.165577568025398</v>
      </c>
    </row>
    <row r="118" spans="1:33">
      <c r="A118" s="96">
        <v>666.66669999999999</v>
      </c>
      <c r="B118" s="26">
        <v>77.377290646796396</v>
      </c>
      <c r="C118" s="26">
        <v>80.607806610925806</v>
      </c>
      <c r="D118" s="26">
        <v>76.410778494996293</v>
      </c>
      <c r="E118" s="26">
        <v>84.075293506043394</v>
      </c>
      <c r="F118" s="26">
        <v>85.986656847030304</v>
      </c>
      <c r="G118" s="26">
        <v>84.226487025083401</v>
      </c>
      <c r="H118" s="26">
        <v>93.301997140752903</v>
      </c>
      <c r="I118" s="26">
        <v>92.092015769180804</v>
      </c>
      <c r="J118" s="26">
        <v>91.184421435688606</v>
      </c>
      <c r="L118" s="27">
        <v>666.66669999999999</v>
      </c>
      <c r="M118" s="26">
        <v>45.089938958670899</v>
      </c>
      <c r="N118" s="26">
        <v>46.048036761741002</v>
      </c>
      <c r="O118" s="26">
        <v>54.4970747331502</v>
      </c>
      <c r="P118" s="26">
        <v>62.891208476299902</v>
      </c>
      <c r="Q118" s="26">
        <v>62.046342719039998</v>
      </c>
      <c r="R118" s="26">
        <v>60.522845484539303</v>
      </c>
      <c r="S118" s="26">
        <v>85.050199962974503</v>
      </c>
      <c r="T118" s="26">
        <v>81.4547972093943</v>
      </c>
      <c r="U118" s="26">
        <v>78.730380931368401</v>
      </c>
      <c r="W118" s="27">
        <v>666.66669999999999</v>
      </c>
      <c r="X118" s="26">
        <v>49.088268851778899</v>
      </c>
      <c r="Y118" s="26">
        <v>52.316149776994102</v>
      </c>
      <c r="Z118" s="26">
        <v>53.0408325554057</v>
      </c>
      <c r="AA118" s="26">
        <v>47.822839954361598</v>
      </c>
      <c r="AB118" s="26">
        <v>47.156242436814999</v>
      </c>
      <c r="AC118" s="26">
        <v>61.163088199702699</v>
      </c>
      <c r="AD118" s="26">
        <v>59.625903260381001</v>
      </c>
      <c r="AE118" s="26">
        <v>64.2146388687204</v>
      </c>
      <c r="AF118" s="137">
        <v>57.693876845417101</v>
      </c>
    </row>
    <row r="119" spans="1:33">
      <c r="A119" s="96">
        <v>222.22219999999999</v>
      </c>
      <c r="B119" s="26">
        <v>62.1331715981458</v>
      </c>
      <c r="C119" s="26">
        <v>52.579820647229603</v>
      </c>
      <c r="D119" s="26">
        <v>67.897586968764898</v>
      </c>
      <c r="E119" s="26">
        <v>79.536455400077998</v>
      </c>
      <c r="F119" s="26">
        <v>79.082441623705805</v>
      </c>
      <c r="G119" s="26">
        <v>75.754018108564793</v>
      </c>
      <c r="H119" s="26">
        <v>89.066845730624294</v>
      </c>
      <c r="I119" s="26">
        <v>91.789628731100805</v>
      </c>
      <c r="J119" s="26">
        <v>89.672053026036494</v>
      </c>
      <c r="L119" s="27">
        <v>222.22219999999999</v>
      </c>
      <c r="M119" s="26">
        <v>24.122102946062</v>
      </c>
      <c r="N119" s="26">
        <v>24.388889311554198</v>
      </c>
      <c r="O119" s="26">
        <v>27.171379807924001</v>
      </c>
      <c r="P119" s="26">
        <v>33.092414086928699</v>
      </c>
      <c r="Q119" s="26">
        <v>45.639234840473399</v>
      </c>
      <c r="R119" s="26">
        <v>40.712055852689303</v>
      </c>
      <c r="S119" s="26">
        <v>74.123370942095704</v>
      </c>
      <c r="T119" s="26">
        <v>65.124529890470498</v>
      </c>
      <c r="U119" s="26">
        <v>63.421738016803502</v>
      </c>
      <c r="W119" s="27">
        <v>222.22219999999999</v>
      </c>
      <c r="X119" s="26">
        <v>41.994260623033597</v>
      </c>
      <c r="Y119" s="26">
        <v>39.427445285758701</v>
      </c>
      <c r="Z119" s="26">
        <v>37.554195622860703</v>
      </c>
      <c r="AA119" s="26">
        <v>48.909172630778301</v>
      </c>
      <c r="AB119" s="26">
        <v>47.217785153683899</v>
      </c>
      <c r="AC119" s="26">
        <v>40.634788922311003</v>
      </c>
      <c r="AD119" s="26">
        <v>58.570687687999197</v>
      </c>
      <c r="AE119" s="26">
        <v>55.947170072260803</v>
      </c>
      <c r="AF119" s="137">
        <v>48.7577360578087</v>
      </c>
    </row>
    <row r="120" spans="1:33">
      <c r="A120" s="96">
        <v>74.074070000000006</v>
      </c>
      <c r="B120" s="26">
        <v>50.650262097647598</v>
      </c>
      <c r="C120" s="26">
        <v>45.235021444353002</v>
      </c>
      <c r="D120" s="26">
        <v>43.707923580123897</v>
      </c>
      <c r="E120" s="26">
        <v>68.602434692197704</v>
      </c>
      <c r="F120" s="26">
        <v>64.023307195771807</v>
      </c>
      <c r="G120" s="26">
        <v>72.878741931291401</v>
      </c>
      <c r="H120" s="26">
        <v>75.9052116276047</v>
      </c>
      <c r="I120" s="26">
        <v>81.049257028982396</v>
      </c>
      <c r="J120" s="26">
        <v>78.326040809253598</v>
      </c>
      <c r="L120" s="27">
        <v>74.074070000000006</v>
      </c>
      <c r="M120" s="26">
        <v>21.565442543295699</v>
      </c>
      <c r="N120" s="26">
        <v>23.796227965398899</v>
      </c>
      <c r="O120" s="26">
        <v>24.766371730789199</v>
      </c>
      <c r="P120" s="26">
        <v>32.842618868288199</v>
      </c>
      <c r="Q120" s="26">
        <v>25.412288910360299</v>
      </c>
      <c r="R120" s="26">
        <v>35.693834749684903</v>
      </c>
      <c r="S120" s="26">
        <v>55.007316337114503</v>
      </c>
      <c r="T120" s="26">
        <v>51.894766473170499</v>
      </c>
      <c r="U120" s="26">
        <v>53.580060001572299</v>
      </c>
      <c r="W120" s="27">
        <v>74.074070000000006</v>
      </c>
      <c r="X120" s="26">
        <v>37.126162569581297</v>
      </c>
      <c r="Y120" s="26">
        <v>33.477163503094403</v>
      </c>
      <c r="Z120" s="26">
        <v>28.664384745704101</v>
      </c>
      <c r="AA120" s="26">
        <v>41.027555924350899</v>
      </c>
      <c r="AB120" s="26">
        <v>45.4351208380873</v>
      </c>
      <c r="AC120" s="26">
        <v>32.329979601009597</v>
      </c>
      <c r="AD120" s="26">
        <v>54.071154444559703</v>
      </c>
      <c r="AE120" s="26">
        <v>46.5836877225737</v>
      </c>
      <c r="AF120" s="137">
        <v>47.067040071915102</v>
      </c>
    </row>
    <row r="121" spans="1:33">
      <c r="A121" s="96">
        <v>24.69136</v>
      </c>
      <c r="B121" s="26">
        <v>41.928258891825202</v>
      </c>
      <c r="C121" s="26">
        <v>38.209071611142399</v>
      </c>
      <c r="D121" s="26">
        <v>37.747693107481702</v>
      </c>
      <c r="E121" s="26">
        <v>58.9178183078456</v>
      </c>
      <c r="F121" s="26">
        <v>53.619980071914398</v>
      </c>
      <c r="G121" s="26">
        <v>50.441450418056597</v>
      </c>
      <c r="H121" s="26">
        <v>68.187410648529195</v>
      </c>
      <c r="I121" s="26">
        <v>67.884590391196994</v>
      </c>
      <c r="J121" s="26">
        <v>62.587185374518</v>
      </c>
      <c r="L121" s="27">
        <v>24.69136</v>
      </c>
      <c r="M121" s="26">
        <v>13.1848763577068</v>
      </c>
      <c r="N121" s="26">
        <v>18.5039929195101</v>
      </c>
      <c r="O121" s="26">
        <v>19.131524156592398</v>
      </c>
      <c r="P121" s="26">
        <v>30.4954314102905</v>
      </c>
      <c r="Q121" s="26">
        <v>31.784222578951798</v>
      </c>
      <c r="R121" s="26">
        <v>24.0266228447237</v>
      </c>
      <c r="S121" s="26">
        <v>41.244867786053597</v>
      </c>
      <c r="T121" s="26">
        <v>40.3901116597307</v>
      </c>
      <c r="U121" s="26">
        <v>36.4045465265785</v>
      </c>
      <c r="W121" s="27">
        <v>24.69136</v>
      </c>
      <c r="X121" s="26">
        <v>37.070843273519301</v>
      </c>
      <c r="Y121" s="26">
        <v>29.039172976523901</v>
      </c>
      <c r="Z121" s="26">
        <v>15.600732980672801</v>
      </c>
      <c r="AA121" s="26">
        <v>42.960273830515497</v>
      </c>
      <c r="AB121" s="26">
        <v>26.473049130449802</v>
      </c>
      <c r="AC121" s="26">
        <v>24.056978874943798</v>
      </c>
      <c r="AD121" s="26">
        <v>39.728243958095597</v>
      </c>
      <c r="AE121" s="26">
        <v>33.929398748400899</v>
      </c>
      <c r="AF121" s="137">
        <v>36.104138574836597</v>
      </c>
    </row>
    <row r="122" spans="1:33">
      <c r="A122" s="96">
        <v>8.2304530000000007</v>
      </c>
      <c r="B122" s="26">
        <v>32.7557076636486</v>
      </c>
      <c r="C122" s="26">
        <v>28.210804488151499</v>
      </c>
      <c r="D122" s="26">
        <v>32.301260668024099</v>
      </c>
      <c r="E122" s="26">
        <v>33.967855131481997</v>
      </c>
      <c r="F122" s="26">
        <v>43.358748862799501</v>
      </c>
      <c r="G122" s="26">
        <v>43.207122124507201</v>
      </c>
      <c r="H122" s="26">
        <v>42.6014816098427</v>
      </c>
      <c r="I122" s="26">
        <v>48.053112680327501</v>
      </c>
      <c r="J122" s="26">
        <v>40.632500108304797</v>
      </c>
      <c r="L122" s="27">
        <v>8.2304530000000007</v>
      </c>
      <c r="M122" s="26">
        <v>18.287165597746</v>
      </c>
      <c r="N122" s="26">
        <v>12.126860467180499</v>
      </c>
      <c r="O122" s="26">
        <v>20.948942871706699</v>
      </c>
      <c r="P122" s="26">
        <v>21.0459445682854</v>
      </c>
      <c r="Q122" s="26">
        <v>22.865011678243501</v>
      </c>
      <c r="R122" s="26">
        <v>23.693773885875299</v>
      </c>
      <c r="S122" s="26">
        <v>32.672834199374599</v>
      </c>
      <c r="T122" s="26">
        <v>28.273141561613201</v>
      </c>
      <c r="U122" s="26">
        <v>19.913243711373699</v>
      </c>
      <c r="W122" s="27">
        <v>8.2304530000000007</v>
      </c>
      <c r="X122" s="26">
        <v>31.271306572623899</v>
      </c>
      <c r="Y122" s="26">
        <v>20.0414894720465</v>
      </c>
      <c r="Z122" s="26">
        <v>18.462815060678398</v>
      </c>
      <c r="AA122" s="26">
        <v>15.8040313937005</v>
      </c>
      <c r="AB122" s="26">
        <v>27.9811914393389</v>
      </c>
      <c r="AC122" s="26">
        <v>22.423676658714498</v>
      </c>
      <c r="AD122" s="26">
        <v>14.837326695017801</v>
      </c>
      <c r="AE122" s="26">
        <v>37.795526051930999</v>
      </c>
      <c r="AF122" s="137">
        <v>11.9365211077689</v>
      </c>
    </row>
    <row r="123" spans="1:33">
      <c r="A123" s="96">
        <v>2.743484</v>
      </c>
      <c r="B123" s="26">
        <v>22.756140882900802</v>
      </c>
      <c r="C123" s="26">
        <v>26.392583286401301</v>
      </c>
      <c r="D123" s="26">
        <v>25.483689295152299</v>
      </c>
      <c r="E123" s="26">
        <v>14.1177489927652</v>
      </c>
      <c r="F123" s="26">
        <v>26.847030282025699</v>
      </c>
      <c r="G123" s="26">
        <v>25.634882814192299</v>
      </c>
      <c r="H123" s="26">
        <v>26.544210024693498</v>
      </c>
      <c r="I123" s="26">
        <v>37.148984100853397</v>
      </c>
      <c r="J123" s="26">
        <v>17.9066845730624</v>
      </c>
      <c r="L123" s="27">
        <v>2.743484</v>
      </c>
      <c r="M123" s="26">
        <v>15.1522990036087</v>
      </c>
      <c r="N123" s="26">
        <v>12.687821912493099</v>
      </c>
      <c r="O123" s="26">
        <v>-0.82128103103293504</v>
      </c>
      <c r="P123" s="26">
        <v>19.3794173811824</v>
      </c>
      <c r="Q123" s="26">
        <v>15.018779021259199</v>
      </c>
      <c r="R123" s="26">
        <v>20.002130233336601</v>
      </c>
      <c r="S123" s="26">
        <v>16.5265531049419</v>
      </c>
      <c r="T123" s="26">
        <v>27.961975334941201</v>
      </c>
      <c r="U123" s="26">
        <v>21.558975763523801</v>
      </c>
      <c r="W123" s="27">
        <v>2.743484</v>
      </c>
      <c r="X123" s="26">
        <v>25.657089513535901</v>
      </c>
      <c r="Y123" s="26">
        <v>18.649517684887499</v>
      </c>
      <c r="Z123" s="26">
        <v>21.121598727656199</v>
      </c>
      <c r="AA123" s="26">
        <v>18.649517684887499</v>
      </c>
      <c r="AB123" s="26">
        <v>15.600732980672801</v>
      </c>
      <c r="AC123" s="26">
        <v>27.4051792690938</v>
      </c>
      <c r="AD123" s="26">
        <v>26.196452650139999</v>
      </c>
      <c r="AE123" s="26">
        <v>22.0883034263389</v>
      </c>
      <c r="AF123" s="137">
        <v>10.486464059744799</v>
      </c>
    </row>
    <row r="124" spans="1:33">
      <c r="A124" s="96">
        <v>0.91449499999999995</v>
      </c>
      <c r="B124" s="26">
        <v>16.239656890352201</v>
      </c>
      <c r="C124" s="26">
        <v>11.5777845167439</v>
      </c>
      <c r="D124" s="26">
        <v>10.480006931507999</v>
      </c>
      <c r="E124" s="26">
        <v>6.3869514361218203</v>
      </c>
      <c r="F124" s="26">
        <v>11.540960880301499</v>
      </c>
      <c r="G124" s="26">
        <v>2.1418359831910898</v>
      </c>
      <c r="H124" s="26">
        <v>16.542910366936699</v>
      </c>
      <c r="I124" s="26">
        <v>20.1797859896894</v>
      </c>
      <c r="J124" s="26">
        <v>30.331845947233901</v>
      </c>
      <c r="L124" s="27">
        <v>0.91449499999999995</v>
      </c>
      <c r="M124" s="26">
        <v>5.4902960263540299</v>
      </c>
      <c r="N124" s="26">
        <v>17.154718340041001</v>
      </c>
      <c r="O124" s="26">
        <v>9.3238284350646605</v>
      </c>
      <c r="P124" s="26">
        <v>17.3772516439569</v>
      </c>
      <c r="Q124" s="26">
        <v>12.3481257750626</v>
      </c>
      <c r="R124" s="26">
        <v>17.682204690063699</v>
      </c>
      <c r="S124" s="26">
        <v>23.558859107888701</v>
      </c>
      <c r="T124" s="26">
        <v>21.644311896592399</v>
      </c>
      <c r="U124" s="26">
        <v>27.330640109757699</v>
      </c>
      <c r="W124" s="27">
        <v>0.91449499999999995</v>
      </c>
      <c r="X124" s="26">
        <v>11.734605677142801</v>
      </c>
      <c r="Y124" s="26">
        <v>20.248245341078</v>
      </c>
      <c r="Z124" s="26">
        <v>11.976627597413801</v>
      </c>
      <c r="AA124" s="26">
        <v>11.9365211077689</v>
      </c>
      <c r="AB124" s="26">
        <v>21.362929156726501</v>
      </c>
      <c r="AC124" s="26">
        <v>13.668015074508199</v>
      </c>
      <c r="AD124" s="26">
        <v>26.921826919752402</v>
      </c>
      <c r="AE124" s="26">
        <v>25.955122221069701</v>
      </c>
      <c r="AF124" s="137">
        <v>21.121598727656199</v>
      </c>
    </row>
    <row r="125" spans="1:33">
      <c r="A125" s="122"/>
      <c r="AF125" s="137"/>
    </row>
    <row r="126" spans="1:33">
      <c r="A126" s="122"/>
      <c r="B126" s="202" t="s">
        <v>6</v>
      </c>
      <c r="C126" s="202"/>
      <c r="D126" s="202"/>
      <c r="E126" s="202"/>
      <c r="F126" s="202"/>
      <c r="G126" s="202"/>
      <c r="H126" s="202"/>
      <c r="I126" s="202"/>
      <c r="J126" s="202"/>
      <c r="M126" s="202" t="s">
        <v>6</v>
      </c>
      <c r="N126" s="202"/>
      <c r="O126" s="202"/>
      <c r="P126" s="202"/>
      <c r="Q126" s="202"/>
      <c r="R126" s="202"/>
      <c r="S126" s="202"/>
      <c r="T126" s="202"/>
      <c r="U126" s="202"/>
      <c r="X126" s="202" t="s">
        <v>6</v>
      </c>
      <c r="Y126" s="202"/>
      <c r="Z126" s="202"/>
      <c r="AA126" s="202"/>
      <c r="AB126" s="202"/>
      <c r="AC126" s="202"/>
      <c r="AD126" s="202"/>
      <c r="AE126" s="202"/>
      <c r="AF126" s="229"/>
      <c r="AG126" s="21"/>
    </row>
    <row r="127" spans="1:33">
      <c r="A127" s="9" t="s">
        <v>75</v>
      </c>
      <c r="B127" s="193" t="s">
        <v>76</v>
      </c>
      <c r="C127" s="193"/>
      <c r="D127" s="193"/>
      <c r="E127" s="193" t="s">
        <v>77</v>
      </c>
      <c r="F127" s="193"/>
      <c r="G127" s="193"/>
      <c r="H127" s="193" t="s">
        <v>78</v>
      </c>
      <c r="I127" s="193"/>
      <c r="J127" s="193"/>
      <c r="L127" s="10" t="s">
        <v>75</v>
      </c>
      <c r="M127" s="193" t="s">
        <v>79</v>
      </c>
      <c r="N127" s="193"/>
      <c r="O127" s="193"/>
      <c r="P127" s="193" t="s">
        <v>80</v>
      </c>
      <c r="Q127" s="193"/>
      <c r="R127" s="193"/>
      <c r="S127" s="193" t="s">
        <v>81</v>
      </c>
      <c r="T127" s="193"/>
      <c r="U127" s="193"/>
      <c r="W127" s="10" t="s">
        <v>75</v>
      </c>
      <c r="X127" s="193" t="s">
        <v>82</v>
      </c>
      <c r="Y127" s="193"/>
      <c r="Z127" s="193"/>
      <c r="AA127" s="193" t="s">
        <v>83</v>
      </c>
      <c r="AB127" s="193"/>
      <c r="AC127" s="193"/>
      <c r="AD127" s="193" t="s">
        <v>84</v>
      </c>
      <c r="AE127" s="193"/>
      <c r="AF127" s="221"/>
      <c r="AG127" s="10"/>
    </row>
    <row r="128" spans="1:33">
      <c r="A128" s="96">
        <v>2000</v>
      </c>
      <c r="B128" s="26">
        <v>95.137306476335695</v>
      </c>
      <c r="C128" s="26">
        <v>93.064276266018794</v>
      </c>
      <c r="D128" s="26">
        <v>91.416233231500797</v>
      </c>
      <c r="E128" s="26">
        <v>95.106558836825897</v>
      </c>
      <c r="F128" s="26">
        <v>95.308549518160106</v>
      </c>
      <c r="G128" s="26">
        <v>96.043144113577497</v>
      </c>
      <c r="H128" s="26">
        <v>97.470017246077006</v>
      </c>
      <c r="I128" s="26">
        <v>99.170422597384004</v>
      </c>
      <c r="J128" s="26">
        <v>97.257523658177604</v>
      </c>
      <c r="L128" s="27">
        <v>2000</v>
      </c>
      <c r="M128" s="26">
        <v>83.472226549113699</v>
      </c>
      <c r="N128" s="26">
        <v>65.202965824480501</v>
      </c>
      <c r="O128" s="26">
        <v>84.8585625720427</v>
      </c>
      <c r="P128" s="26">
        <v>90.664039378173797</v>
      </c>
      <c r="Q128" s="26">
        <v>84.4699211813452</v>
      </c>
      <c r="R128" s="26">
        <v>97.945418860400594</v>
      </c>
      <c r="S128" s="26">
        <v>89.848593414125006</v>
      </c>
      <c r="T128" s="26">
        <v>83.184055578055407</v>
      </c>
      <c r="U128" s="26">
        <v>91.244275522601995</v>
      </c>
      <c r="W128" s="27">
        <v>2000</v>
      </c>
      <c r="X128" s="26">
        <v>81.122014902601805</v>
      </c>
      <c r="Y128" s="26">
        <v>77.2296764481694</v>
      </c>
      <c r="Z128" s="26">
        <v>78.694807782283704</v>
      </c>
      <c r="AA128" s="26">
        <v>85.928086031592898</v>
      </c>
      <c r="AB128" s="26">
        <v>86.751474524735798</v>
      </c>
      <c r="AC128" s="26">
        <v>84.324985371422301</v>
      </c>
      <c r="AD128" s="26">
        <v>88.081987045481995</v>
      </c>
      <c r="AE128" s="26">
        <v>87.708763864242002</v>
      </c>
      <c r="AF128" s="137">
        <v>86.478886385311398</v>
      </c>
    </row>
    <row r="129" spans="1:33">
      <c r="A129" s="96">
        <v>666.66669999999999</v>
      </c>
      <c r="B129" s="26">
        <v>80.991565709379998</v>
      </c>
      <c r="C129" s="26">
        <v>82.2153826482851</v>
      </c>
      <c r="D129" s="26">
        <v>80.299896036446597</v>
      </c>
      <c r="E129" s="26">
        <v>89.121728687090993</v>
      </c>
      <c r="F129" s="26">
        <v>88.056520858924699</v>
      </c>
      <c r="G129" s="26">
        <v>88.047692328768406</v>
      </c>
      <c r="H129" s="26">
        <v>96.300845864518607</v>
      </c>
      <c r="I129" s="26">
        <v>95.769459678732801</v>
      </c>
      <c r="J129" s="26">
        <v>95.981953266632303</v>
      </c>
      <c r="L129" s="27">
        <v>666.66669999999999</v>
      </c>
      <c r="M129" s="26">
        <v>67.9218978784386</v>
      </c>
      <c r="N129" s="26">
        <v>68.193713199788107</v>
      </c>
      <c r="O129" s="26">
        <v>73.981276675285798</v>
      </c>
      <c r="P129" s="26">
        <v>74.433004143431305</v>
      </c>
      <c r="Q129" s="26">
        <v>71.281036792423393</v>
      </c>
      <c r="R129" s="26">
        <v>86.217639178790606</v>
      </c>
      <c r="S129" s="26">
        <v>80.157481541481005</v>
      </c>
      <c r="T129" s="26">
        <v>82.547742920340198</v>
      </c>
      <c r="U129" s="26">
        <v>71.753014112589199</v>
      </c>
      <c r="W129" s="27">
        <v>666.66669999999999</v>
      </c>
      <c r="X129" s="26">
        <v>66.229943292572699</v>
      </c>
      <c r="Y129" s="26">
        <v>56.822780614412203</v>
      </c>
      <c r="Z129" s="26">
        <v>67.530420860291997</v>
      </c>
      <c r="AA129" s="26">
        <v>77.970857719282094</v>
      </c>
      <c r="AB129" s="26">
        <v>75.898086976916204</v>
      </c>
      <c r="AC129" s="26">
        <v>75.862547610186994</v>
      </c>
      <c r="AD129" s="26">
        <v>77.731535384405504</v>
      </c>
      <c r="AE129" s="26">
        <v>79.248599665188095</v>
      </c>
      <c r="AF129" s="137">
        <v>78.016448624076105</v>
      </c>
    </row>
    <row r="130" spans="1:33">
      <c r="A130" s="96">
        <v>222.22219999999999</v>
      </c>
      <c r="B130" s="26">
        <v>60.116810586929802</v>
      </c>
      <c r="C130" s="26">
        <v>64.326497311103694</v>
      </c>
      <c r="D130" s="26">
        <v>60.6498711491245</v>
      </c>
      <c r="E130" s="26">
        <v>81.237242393384093</v>
      </c>
      <c r="F130" s="26">
        <v>78.465845004497993</v>
      </c>
      <c r="G130" s="26">
        <v>78.292470938153102</v>
      </c>
      <c r="H130" s="26">
        <v>85.295169728492297</v>
      </c>
      <c r="I130" s="26">
        <v>87.050220637145898</v>
      </c>
      <c r="J130" s="26">
        <v>87.901260501003904</v>
      </c>
      <c r="L130" s="27">
        <v>222.22219999999999</v>
      </c>
      <c r="M130" s="26">
        <v>49.936135082089798</v>
      </c>
      <c r="N130" s="26">
        <v>39.092339325212599</v>
      </c>
      <c r="O130" s="26">
        <v>46.608928627060003</v>
      </c>
      <c r="P130" s="26">
        <v>65.6484625689274</v>
      </c>
      <c r="Q130" s="26">
        <v>52.3450886320446</v>
      </c>
      <c r="R130" s="26">
        <v>60.133493255241603</v>
      </c>
      <c r="S130" s="26">
        <v>63.940465435060297</v>
      </c>
      <c r="T130" s="26">
        <v>74.719617433564906</v>
      </c>
      <c r="U130" s="26">
        <v>66.239602479827994</v>
      </c>
      <c r="W130" s="27">
        <v>222.22219999999999</v>
      </c>
      <c r="X130" s="26">
        <v>48.256716282175397</v>
      </c>
      <c r="Y130" s="26">
        <v>30.753159353973299</v>
      </c>
      <c r="Z130" s="26">
        <v>49.391463132992598</v>
      </c>
      <c r="AA130" s="26">
        <v>55.8178661302655</v>
      </c>
      <c r="AB130" s="26">
        <v>61.1003083668285</v>
      </c>
      <c r="AC130" s="26">
        <v>60.646313897567701</v>
      </c>
      <c r="AD130" s="26">
        <v>68.741272213599999</v>
      </c>
      <c r="AE130" s="26">
        <v>63.254209380717597</v>
      </c>
      <c r="AF130" s="137">
        <v>65.193438260222393</v>
      </c>
    </row>
    <row r="131" spans="1:33">
      <c r="A131" s="96">
        <v>74.074070000000006</v>
      </c>
      <c r="B131" s="26">
        <v>54.0561768506806</v>
      </c>
      <c r="C131" s="26">
        <v>52.5079875365509</v>
      </c>
      <c r="D131" s="26">
        <v>52.6000782390431</v>
      </c>
      <c r="E131" s="26">
        <v>63.234803892468499</v>
      </c>
      <c r="F131" s="26">
        <v>55.283951406552298</v>
      </c>
      <c r="G131" s="26">
        <v>61.561340779741897</v>
      </c>
      <c r="H131" s="26">
        <v>76.622052146170006</v>
      </c>
      <c r="I131" s="26">
        <v>75.025153700143505</v>
      </c>
      <c r="J131" s="26">
        <v>78.644546632144099</v>
      </c>
      <c r="L131" s="27">
        <v>74.074070000000006</v>
      </c>
      <c r="M131" s="26">
        <v>38.004299199351998</v>
      </c>
      <c r="N131" s="26">
        <v>32.461291629022703</v>
      </c>
      <c r="O131" s="26">
        <v>30.012617215489598</v>
      </c>
      <c r="P131" s="26">
        <v>47.524845010748002</v>
      </c>
      <c r="Q131" s="26">
        <v>43.371288825196999</v>
      </c>
      <c r="R131" s="26">
        <v>40.923393252126203</v>
      </c>
      <c r="S131" s="26">
        <v>58.404467428891898</v>
      </c>
      <c r="T131" s="26">
        <v>63.5712950559207</v>
      </c>
      <c r="U131" s="26">
        <v>59.861677933891997</v>
      </c>
      <c r="W131" s="27">
        <v>74.074070000000006</v>
      </c>
      <c r="X131" s="26">
        <v>29.7042095602093</v>
      </c>
      <c r="Y131" s="26">
        <v>28.953096412199201</v>
      </c>
      <c r="Z131" s="26">
        <v>29.3952444258837</v>
      </c>
      <c r="AA131" s="26">
        <v>47.968452529816602</v>
      </c>
      <c r="AB131" s="26">
        <v>47.212672596276398</v>
      </c>
      <c r="AC131" s="26">
        <v>40.954991845091399</v>
      </c>
      <c r="AD131" s="26">
        <v>53.712188566854103</v>
      </c>
      <c r="AE131" s="26">
        <v>52.956408633313899</v>
      </c>
      <c r="AF131" s="137">
        <v>59.369888224503498</v>
      </c>
    </row>
    <row r="132" spans="1:33">
      <c r="A132" s="96">
        <v>24.69136</v>
      </c>
      <c r="B132" s="26">
        <v>43.4556998056201</v>
      </c>
      <c r="C132" s="26">
        <v>36.645706518347403</v>
      </c>
      <c r="D132" s="26">
        <v>37.393087260887597</v>
      </c>
      <c r="E132" s="26">
        <v>44.7641488611957</v>
      </c>
      <c r="F132" s="26">
        <v>44.924432348343402</v>
      </c>
      <c r="G132" s="26">
        <v>39.770245113484698</v>
      </c>
      <c r="H132" s="26">
        <v>59.7079583110717</v>
      </c>
      <c r="I132" s="26">
        <v>67.016154688025594</v>
      </c>
      <c r="J132" s="26">
        <v>54.194084580363203</v>
      </c>
      <c r="L132" s="27">
        <v>24.69136</v>
      </c>
      <c r="M132" s="26">
        <v>24.298264743450002</v>
      </c>
      <c r="N132" s="26">
        <v>14.435807969095601</v>
      </c>
      <c r="O132" s="26">
        <v>20.1493816006729</v>
      </c>
      <c r="P132" s="26">
        <v>45.0769494376772</v>
      </c>
      <c r="Q132" s="26">
        <v>41.912520639272302</v>
      </c>
      <c r="R132" s="26">
        <v>25.046730427739199</v>
      </c>
      <c r="S132" s="26">
        <v>43.272376086482403</v>
      </c>
      <c r="T132" s="26">
        <v>50.528832673915097</v>
      </c>
      <c r="U132" s="26">
        <v>50.144864325991499</v>
      </c>
      <c r="W132" s="27">
        <v>24.69136</v>
      </c>
      <c r="X132" s="26">
        <v>4.4655154464617999</v>
      </c>
      <c r="Y132" s="26">
        <v>25.945771952140301</v>
      </c>
      <c r="Z132" s="26">
        <v>22.495102866722601</v>
      </c>
      <c r="AA132" s="26">
        <v>32.086663403905497</v>
      </c>
      <c r="AB132" s="26">
        <v>31.5400511910474</v>
      </c>
      <c r="AC132" s="26">
        <v>17.064400443703601</v>
      </c>
      <c r="AD132" s="26">
        <v>45.010069487239903</v>
      </c>
      <c r="AE132" s="26">
        <v>46.856680623147497</v>
      </c>
      <c r="AF132" s="137">
        <v>41.953923270866198</v>
      </c>
    </row>
    <row r="133" spans="1:33">
      <c r="A133" s="96">
        <v>8.2304530000000007</v>
      </c>
      <c r="B133" s="26">
        <v>24.7337360969677</v>
      </c>
      <c r="C133" s="26">
        <v>26.978009349109001</v>
      </c>
      <c r="D133" s="26">
        <v>29.863112117766502</v>
      </c>
      <c r="E133" s="26">
        <v>32.097034679379703</v>
      </c>
      <c r="F133" s="26">
        <v>37.2965822933173</v>
      </c>
      <c r="G133" s="26">
        <v>29.369475509200701</v>
      </c>
      <c r="H133" s="26">
        <v>46.510827887804602</v>
      </c>
      <c r="I133" s="26">
        <v>52.769646904458597</v>
      </c>
      <c r="J133" s="26">
        <v>41.313867946499101</v>
      </c>
      <c r="L133" s="27">
        <v>8.2304530000000007</v>
      </c>
      <c r="M133" s="26">
        <v>7.6326365307330404</v>
      </c>
      <c r="N133" s="26">
        <v>23.922084800149499</v>
      </c>
      <c r="O133" s="26">
        <v>8.8896850369170402</v>
      </c>
      <c r="P133" s="26">
        <v>18.583133430947999</v>
      </c>
      <c r="Q133" s="26">
        <v>42.084644381444903</v>
      </c>
      <c r="R133" s="26">
        <v>-8.9294059004953397</v>
      </c>
      <c r="S133" s="26">
        <v>42.728745443783303</v>
      </c>
      <c r="T133" s="26">
        <v>40.280849870712501</v>
      </c>
      <c r="U133" s="26">
        <v>30.316364995794299</v>
      </c>
      <c r="W133" s="27">
        <v>8.2304530000000007</v>
      </c>
      <c r="X133" s="26">
        <v>1.5980748911382501</v>
      </c>
      <c r="Y133" s="26">
        <v>8.0908898363394197</v>
      </c>
      <c r="Z133" s="26">
        <v>19.422323748075002</v>
      </c>
      <c r="AA133" s="26">
        <v>20.600986247342</v>
      </c>
      <c r="AB133" s="26">
        <v>14.4952751788037</v>
      </c>
      <c r="AC133" s="26">
        <v>10.1980033337601</v>
      </c>
      <c r="AD133" s="26">
        <v>33.524392330676498</v>
      </c>
      <c r="AE133" s="26">
        <v>27.418681262138101</v>
      </c>
      <c r="AF133" s="137">
        <v>35.0875261609227</v>
      </c>
    </row>
    <row r="134" spans="1:33">
      <c r="A134" s="96">
        <v>2.743484</v>
      </c>
      <c r="B134" s="26">
        <v>16.661567429421201</v>
      </c>
      <c r="C134" s="26">
        <v>22.007851303197601</v>
      </c>
      <c r="D134" s="26">
        <v>21.045693732200199</v>
      </c>
      <c r="E134" s="26">
        <v>23.718302912958301</v>
      </c>
      <c r="F134" s="26">
        <v>20.6715467128186</v>
      </c>
      <c r="G134" s="26">
        <v>9.9754779964107492</v>
      </c>
      <c r="H134" s="26">
        <v>29.524431435047099</v>
      </c>
      <c r="I134" s="26">
        <v>32.909107237720399</v>
      </c>
      <c r="J134" s="26">
        <v>34.337045882480098</v>
      </c>
      <c r="L134" s="27">
        <v>2.743484</v>
      </c>
      <c r="M134" s="26">
        <v>14.876631670768599</v>
      </c>
      <c r="N134" s="26">
        <v>9.8094956229166002</v>
      </c>
      <c r="O134" s="26">
        <v>15.9654506370915</v>
      </c>
      <c r="P134" s="26">
        <v>21.200037384342199</v>
      </c>
      <c r="Q134" s="26">
        <v>13.177201781987</v>
      </c>
      <c r="R134" s="26">
        <v>-0.97199289697498403</v>
      </c>
      <c r="S134" s="26">
        <v>11.442724072401001</v>
      </c>
      <c r="T134" s="26">
        <v>36.440387551014098</v>
      </c>
      <c r="U134" s="26">
        <v>11.673260849247599</v>
      </c>
      <c r="W134" s="27">
        <v>2.743484</v>
      </c>
      <c r="X134" s="26">
        <v>1.0497874219360499</v>
      </c>
      <c r="Y134" s="26">
        <v>13.821343483791299</v>
      </c>
      <c r="Z134" s="26">
        <v>18.3275437271821</v>
      </c>
      <c r="AA134" s="26">
        <v>18.032818271781601</v>
      </c>
      <c r="AB134" s="26">
        <v>15.0428446810013</v>
      </c>
      <c r="AC134" s="26">
        <v>7.1636354498601804</v>
      </c>
      <c r="AD134" s="26">
        <v>20.186719285670701</v>
      </c>
      <c r="AE134" s="26">
        <v>14.8035223461247</v>
      </c>
      <c r="AF134" s="137">
        <v>9.3175364637492493</v>
      </c>
    </row>
    <row r="135" spans="1:33">
      <c r="A135" s="96">
        <v>0.91449499999999995</v>
      </c>
      <c r="B135" s="26">
        <v>4.5704387322839599</v>
      </c>
      <c r="C135" s="26">
        <v>14.0410161333778</v>
      </c>
      <c r="D135" s="26">
        <v>11.0454045217296</v>
      </c>
      <c r="E135" s="26">
        <v>14.094443962427</v>
      </c>
      <c r="F135" s="26">
        <v>14.9502025234375</v>
      </c>
      <c r="G135" s="26">
        <v>-0.78315151127692495</v>
      </c>
      <c r="H135" s="26">
        <v>14.7541482675532</v>
      </c>
      <c r="I135" s="26">
        <v>13.8437441491961</v>
      </c>
      <c r="J135" s="26">
        <v>16.681659946328601</v>
      </c>
      <c r="L135" s="27">
        <v>0.91449499999999995</v>
      </c>
      <c r="M135" s="26">
        <v>7.0453908221439896</v>
      </c>
      <c r="N135" s="26">
        <v>1.87311131187887</v>
      </c>
      <c r="O135" s="26">
        <v>17.1173556808623</v>
      </c>
      <c r="P135" s="26">
        <v>-4.1169506838219299</v>
      </c>
      <c r="Q135" s="26">
        <v>10.0400323997632</v>
      </c>
      <c r="R135" s="26">
        <v>14.123492943705401</v>
      </c>
      <c r="S135" s="26">
        <v>-2.75553755568709</v>
      </c>
      <c r="T135" s="26">
        <v>30.997850400324001</v>
      </c>
      <c r="U135" s="26">
        <v>10.5844418829247</v>
      </c>
      <c r="W135" s="27">
        <v>0.91449499999999995</v>
      </c>
      <c r="X135" s="26">
        <v>0.45925956062812501</v>
      </c>
      <c r="Y135" s="26">
        <v>11.7570686843135</v>
      </c>
      <c r="Z135" s="26">
        <v>18.243421926473001</v>
      </c>
      <c r="AA135" s="26">
        <v>17.148641905580199</v>
      </c>
      <c r="AB135" s="26">
        <v>9.8609178250864904</v>
      </c>
      <c r="AC135" s="26">
        <v>7.6693235434543601</v>
      </c>
      <c r="AD135" s="26">
        <v>16.909319570703602</v>
      </c>
      <c r="AE135" s="26">
        <v>12.0148188389756</v>
      </c>
      <c r="AF135" s="137">
        <v>13.4130595804919</v>
      </c>
    </row>
    <row r="136" spans="1:33">
      <c r="A136" s="122"/>
      <c r="AF136" s="137"/>
    </row>
    <row r="137" spans="1:33">
      <c r="A137" s="122"/>
      <c r="B137" s="202" t="s">
        <v>7</v>
      </c>
      <c r="C137" s="202"/>
      <c r="D137" s="202"/>
      <c r="E137" s="202"/>
      <c r="F137" s="202"/>
      <c r="G137" s="202"/>
      <c r="H137" s="202"/>
      <c r="I137" s="202"/>
      <c r="J137" s="202"/>
      <c r="M137" s="202" t="s">
        <v>7</v>
      </c>
      <c r="N137" s="202"/>
      <c r="O137" s="202"/>
      <c r="P137" s="202"/>
      <c r="Q137" s="202"/>
      <c r="R137" s="202"/>
      <c r="S137" s="202"/>
      <c r="T137" s="202"/>
      <c r="U137" s="202"/>
      <c r="X137" s="202" t="s">
        <v>7</v>
      </c>
      <c r="Y137" s="202"/>
      <c r="Z137" s="202"/>
      <c r="AA137" s="202"/>
      <c r="AB137" s="202"/>
      <c r="AC137" s="202"/>
      <c r="AD137" s="202"/>
      <c r="AE137" s="202"/>
      <c r="AF137" s="229"/>
      <c r="AG137" s="21"/>
    </row>
    <row r="138" spans="1:33">
      <c r="A138" s="9" t="s">
        <v>75</v>
      </c>
      <c r="B138" s="193" t="s">
        <v>76</v>
      </c>
      <c r="C138" s="193"/>
      <c r="D138" s="193"/>
      <c r="E138" s="193" t="s">
        <v>77</v>
      </c>
      <c r="F138" s="193"/>
      <c r="G138" s="193"/>
      <c r="H138" s="193" t="s">
        <v>78</v>
      </c>
      <c r="I138" s="193"/>
      <c r="J138" s="193"/>
      <c r="L138" s="10" t="s">
        <v>75</v>
      </c>
      <c r="M138" s="193" t="s">
        <v>79</v>
      </c>
      <c r="N138" s="193"/>
      <c r="O138" s="193"/>
      <c r="P138" s="193" t="s">
        <v>80</v>
      </c>
      <c r="Q138" s="193"/>
      <c r="R138" s="193"/>
      <c r="S138" s="193" t="s">
        <v>81</v>
      </c>
      <c r="T138" s="193"/>
      <c r="U138" s="193"/>
      <c r="W138" s="10" t="s">
        <v>75</v>
      </c>
      <c r="X138" s="193" t="s">
        <v>82</v>
      </c>
      <c r="Y138" s="193"/>
      <c r="Z138" s="193"/>
      <c r="AA138" s="193" t="s">
        <v>83</v>
      </c>
      <c r="AB138" s="193"/>
      <c r="AC138" s="193"/>
      <c r="AD138" s="193" t="s">
        <v>84</v>
      </c>
      <c r="AE138" s="193"/>
      <c r="AF138" s="221"/>
      <c r="AG138" s="10"/>
    </row>
    <row r="139" spans="1:33">
      <c r="A139" s="96">
        <v>2000</v>
      </c>
      <c r="B139" s="26">
        <v>78.793803864991105</v>
      </c>
      <c r="C139" s="26">
        <v>87.394168343521002</v>
      </c>
      <c r="D139" s="26">
        <v>84.680511788602502</v>
      </c>
      <c r="E139" s="26">
        <v>81.284407152891106</v>
      </c>
      <c r="F139" s="26">
        <v>80.350430919928598</v>
      </c>
      <c r="G139" s="26">
        <v>80.411177341584704</v>
      </c>
      <c r="H139" s="26">
        <v>91.190819697027194</v>
      </c>
      <c r="I139" s="26">
        <v>87.214776567067801</v>
      </c>
      <c r="J139" s="26">
        <v>85.889745244694197</v>
      </c>
      <c r="L139" s="27">
        <v>2000</v>
      </c>
      <c r="M139" s="26">
        <v>83.700587708241599</v>
      </c>
      <c r="N139" s="26">
        <v>82.639827484092393</v>
      </c>
      <c r="O139" s="26">
        <v>92.186416397110605</v>
      </c>
      <c r="P139" s="26">
        <v>81.136640900646398</v>
      </c>
      <c r="Q139" s="26">
        <v>90.595655717373603</v>
      </c>
      <c r="R139" s="26">
        <v>88.297721554870506</v>
      </c>
      <c r="S139" s="26">
        <v>82.655266847889393</v>
      </c>
      <c r="T139" s="26">
        <v>92.114281664616499</v>
      </c>
      <c r="U139" s="26">
        <v>89.816347502113402</v>
      </c>
      <c r="W139" s="27">
        <v>2000</v>
      </c>
      <c r="X139" s="26">
        <v>67.799712527512</v>
      </c>
      <c r="Y139" s="26">
        <v>74.857386695413894</v>
      </c>
      <c r="Z139" s="26">
        <v>74.212819476261103</v>
      </c>
      <c r="AA139" s="26">
        <v>73.932084624713596</v>
      </c>
      <c r="AB139" s="26">
        <v>76.033104253694503</v>
      </c>
      <c r="AC139" s="26">
        <v>73.148272919193303</v>
      </c>
      <c r="AD139" s="26">
        <v>84.911063199029797</v>
      </c>
      <c r="AE139" s="26">
        <v>87.402865741364593</v>
      </c>
      <c r="AF139" s="137">
        <v>78.524906796029299</v>
      </c>
    </row>
    <row r="140" spans="1:33">
      <c r="A140" s="96">
        <v>666.66669999999999</v>
      </c>
      <c r="B140" s="26">
        <v>60.002277990812097</v>
      </c>
      <c r="C140" s="26">
        <v>69.108546262196697</v>
      </c>
      <c r="D140" s="26">
        <v>70.111811382360798</v>
      </c>
      <c r="E140" s="26">
        <v>68.493488742928704</v>
      </c>
      <c r="F140" s="26">
        <v>67.619309768783907</v>
      </c>
      <c r="G140" s="26">
        <v>67.483579482896104</v>
      </c>
      <c r="H140" s="26">
        <v>87.214776567067801</v>
      </c>
      <c r="I140" s="26">
        <v>84.895971752913894</v>
      </c>
      <c r="J140" s="26">
        <v>82.907475606515106</v>
      </c>
      <c r="L140" s="27">
        <v>666.66669999999999</v>
      </c>
      <c r="M140" s="26">
        <v>44.675444324641703</v>
      </c>
      <c r="N140" s="26">
        <v>50.697555518433603</v>
      </c>
      <c r="O140" s="26">
        <v>74.238535639619897</v>
      </c>
      <c r="P140" s="26">
        <v>80.429214313555804</v>
      </c>
      <c r="Q140" s="26">
        <v>86.165317620616904</v>
      </c>
      <c r="R140" s="26">
        <v>90.6629814677014</v>
      </c>
      <c r="S140" s="26">
        <v>87.009926751608504</v>
      </c>
      <c r="T140" s="26">
        <v>87.683943567859799</v>
      </c>
      <c r="U140" s="26">
        <v>98.762319852996995</v>
      </c>
      <c r="W140" s="27">
        <v>666.66669999999999</v>
      </c>
      <c r="X140" s="26">
        <v>49.120738444953503</v>
      </c>
      <c r="Y140" s="26">
        <v>58.6713380945964</v>
      </c>
      <c r="Z140" s="26">
        <v>45.3409244037192</v>
      </c>
      <c r="AA140" s="26">
        <v>59.9582266540897</v>
      </c>
      <c r="AB140" s="26">
        <v>73.288640344967007</v>
      </c>
      <c r="AC140" s="26">
        <v>63.094596415577399</v>
      </c>
      <c r="AD140" s="26">
        <v>84.518034406863407</v>
      </c>
      <c r="AE140" s="26">
        <v>85.0503076853973</v>
      </c>
      <c r="AF140" s="137">
        <v>70.6845438620132</v>
      </c>
    </row>
    <row r="141" spans="1:33">
      <c r="A141" s="96">
        <v>222.22219999999999</v>
      </c>
      <c r="B141" s="26">
        <v>51.272827366263002</v>
      </c>
      <c r="C141" s="26">
        <v>54.918561828467297</v>
      </c>
      <c r="D141" s="26">
        <v>49.642165609932</v>
      </c>
      <c r="E141" s="26">
        <v>64.078932381639405</v>
      </c>
      <c r="F141" s="26">
        <v>69.819469228140804</v>
      </c>
      <c r="G141" s="26">
        <v>57.675879873951203</v>
      </c>
      <c r="H141" s="26">
        <v>82.907475606515106</v>
      </c>
      <c r="I141" s="26">
        <v>81.913702114734804</v>
      </c>
      <c r="J141" s="26">
        <v>82.244959945328205</v>
      </c>
      <c r="L141" s="27">
        <v>222.22219999999999</v>
      </c>
      <c r="M141" s="26">
        <v>22.6981427204665</v>
      </c>
      <c r="N141" s="26">
        <v>41.132236885399401</v>
      </c>
      <c r="O141" s="26">
        <v>57.603253909196297</v>
      </c>
      <c r="P141" s="26">
        <v>76.028742527094806</v>
      </c>
      <c r="Q141" s="26">
        <v>80.676750342956396</v>
      </c>
      <c r="R141" s="26">
        <v>82.523399494803797</v>
      </c>
      <c r="S141" s="26">
        <v>80.078411719742604</v>
      </c>
      <c r="T141" s="26">
        <v>87.257462781009096</v>
      </c>
      <c r="U141" s="26">
        <v>84.042025442046693</v>
      </c>
      <c r="W141" s="27">
        <v>222.22219999999999</v>
      </c>
      <c r="X141" s="26">
        <v>42.311233885819497</v>
      </c>
      <c r="Y141" s="26">
        <v>49.3700309931276</v>
      </c>
      <c r="Z141" s="26">
        <v>42.2045546422315</v>
      </c>
      <c r="AA141" s="26">
        <v>49.904550150473902</v>
      </c>
      <c r="AB141" s="26">
        <v>53.291335399541801</v>
      </c>
      <c r="AC141" s="26">
        <v>51.578852805102599</v>
      </c>
      <c r="AD141" s="26">
        <v>69.760364730719104</v>
      </c>
      <c r="AE141" s="26">
        <v>69.331401877554697</v>
      </c>
      <c r="AF141" s="137">
        <v>62.310784710057</v>
      </c>
    </row>
    <row r="142" spans="1:33">
      <c r="A142" s="96">
        <v>74.074070000000006</v>
      </c>
      <c r="B142" s="26">
        <v>38.918523861953801</v>
      </c>
      <c r="C142" s="26">
        <v>46.632370249440001</v>
      </c>
      <c r="D142" s="26">
        <v>51.272827366263002</v>
      </c>
      <c r="E142" s="26">
        <v>53.035422757128202</v>
      </c>
      <c r="F142" s="26">
        <v>54.239910399028098</v>
      </c>
      <c r="G142" s="26">
        <v>53.035422757128202</v>
      </c>
      <c r="H142" s="26">
        <v>76.942936330156797</v>
      </c>
      <c r="I142" s="26">
        <v>77.274194160750199</v>
      </c>
      <c r="J142" s="26">
        <v>62.693154637609602</v>
      </c>
      <c r="L142" s="27">
        <v>74.074070000000006</v>
      </c>
      <c r="M142" s="26">
        <v>23.584767169331901</v>
      </c>
      <c r="N142" s="26">
        <v>29.9672989212694</v>
      </c>
      <c r="O142" s="26">
        <v>40.4235447766861</v>
      </c>
      <c r="P142" s="26">
        <v>60.0616562134581</v>
      </c>
      <c r="Q142" s="26">
        <v>66.326494454484205</v>
      </c>
      <c r="R142" s="26">
        <v>56.350893711369999</v>
      </c>
      <c r="S142" s="26">
        <v>71.704455142320597</v>
      </c>
      <c r="T142" s="26">
        <v>72.907206892537005</v>
      </c>
      <c r="U142" s="26">
        <v>70.524735885637298</v>
      </c>
      <c r="W142" s="27">
        <v>74.074070000000006</v>
      </c>
      <c r="X142" s="26">
        <v>30.543951848358301</v>
      </c>
      <c r="Y142" s="26">
        <v>23.6288909850424</v>
      </c>
      <c r="Z142" s="26">
        <v>30.832547275749</v>
      </c>
      <c r="AA142" s="26">
        <v>40.742487535372597</v>
      </c>
      <c r="AB142" s="26">
        <v>49.3700309931276</v>
      </c>
      <c r="AC142" s="26">
        <v>37.891344383057103</v>
      </c>
      <c r="AD142" s="26">
        <v>60.350132506849903</v>
      </c>
      <c r="AE142" s="26">
        <v>41.4207429367111</v>
      </c>
      <c r="AF142" s="137">
        <v>54.179580469837902</v>
      </c>
    </row>
    <row r="143" spans="1:33">
      <c r="A143" s="96">
        <v>24.69136</v>
      </c>
      <c r="B143" s="26">
        <v>22.761874027108099</v>
      </c>
      <c r="C143" s="26">
        <v>24.088803675158498</v>
      </c>
      <c r="D143" s="26">
        <v>28.3116291430958</v>
      </c>
      <c r="E143" s="26">
        <v>44.207259197387899</v>
      </c>
      <c r="F143" s="26">
        <v>44.207259197387899</v>
      </c>
      <c r="G143" s="26">
        <v>35.167432324689599</v>
      </c>
      <c r="H143" s="26">
        <v>51.7550020881582</v>
      </c>
      <c r="I143" s="26">
        <v>50.097763772352799</v>
      </c>
      <c r="J143" s="26">
        <v>56.395459204981201</v>
      </c>
      <c r="L143" s="27">
        <v>24.69136</v>
      </c>
      <c r="M143" s="26">
        <v>1.64694983978496</v>
      </c>
      <c r="N143" s="26">
        <v>10.813629161667899</v>
      </c>
      <c r="O143" s="26">
        <v>23.673353682921</v>
      </c>
      <c r="P143" s="26">
        <v>30.764830647896499</v>
      </c>
      <c r="Q143" s="26">
        <v>34.398396330999702</v>
      </c>
      <c r="R143" s="26">
        <v>32.131594000415099</v>
      </c>
      <c r="S143" s="26">
        <v>65.187018785402998</v>
      </c>
      <c r="T143" s="26">
        <v>61.227454732291598</v>
      </c>
      <c r="U143" s="26">
        <v>58.960652401706902</v>
      </c>
      <c r="W143" s="27">
        <v>24.69136</v>
      </c>
      <c r="X143" s="26">
        <v>25.837712797017499</v>
      </c>
      <c r="Y143" s="26">
        <v>3.6686430400215602</v>
      </c>
      <c r="Z143" s="26">
        <v>28.5832996451512</v>
      </c>
      <c r="AA143" s="26">
        <v>33.289538696491903</v>
      </c>
      <c r="AB143" s="26">
        <v>37.107532677536703</v>
      </c>
      <c r="AC143" s="26">
        <v>38.586443875488499</v>
      </c>
      <c r="AD143" s="26">
        <v>54.076270044468401</v>
      </c>
      <c r="AE143" s="26">
        <v>27.159412478102698</v>
      </c>
      <c r="AF143" s="137">
        <v>37.850918564434302</v>
      </c>
    </row>
    <row r="144" spans="1:33">
      <c r="A144" s="96">
        <v>8.2304530000000007</v>
      </c>
      <c r="B144" s="26">
        <v>11.156460002277999</v>
      </c>
      <c r="C144" s="26">
        <v>-5.0951061164053302</v>
      </c>
      <c r="D144" s="26">
        <v>11.9803333459888</v>
      </c>
      <c r="E144" s="26">
        <v>29.9109685257603</v>
      </c>
      <c r="F144" s="26">
        <v>21.1236189680702</v>
      </c>
      <c r="G144" s="26">
        <v>24.107786931926</v>
      </c>
      <c r="H144" s="26">
        <v>33.852841793538097</v>
      </c>
      <c r="I144" s="26">
        <v>40.152435551843297</v>
      </c>
      <c r="J144" s="26">
        <v>40.152435551843297</v>
      </c>
      <c r="L144" s="27">
        <v>8.2304530000000007</v>
      </c>
      <c r="M144" s="26">
        <v>-1.34347775466092</v>
      </c>
      <c r="N144" s="26">
        <v>15.6036285035966</v>
      </c>
      <c r="O144" s="26">
        <v>6.0696948068054697</v>
      </c>
      <c r="P144" s="26">
        <v>4.4047745599781303</v>
      </c>
      <c r="Q144" s="26">
        <v>2.4730823550851202</v>
      </c>
      <c r="R144" s="26">
        <v>12.499303963107501</v>
      </c>
      <c r="S144" s="26">
        <v>38.826962697484703</v>
      </c>
      <c r="T144" s="26">
        <v>31.833184001781898</v>
      </c>
      <c r="U144" s="26">
        <v>31.735232628184701</v>
      </c>
      <c r="W144" s="27">
        <v>8.2304530000000007</v>
      </c>
      <c r="X144" s="26">
        <v>14.461213672910199</v>
      </c>
      <c r="Y144" s="26">
        <v>-10.3523783856623</v>
      </c>
      <c r="Z144" s="26">
        <v>14.3612720657593</v>
      </c>
      <c r="AA144" s="26">
        <v>30.543951848358301</v>
      </c>
      <c r="AB144" s="26">
        <v>35.788078875263899</v>
      </c>
      <c r="AC144" s="26">
        <v>35.643219691865397</v>
      </c>
      <c r="AD144" s="26">
        <v>26.767506625342499</v>
      </c>
      <c r="AE144" s="26">
        <v>34.4663791941787</v>
      </c>
      <c r="AF144" s="137">
        <v>31.574810223240402</v>
      </c>
    </row>
    <row r="145" spans="1:33">
      <c r="A145" s="96">
        <v>2.743484</v>
      </c>
      <c r="B145" s="26">
        <v>18.657693913967901</v>
      </c>
      <c r="C145" s="26">
        <v>1.2063859675766</v>
      </c>
      <c r="D145" s="26">
        <v>16.1300732753711</v>
      </c>
      <c r="E145" s="26">
        <v>18.348266828657099</v>
      </c>
      <c r="F145" s="26">
        <v>17.3535441740385</v>
      </c>
      <c r="G145" s="26">
        <v>28.834617867041299</v>
      </c>
      <c r="H145" s="26">
        <v>24.901287064808798</v>
      </c>
      <c r="I145" s="26">
        <v>24.569080071377002</v>
      </c>
      <c r="J145" s="26">
        <v>11.9679942290899</v>
      </c>
      <c r="L145" s="27">
        <v>2.743484</v>
      </c>
      <c r="M145" s="26">
        <v>9.2167939781419097</v>
      </c>
      <c r="N145" s="26">
        <v>8.7677869064070801</v>
      </c>
      <c r="O145" s="26">
        <v>-2.1075997104486501</v>
      </c>
      <c r="P145" s="26">
        <v>1.76312472474905</v>
      </c>
      <c r="Q145" s="26">
        <v>19.860590138043101</v>
      </c>
      <c r="R145" s="26">
        <v>-1.87600925349411</v>
      </c>
      <c r="S145" s="26">
        <v>10.8748804082067</v>
      </c>
      <c r="T145" s="26">
        <v>21.379216085286</v>
      </c>
      <c r="U145" s="26">
        <v>7.2357464299635001</v>
      </c>
      <c r="W145" s="27">
        <v>2.743484</v>
      </c>
      <c r="X145" s="26">
        <v>5.04536675201006</v>
      </c>
      <c r="Y145" s="26">
        <v>7.3990477473835501</v>
      </c>
      <c r="Z145" s="26">
        <v>-0.39864348919732301</v>
      </c>
      <c r="AA145" s="26">
        <v>12.891344383057101</v>
      </c>
      <c r="AB145" s="26">
        <v>25.837712797017499</v>
      </c>
      <c r="AC145" s="26">
        <v>17.206800521043899</v>
      </c>
      <c r="AD145" s="26">
        <v>31.718546467232599</v>
      </c>
      <c r="AE145" s="26">
        <v>27.551318330862902</v>
      </c>
      <c r="AF145" s="137">
        <v>27.013430355297999</v>
      </c>
    </row>
    <row r="146" spans="1:33">
      <c r="A146" s="96">
        <v>0.91449499999999995</v>
      </c>
      <c r="B146" s="26">
        <v>-0.57898933140969699</v>
      </c>
      <c r="C146" s="26">
        <v>10.0345495273169</v>
      </c>
      <c r="D146" s="26">
        <v>15.0100611260868</v>
      </c>
      <c r="E146" s="26">
        <v>1.0791981472341401</v>
      </c>
      <c r="F146" s="26">
        <v>10.3667565207487</v>
      </c>
      <c r="G146" s="26">
        <v>7.7128972246478602</v>
      </c>
      <c r="H146" s="26">
        <v>7.7128972246478602</v>
      </c>
      <c r="I146" s="26">
        <v>3.4008504499031802</v>
      </c>
      <c r="J146" s="26">
        <v>10.3667565207487</v>
      </c>
      <c r="L146" s="27">
        <v>0.91449499999999995</v>
      </c>
      <c r="M146" s="26">
        <v>-2.6069745427670401E-2</v>
      </c>
      <c r="N146" s="26">
        <v>5.3126597721048698</v>
      </c>
      <c r="O146" s="26">
        <v>-0.68819065842559002</v>
      </c>
      <c r="P146" s="26">
        <v>5.1352336406019798</v>
      </c>
      <c r="Q146" s="26">
        <v>14.5393248189039</v>
      </c>
      <c r="R146" s="26">
        <v>10.192764253569999</v>
      </c>
      <c r="S146" s="26">
        <v>6.65385958784492</v>
      </c>
      <c r="T146" s="26">
        <v>16.057950766146799</v>
      </c>
      <c r="U146" s="26">
        <v>11.711390200813</v>
      </c>
      <c r="W146" s="27">
        <v>0.91449499999999995</v>
      </c>
      <c r="X146" s="26">
        <v>-3.6506760095225301</v>
      </c>
      <c r="Y146" s="26">
        <v>2.2986569644702</v>
      </c>
      <c r="Z146" s="26">
        <v>5.04536675201006</v>
      </c>
      <c r="AA146" s="26">
        <v>17.206800521043899</v>
      </c>
      <c r="AB146" s="26">
        <v>28.190270852984799</v>
      </c>
      <c r="AC146" s="26">
        <v>17.598706373804099</v>
      </c>
      <c r="AD146" s="26">
        <v>26.229618649777699</v>
      </c>
      <c r="AE146" s="26">
        <v>13.2843731752235</v>
      </c>
      <c r="AF146" s="137">
        <v>23.484031801644001</v>
      </c>
    </row>
    <row r="147" spans="1:33">
      <c r="A147" s="122"/>
      <c r="AF147" s="137"/>
    </row>
    <row r="148" spans="1:33">
      <c r="A148" s="122"/>
      <c r="B148" s="202" t="s">
        <v>8</v>
      </c>
      <c r="C148" s="202"/>
      <c r="D148" s="202"/>
      <c r="E148" s="202"/>
      <c r="F148" s="202"/>
      <c r="G148" s="202"/>
      <c r="H148" s="202"/>
      <c r="I148" s="202"/>
      <c r="J148" s="202"/>
      <c r="M148" s="202" t="s">
        <v>8</v>
      </c>
      <c r="N148" s="202"/>
      <c r="O148" s="202"/>
      <c r="P148" s="202"/>
      <c r="Q148" s="202"/>
      <c r="R148" s="202"/>
      <c r="S148" s="202"/>
      <c r="T148" s="202"/>
      <c r="U148" s="202"/>
      <c r="X148" s="202" t="s">
        <v>8</v>
      </c>
      <c r="Y148" s="202"/>
      <c r="Z148" s="202"/>
      <c r="AA148" s="202"/>
      <c r="AB148" s="202"/>
      <c r="AC148" s="202"/>
      <c r="AD148" s="202"/>
      <c r="AE148" s="202"/>
      <c r="AF148" s="229"/>
      <c r="AG148" s="21"/>
    </row>
    <row r="149" spans="1:33">
      <c r="A149" s="9" t="s">
        <v>75</v>
      </c>
      <c r="B149" s="193" t="s">
        <v>76</v>
      </c>
      <c r="C149" s="193"/>
      <c r="D149" s="193"/>
      <c r="E149" s="193" t="s">
        <v>77</v>
      </c>
      <c r="F149" s="193"/>
      <c r="G149" s="193"/>
      <c r="H149" s="193" t="s">
        <v>78</v>
      </c>
      <c r="I149" s="193"/>
      <c r="J149" s="193"/>
      <c r="L149" s="10" t="s">
        <v>75</v>
      </c>
      <c r="M149" s="193" t="s">
        <v>79</v>
      </c>
      <c r="N149" s="193"/>
      <c r="O149" s="193"/>
      <c r="P149" s="193" t="s">
        <v>80</v>
      </c>
      <c r="Q149" s="193"/>
      <c r="R149" s="193"/>
      <c r="S149" s="193" t="s">
        <v>81</v>
      </c>
      <c r="T149" s="193"/>
      <c r="U149" s="193"/>
      <c r="W149" s="10" t="s">
        <v>75</v>
      </c>
      <c r="X149" s="193" t="s">
        <v>82</v>
      </c>
      <c r="Y149" s="193"/>
      <c r="Z149" s="193"/>
      <c r="AA149" s="193" t="s">
        <v>83</v>
      </c>
      <c r="AB149" s="193"/>
      <c r="AC149" s="193"/>
      <c r="AD149" s="193" t="s">
        <v>84</v>
      </c>
      <c r="AE149" s="193"/>
      <c r="AF149" s="221"/>
      <c r="AG149" s="10"/>
    </row>
    <row r="150" spans="1:33">
      <c r="A150" s="96">
        <v>2000</v>
      </c>
      <c r="B150" s="26">
        <v>81.602930199454903</v>
      </c>
      <c r="C150" s="26">
        <v>86.343673511899595</v>
      </c>
      <c r="D150" s="26">
        <v>73.529258597045498</v>
      </c>
      <c r="E150" s="26">
        <v>90.199975697397903</v>
      </c>
      <c r="F150" s="26">
        <v>89.352856423698498</v>
      </c>
      <c r="G150" s="26">
        <v>86.321974760011798</v>
      </c>
      <c r="H150" s="26">
        <v>95.023174267016202</v>
      </c>
      <c r="I150" s="26">
        <v>93.811515961601899</v>
      </c>
      <c r="J150" s="26">
        <v>95.931917996076905</v>
      </c>
      <c r="L150" s="27">
        <v>2000</v>
      </c>
      <c r="M150" s="26">
        <v>80.699404388298106</v>
      </c>
      <c r="N150" s="26">
        <v>80.596172903138196</v>
      </c>
      <c r="O150" s="26">
        <v>77.033283662103699</v>
      </c>
      <c r="P150" s="26">
        <v>95.198480621574603</v>
      </c>
      <c r="Q150" s="26">
        <v>95.662653093474006</v>
      </c>
      <c r="R150" s="26">
        <v>94.785997734519299</v>
      </c>
      <c r="S150" s="26">
        <v>97.002299448102903</v>
      </c>
      <c r="T150" s="26">
        <v>97.466471920002206</v>
      </c>
      <c r="U150" s="26">
        <v>98.066661842305393</v>
      </c>
      <c r="W150" s="27">
        <v>2000</v>
      </c>
      <c r="X150" s="26">
        <v>69.359947301455506</v>
      </c>
      <c r="Y150" s="26">
        <v>70.679666844133195</v>
      </c>
      <c r="Z150" s="26">
        <v>62.016892410146298</v>
      </c>
      <c r="AA150" s="26">
        <v>73.698102310975599</v>
      </c>
      <c r="AB150" s="26">
        <v>72.4438047627212</v>
      </c>
      <c r="AC150" s="26">
        <v>71.976827078389107</v>
      </c>
      <c r="AD150" s="26">
        <v>89.620462195110903</v>
      </c>
      <c r="AE150" s="26">
        <v>89.160252303305398</v>
      </c>
      <c r="AF150" s="137">
        <v>87.150217922919396</v>
      </c>
    </row>
    <row r="151" spans="1:33">
      <c r="A151" s="96">
        <v>666.66669999999999</v>
      </c>
      <c r="B151" s="26">
        <v>79.873105698960202</v>
      </c>
      <c r="C151" s="26">
        <v>73.7410384154703</v>
      </c>
      <c r="D151" s="26">
        <v>70.273577863801293</v>
      </c>
      <c r="E151" s="26">
        <v>79.7637439894457</v>
      </c>
      <c r="F151" s="26">
        <v>82.078566840835293</v>
      </c>
      <c r="G151" s="26">
        <v>77.835158921658802</v>
      </c>
      <c r="H151" s="26">
        <v>87.751488534379504</v>
      </c>
      <c r="I151" s="26">
        <v>91.690245977051404</v>
      </c>
      <c r="J151" s="26">
        <v>92.902772232541196</v>
      </c>
      <c r="L151" s="27">
        <v>666.66669999999999</v>
      </c>
      <c r="M151" s="26">
        <v>51.029582687828899</v>
      </c>
      <c r="N151" s="26">
        <v>52.116245445778397</v>
      </c>
      <c r="O151" s="26">
        <v>54.134206838089</v>
      </c>
      <c r="P151" s="26">
        <v>75.793767417544004</v>
      </c>
      <c r="Q151" s="26">
        <v>90.195371862257602</v>
      </c>
      <c r="R151" s="26">
        <v>73.365981459684306</v>
      </c>
      <c r="S151" s="26">
        <v>89.560033022260498</v>
      </c>
      <c r="T151" s="26">
        <v>92.146875216911695</v>
      </c>
      <c r="U151" s="26">
        <v>88.609092345658595</v>
      </c>
      <c r="W151" s="27">
        <v>666.66669999999999</v>
      </c>
      <c r="X151" s="26">
        <v>56.0860502260443</v>
      </c>
      <c r="Y151" s="26">
        <v>55.621328472554303</v>
      </c>
      <c r="Z151" s="26">
        <v>55.436342143495203</v>
      </c>
      <c r="AA151" s="26">
        <v>63.032061289129103</v>
      </c>
      <c r="AB151" s="26">
        <v>66.142989920500995</v>
      </c>
      <c r="AC151" s="26">
        <v>62.524476849637701</v>
      </c>
      <c r="AD151" s="26">
        <v>74.2959239841543</v>
      </c>
      <c r="AE151" s="26">
        <v>71.466986708055501</v>
      </c>
      <c r="AF151" s="137">
        <v>78.126494554182898</v>
      </c>
    </row>
    <row r="152" spans="1:33">
      <c r="A152" s="96">
        <v>222.22219999999999</v>
      </c>
      <c r="B152" s="26">
        <v>71.387157810682695</v>
      </c>
      <c r="C152" s="26">
        <v>60.779071987779297</v>
      </c>
      <c r="D152" s="26">
        <v>68.271217039595896</v>
      </c>
      <c r="E152" s="26">
        <v>74.832051660388501</v>
      </c>
      <c r="F152" s="26">
        <v>67.144617841581706</v>
      </c>
      <c r="G152" s="26">
        <v>70.478414081622006</v>
      </c>
      <c r="H152" s="26">
        <v>83.812731091707604</v>
      </c>
      <c r="I152" s="26">
        <v>82.903119412571399</v>
      </c>
      <c r="J152" s="26">
        <v>86.842744805318802</v>
      </c>
      <c r="L152" s="27">
        <v>222.22219999999999</v>
      </c>
      <c r="M152" s="26">
        <v>13.765084128491401</v>
      </c>
      <c r="N152" s="26">
        <v>24.504998382854399</v>
      </c>
      <c r="O152" s="26">
        <v>24.712347460343</v>
      </c>
      <c r="P152" s="26">
        <v>46.8369666188661</v>
      </c>
      <c r="Q152" s="26">
        <v>66.0284233642831</v>
      </c>
      <c r="R152" s="26">
        <v>37.670631011683298</v>
      </c>
      <c r="S152" s="26">
        <v>76.848530317418394</v>
      </c>
      <c r="T152" s="26">
        <v>73.887307843968301</v>
      </c>
      <c r="U152" s="26">
        <v>73.5895758352668</v>
      </c>
      <c r="W152" s="27">
        <v>222.22219999999999</v>
      </c>
      <c r="X152" s="26">
        <v>52.828486089930401</v>
      </c>
      <c r="Y152" s="26">
        <v>39.683177072523698</v>
      </c>
      <c r="Z152" s="26">
        <v>27.363538743356301</v>
      </c>
      <c r="AA152" s="26">
        <v>44.409352186899397</v>
      </c>
      <c r="AB152" s="26">
        <v>56.514677086059301</v>
      </c>
      <c r="AC152" s="26">
        <v>40.472752867288101</v>
      </c>
      <c r="AD152" s="26">
        <v>59.733890397856001</v>
      </c>
      <c r="AE152" s="26">
        <v>77.208330701413999</v>
      </c>
      <c r="AF152" s="137">
        <v>65.608334310903402</v>
      </c>
    </row>
    <row r="153" spans="1:33">
      <c r="A153" s="96">
        <v>74.074070000000006</v>
      </c>
      <c r="B153" s="26">
        <v>32.584581734858602</v>
      </c>
      <c r="C153" s="26">
        <v>46.228756921901898</v>
      </c>
      <c r="D153" s="26">
        <v>60.779071987779297</v>
      </c>
      <c r="E153" s="26">
        <v>62.790112312739801</v>
      </c>
      <c r="F153" s="26">
        <v>55.020223236759399</v>
      </c>
      <c r="G153" s="26">
        <v>59.870328258718601</v>
      </c>
      <c r="H153" s="26">
        <v>62.9012099224053</v>
      </c>
      <c r="I153" s="26">
        <v>81.994375683510697</v>
      </c>
      <c r="J153" s="26">
        <v>74.418039474369394</v>
      </c>
      <c r="L153" s="27">
        <v>74.074070000000006</v>
      </c>
      <c r="M153" s="26">
        <v>0.210450452579236</v>
      </c>
      <c r="N153" s="26">
        <v>12.155913510032899</v>
      </c>
      <c r="O153" s="26">
        <v>9.4042553819934191</v>
      </c>
      <c r="P153" s="26">
        <v>22.637822893760202</v>
      </c>
      <c r="Q153" s="26">
        <v>24.453013428954101</v>
      </c>
      <c r="R153" s="26">
        <v>16.048729986900401</v>
      </c>
      <c r="S153" s="26">
        <v>62.987303561117002</v>
      </c>
      <c r="T153" s="26">
        <v>60.371958252537603</v>
      </c>
      <c r="U153" s="26">
        <v>63.782437060546201</v>
      </c>
      <c r="W153" s="27">
        <v>74.074070000000006</v>
      </c>
      <c r="X153" s="26">
        <v>25.793410877196099</v>
      </c>
      <c r="Y153" s="26">
        <v>41.0119203385701</v>
      </c>
      <c r="Z153" s="26">
        <v>24.503018435466799</v>
      </c>
      <c r="AA153" s="26">
        <v>41.907524882917201</v>
      </c>
      <c r="AB153" s="26">
        <v>37.5355309107644</v>
      </c>
      <c r="AC153" s="26">
        <v>33.091347151661701</v>
      </c>
      <c r="AD153" s="26">
        <v>51.215495537768803</v>
      </c>
      <c r="AE153" s="26">
        <v>54.901686533897603</v>
      </c>
      <c r="AF153" s="137">
        <v>53.647388985643303</v>
      </c>
    </row>
    <row r="154" spans="1:33">
      <c r="A154" s="96">
        <v>24.69136</v>
      </c>
      <c r="B154" s="26">
        <v>17.421493915669998</v>
      </c>
      <c r="C154" s="26">
        <v>32.280799208429499</v>
      </c>
      <c r="D154" s="26">
        <v>34.836044230735801</v>
      </c>
      <c r="E154" s="26">
        <v>42.779523321818502</v>
      </c>
      <c r="F154" s="26">
        <v>34.629472112764098</v>
      </c>
      <c r="G154" s="26">
        <v>45.431110802506602</v>
      </c>
      <c r="H154" s="26">
        <v>64.416650754248593</v>
      </c>
      <c r="I154" s="26">
        <v>59.263631155935897</v>
      </c>
      <c r="J154" s="26">
        <v>43.196139358064102</v>
      </c>
      <c r="L154" s="27">
        <v>24.69136</v>
      </c>
      <c r="M154" s="26">
        <v>3.5940506764689801</v>
      </c>
      <c r="N154" s="26">
        <v>6.19433216317959</v>
      </c>
      <c r="O154" s="26">
        <v>6.1327477149511402</v>
      </c>
      <c r="P154" s="26">
        <v>5.3017268751873798</v>
      </c>
      <c r="Q154" s="26">
        <v>-0.15329654019455999</v>
      </c>
      <c r="R154" s="26">
        <v>9.1057849506512092</v>
      </c>
      <c r="S154" s="26">
        <v>44.174362261286397</v>
      </c>
      <c r="T154" s="26">
        <v>54.964636939740302</v>
      </c>
      <c r="U154" s="26">
        <v>47.978420336750297</v>
      </c>
      <c r="W154" s="27">
        <v>24.69136</v>
      </c>
      <c r="X154" s="26">
        <v>15.264981636722901</v>
      </c>
      <c r="Y154" s="26">
        <v>10.1079237314901</v>
      </c>
      <c r="Z154" s="26">
        <v>12.742850955161099</v>
      </c>
      <c r="AA154" s="26">
        <v>27.225926961982999</v>
      </c>
      <c r="AB154" s="26">
        <v>27.081547388083301</v>
      </c>
      <c r="AC154" s="26">
        <v>25.076024869381602</v>
      </c>
      <c r="AD154" s="26">
        <v>39.112426569451102</v>
      </c>
      <c r="AE154" s="26">
        <v>43.622032322977098</v>
      </c>
      <c r="AF154" s="137">
        <v>34.099748238118003</v>
      </c>
    </row>
    <row r="155" spans="1:33">
      <c r="A155" s="96">
        <v>8.2304530000000007</v>
      </c>
      <c r="B155" s="26">
        <v>14.085093825403201</v>
      </c>
      <c r="C155" s="26">
        <v>29.854878747374499</v>
      </c>
      <c r="D155" s="26">
        <v>4.3779401808807998</v>
      </c>
      <c r="E155" s="26">
        <v>17.608103181905001</v>
      </c>
      <c r="F155" s="26">
        <v>30.879059836478199</v>
      </c>
      <c r="G155" s="26">
        <v>21.895776554932599</v>
      </c>
      <c r="H155" s="26">
        <v>49.866335688371201</v>
      </c>
      <c r="I155" s="26">
        <v>31.371187529293302</v>
      </c>
      <c r="J155" s="26">
        <v>41.377783949867201</v>
      </c>
      <c r="L155" s="27">
        <v>8.2304530000000007</v>
      </c>
      <c r="M155" s="26">
        <v>-13.931081538104801</v>
      </c>
      <c r="N155" s="26">
        <v>-1.9506172474853001</v>
      </c>
      <c r="O155" s="26">
        <v>-6.3384722626303498</v>
      </c>
      <c r="P155" s="26">
        <v>3.4315976955306202</v>
      </c>
      <c r="Q155" s="26">
        <v>1.8776610905911699</v>
      </c>
      <c r="R155" s="26">
        <v>10.6133486137592</v>
      </c>
      <c r="S155" s="26">
        <v>3.9062557689268802</v>
      </c>
      <c r="T155" s="26">
        <v>12.690236132792</v>
      </c>
      <c r="U155" s="26">
        <v>14.041697249671</v>
      </c>
      <c r="W155" s="27">
        <v>8.2304530000000007</v>
      </c>
      <c r="X155" s="26">
        <v>2.0519946940506602</v>
      </c>
      <c r="Y155" s="26">
        <v>11.3261263862695</v>
      </c>
      <c r="Z155" s="26">
        <v>11.6103736723847</v>
      </c>
      <c r="AA155" s="26">
        <v>11.3622212797444</v>
      </c>
      <c r="AB155" s="26">
        <v>2.6610960214403598</v>
      </c>
      <c r="AC155" s="26">
        <v>8.7814363962858302</v>
      </c>
      <c r="AD155" s="26">
        <v>31.807722502459001</v>
      </c>
      <c r="AE155" s="26">
        <v>24.861711439374101</v>
      </c>
      <c r="AF155" s="137">
        <v>25.504651729396599</v>
      </c>
    </row>
    <row r="156" spans="1:33">
      <c r="A156" s="96">
        <v>2.743484</v>
      </c>
      <c r="B156" s="26">
        <v>16.511014286458199</v>
      </c>
      <c r="C156" s="26">
        <v>25.609734928046901</v>
      </c>
      <c r="D156" s="26">
        <v>15.4512472442585</v>
      </c>
      <c r="E156" s="26">
        <v>25.912649504400498</v>
      </c>
      <c r="F156" s="26">
        <v>16.208099710104701</v>
      </c>
      <c r="G156" s="26">
        <v>11.9612199906261</v>
      </c>
      <c r="H156" s="26">
        <v>31.674102105646899</v>
      </c>
      <c r="I156" s="26">
        <v>13.174614196191399</v>
      </c>
      <c r="J156" s="26">
        <v>34.100022566702002</v>
      </c>
      <c r="L156" s="27">
        <v>2.743484</v>
      </c>
      <c r="M156" s="26">
        <v>4.2181654923285299</v>
      </c>
      <c r="N156" s="26">
        <v>4.1141955845279803</v>
      </c>
      <c r="O156" s="26">
        <v>6.0382296169506402</v>
      </c>
      <c r="P156" s="26">
        <v>1.9296460444914401</v>
      </c>
      <c r="Q156" s="26">
        <v>0.16097613565710001</v>
      </c>
      <c r="R156" s="26">
        <v>5.7180495599739496</v>
      </c>
      <c r="S156" s="26">
        <v>-9.4104581321746998</v>
      </c>
      <c r="T156" s="26">
        <v>3.5893247715689598</v>
      </c>
      <c r="U156" s="26">
        <v>7.6695529146280004</v>
      </c>
      <c r="W156" s="27">
        <v>2.743484</v>
      </c>
      <c r="X156" s="26">
        <v>5.02305561320712</v>
      </c>
      <c r="Y156" s="26">
        <v>12.1134462501917</v>
      </c>
      <c r="Z156" s="26">
        <v>-16.248116297746801</v>
      </c>
      <c r="AA156" s="26">
        <v>5.02305561320712</v>
      </c>
      <c r="AB156" s="26">
        <v>2.6610960214403598</v>
      </c>
      <c r="AC156" s="26">
        <v>22.355372273707601</v>
      </c>
      <c r="AD156" s="26">
        <v>29.44350697985</v>
      </c>
      <c r="AE156" s="26">
        <v>15.5492289228381</v>
      </c>
      <c r="AF156" s="137">
        <v>15.264981636722901</v>
      </c>
    </row>
    <row r="157" spans="1:33">
      <c r="A157" s="98">
        <v>0.91449499999999995</v>
      </c>
      <c r="B157" s="83">
        <v>-3.44489384970576</v>
      </c>
      <c r="C157" s="83">
        <v>7.8445327824743503</v>
      </c>
      <c r="D157" s="83">
        <v>2.20025344142205</v>
      </c>
      <c r="E157" s="83">
        <v>0.73775756418490801</v>
      </c>
      <c r="F157" s="83">
        <v>1.3444546669675601</v>
      </c>
      <c r="G157" s="83">
        <v>-11.09413786519</v>
      </c>
      <c r="H157" s="83">
        <v>15.2976200808929</v>
      </c>
      <c r="I157" s="83">
        <v>-4.4196017845053603</v>
      </c>
      <c r="J157" s="83">
        <v>4.0750256045272302</v>
      </c>
      <c r="K157" s="83"/>
      <c r="L157" s="99">
        <v>0.91449499999999995</v>
      </c>
      <c r="M157" s="83">
        <v>1.9817786829198401</v>
      </c>
      <c r="N157" s="83">
        <v>0.57729882044367398</v>
      </c>
      <c r="O157" s="83">
        <v>9.7815893513547802</v>
      </c>
      <c r="P157" s="83">
        <v>-2.7005592813080099</v>
      </c>
      <c r="Q157" s="83">
        <v>2.3978059986501599</v>
      </c>
      <c r="R157" s="83">
        <v>8.7371643684492692</v>
      </c>
      <c r="S157" s="83">
        <v>-0.74905592665395604</v>
      </c>
      <c r="T157" s="83">
        <v>2.8724640720464198</v>
      </c>
      <c r="U157" s="83">
        <v>10.6886677231033</v>
      </c>
      <c r="V157" s="83"/>
      <c r="W157" s="99">
        <v>0.91449499999999995</v>
      </c>
      <c r="X157" s="83">
        <v>-8.0229924471435403</v>
      </c>
      <c r="Y157" s="83">
        <v>-3.9329898302637698</v>
      </c>
      <c r="Z157" s="83">
        <v>6.0968786940867501</v>
      </c>
      <c r="AA157" s="83">
        <v>1.08420036275368</v>
      </c>
      <c r="AB157" s="83">
        <v>10.538806522347199</v>
      </c>
      <c r="AC157" s="83">
        <v>16.8396213645674</v>
      </c>
      <c r="AD157" s="83">
        <v>13.615896191086399</v>
      </c>
      <c r="AE157" s="83">
        <v>17.629197159331898</v>
      </c>
      <c r="AF157" s="139">
        <v>37.3212174807569</v>
      </c>
    </row>
  </sheetData>
  <mergeCells count="180">
    <mergeCell ref="B148:J148"/>
    <mergeCell ref="M148:U148"/>
    <mergeCell ref="X148:AF148"/>
    <mergeCell ref="B149:D149"/>
    <mergeCell ref="E149:G149"/>
    <mergeCell ref="H149:J149"/>
    <mergeCell ref="M149:O149"/>
    <mergeCell ref="P149:R149"/>
    <mergeCell ref="S149:U149"/>
    <mergeCell ref="X149:Z149"/>
    <mergeCell ref="AA149:AC149"/>
    <mergeCell ref="AD149:AF149"/>
    <mergeCell ref="B137:J137"/>
    <mergeCell ref="M137:U137"/>
    <mergeCell ref="X137:AF137"/>
    <mergeCell ref="B138:D138"/>
    <mergeCell ref="E138:G138"/>
    <mergeCell ref="H138:J138"/>
    <mergeCell ref="M138:O138"/>
    <mergeCell ref="P138:R138"/>
    <mergeCell ref="S138:U138"/>
    <mergeCell ref="X138:Z138"/>
    <mergeCell ref="AA138:AC138"/>
    <mergeCell ref="AD138:AF138"/>
    <mergeCell ref="B126:J126"/>
    <mergeCell ref="M126:U126"/>
    <mergeCell ref="X126:AF126"/>
    <mergeCell ref="B127:D127"/>
    <mergeCell ref="E127:G127"/>
    <mergeCell ref="H127:J127"/>
    <mergeCell ref="M127:O127"/>
    <mergeCell ref="P127:R127"/>
    <mergeCell ref="S127:U127"/>
    <mergeCell ref="X127:Z127"/>
    <mergeCell ref="AA127:AC127"/>
    <mergeCell ref="AD127:AF127"/>
    <mergeCell ref="B115:J115"/>
    <mergeCell ref="M115:U115"/>
    <mergeCell ref="X115:AF115"/>
    <mergeCell ref="B116:D116"/>
    <mergeCell ref="E116:G116"/>
    <mergeCell ref="H116:J116"/>
    <mergeCell ref="M116:O116"/>
    <mergeCell ref="P116:R116"/>
    <mergeCell ref="S116:U116"/>
    <mergeCell ref="X116:Z116"/>
    <mergeCell ref="AA116:AC116"/>
    <mergeCell ref="AD116:AF116"/>
    <mergeCell ref="B104:J104"/>
    <mergeCell ref="M104:U104"/>
    <mergeCell ref="X104:AF104"/>
    <mergeCell ref="B105:D105"/>
    <mergeCell ref="E105:G105"/>
    <mergeCell ref="H105:J105"/>
    <mergeCell ref="M105:O105"/>
    <mergeCell ref="P105:R105"/>
    <mergeCell ref="S105:U105"/>
    <mergeCell ref="X105:Z105"/>
    <mergeCell ref="AA105:AC105"/>
    <mergeCell ref="AD105:AF105"/>
    <mergeCell ref="B93:J93"/>
    <mergeCell ref="M93:U93"/>
    <mergeCell ref="X93:AF93"/>
    <mergeCell ref="B94:D94"/>
    <mergeCell ref="E94:G94"/>
    <mergeCell ref="H94:J94"/>
    <mergeCell ref="M94:O94"/>
    <mergeCell ref="P94:R94"/>
    <mergeCell ref="S94:U94"/>
    <mergeCell ref="X94:Z94"/>
    <mergeCell ref="AA94:AC94"/>
    <mergeCell ref="AD94:AF94"/>
    <mergeCell ref="B82:J82"/>
    <mergeCell ref="M82:U82"/>
    <mergeCell ref="X82:AF82"/>
    <mergeCell ref="B83:D83"/>
    <mergeCell ref="E83:G83"/>
    <mergeCell ref="H83:J83"/>
    <mergeCell ref="M83:O83"/>
    <mergeCell ref="P83:R83"/>
    <mergeCell ref="S83:U83"/>
    <mergeCell ref="X83:Z83"/>
    <mergeCell ref="AA83:AC83"/>
    <mergeCell ref="AD83:AF83"/>
    <mergeCell ref="B69:J69"/>
    <mergeCell ref="M69:U69"/>
    <mergeCell ref="X69:AF69"/>
    <mergeCell ref="B70:D70"/>
    <mergeCell ref="E70:G70"/>
    <mergeCell ref="H70:J70"/>
    <mergeCell ref="M70:O70"/>
    <mergeCell ref="P70:R70"/>
    <mergeCell ref="S70:U70"/>
    <mergeCell ref="X70:Z70"/>
    <mergeCell ref="AA70:AC70"/>
    <mergeCell ref="AD70:AF70"/>
    <mergeCell ref="B58:J58"/>
    <mergeCell ref="M58:U58"/>
    <mergeCell ref="X58:AF58"/>
    <mergeCell ref="B59:D59"/>
    <mergeCell ref="E59:G59"/>
    <mergeCell ref="H59:J59"/>
    <mergeCell ref="M59:O59"/>
    <mergeCell ref="P59:R59"/>
    <mergeCell ref="S59:U59"/>
    <mergeCell ref="X59:Z59"/>
    <mergeCell ref="AA59:AC59"/>
    <mergeCell ref="AD59:AF59"/>
    <mergeCell ref="B47:J47"/>
    <mergeCell ref="M47:U47"/>
    <mergeCell ref="X47:AF47"/>
    <mergeCell ref="B48:D48"/>
    <mergeCell ref="E48:G48"/>
    <mergeCell ref="H48:J48"/>
    <mergeCell ref="M48:O48"/>
    <mergeCell ref="P48:R48"/>
    <mergeCell ref="S48:U48"/>
    <mergeCell ref="X48:Z48"/>
    <mergeCell ref="AA48:AC48"/>
    <mergeCell ref="AD48:AF48"/>
    <mergeCell ref="B36:J36"/>
    <mergeCell ref="M36:U36"/>
    <mergeCell ref="X36:AF36"/>
    <mergeCell ref="B37:D37"/>
    <mergeCell ref="E37:G37"/>
    <mergeCell ref="H37:J37"/>
    <mergeCell ref="M37:O37"/>
    <mergeCell ref="P37:R37"/>
    <mergeCell ref="S37:U37"/>
    <mergeCell ref="X37:Z37"/>
    <mergeCell ref="AA37:AC37"/>
    <mergeCell ref="AD37:AF37"/>
    <mergeCell ref="AI24:AK24"/>
    <mergeCell ref="AN24:AP24"/>
    <mergeCell ref="AS24:AW24"/>
    <mergeCell ref="B25:J25"/>
    <mergeCell ref="M25:U25"/>
    <mergeCell ref="X25:AF25"/>
    <mergeCell ref="B26:D26"/>
    <mergeCell ref="E26:G26"/>
    <mergeCell ref="H26:J26"/>
    <mergeCell ref="M26:O26"/>
    <mergeCell ref="P26:R26"/>
    <mergeCell ref="S26:U26"/>
    <mergeCell ref="X26:Z26"/>
    <mergeCell ref="AA26:AC26"/>
    <mergeCell ref="AD26:AF26"/>
    <mergeCell ref="B14:J14"/>
    <mergeCell ref="M14:U14"/>
    <mergeCell ref="X14:AF14"/>
    <mergeCell ref="AI14:AK14"/>
    <mergeCell ref="AN14:AP14"/>
    <mergeCell ref="AS14:AW14"/>
    <mergeCell ref="B15:D15"/>
    <mergeCell ref="E15:G15"/>
    <mergeCell ref="H15:J15"/>
    <mergeCell ref="M15:O15"/>
    <mergeCell ref="P15:R15"/>
    <mergeCell ref="S15:U15"/>
    <mergeCell ref="X15:Z15"/>
    <mergeCell ref="AA15:AC15"/>
    <mergeCell ref="AD15:AF15"/>
    <mergeCell ref="B3:J3"/>
    <mergeCell ref="M3:U3"/>
    <mergeCell ref="X3:AF3"/>
    <mergeCell ref="AH3:AK3"/>
    <mergeCell ref="AM3:AP3"/>
    <mergeCell ref="AR3:AW3"/>
    <mergeCell ref="B4:D4"/>
    <mergeCell ref="E4:G4"/>
    <mergeCell ref="H4:J4"/>
    <mergeCell ref="M4:O4"/>
    <mergeCell ref="P4:R4"/>
    <mergeCell ref="S4:U4"/>
    <mergeCell ref="X4:Z4"/>
    <mergeCell ref="AA4:AC4"/>
    <mergeCell ref="AD4:AF4"/>
    <mergeCell ref="AI4:AK4"/>
    <mergeCell ref="AN4:AP4"/>
    <mergeCell ref="AS4:AW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E75"/>
  <sheetViews>
    <sheetView topLeftCell="A9" zoomScale="85" zoomScaleNormal="85" workbookViewId="0">
      <selection activeCell="M39" sqref="M39"/>
    </sheetView>
  </sheetViews>
  <sheetFormatPr defaultColWidth="9" defaultRowHeight="14"/>
  <cols>
    <col min="1" max="1" width="25.7265625" style="49" customWidth="1"/>
    <col min="2" max="2" width="9.453125" style="49" customWidth="1"/>
    <col min="3" max="3" width="12.6328125" style="49" customWidth="1"/>
    <col min="4" max="4" width="9.90625" style="49" customWidth="1"/>
    <col min="5" max="5" width="9.08984375" style="49" customWidth="1"/>
    <col min="6" max="6" width="9.453125" style="49" customWidth="1"/>
    <col min="7" max="7" width="9.08984375" style="49" customWidth="1"/>
    <col min="8" max="11" width="12.6328125" style="49"/>
    <col min="12" max="12" width="9" style="49"/>
    <col min="13" max="13" width="17.08984375" style="49" customWidth="1"/>
    <col min="14" max="17" width="9" style="49"/>
    <col min="18" max="18" width="20.36328125" style="49" customWidth="1"/>
    <col min="19" max="21" width="9" style="49"/>
    <col min="22" max="24" width="12.6328125" style="49"/>
    <col min="25" max="25" width="11.6328125" style="49"/>
    <col min="26" max="28" width="12.6328125" style="49"/>
    <col min="29" max="29" width="9" style="49"/>
    <col min="30" max="30" width="12.6328125" style="49"/>
    <col min="31" max="16384" width="9" style="49"/>
  </cols>
  <sheetData>
    <row r="2" spans="1:30">
      <c r="A2" s="53" t="s">
        <v>89</v>
      </c>
    </row>
    <row r="3" spans="1:30">
      <c r="A3" s="53" t="s">
        <v>60</v>
      </c>
      <c r="B3" s="198" t="s">
        <v>90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S3" s="198" t="s">
        <v>91</v>
      </c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</row>
    <row r="4" spans="1:30">
      <c r="A4" s="49" t="s">
        <v>92</v>
      </c>
      <c r="B4" s="4" t="s">
        <v>93</v>
      </c>
      <c r="C4" s="4" t="s">
        <v>94</v>
      </c>
      <c r="D4" s="4" t="s">
        <v>93</v>
      </c>
      <c r="E4" s="4" t="s">
        <v>94</v>
      </c>
      <c r="F4" s="4" t="s">
        <v>93</v>
      </c>
      <c r="G4" s="4" t="s">
        <v>94</v>
      </c>
      <c r="H4" s="4" t="s">
        <v>93</v>
      </c>
      <c r="I4" s="4" t="s">
        <v>94</v>
      </c>
      <c r="J4" s="4" t="s">
        <v>93</v>
      </c>
      <c r="K4" s="4" t="s">
        <v>94</v>
      </c>
      <c r="L4" s="4" t="s">
        <v>93</v>
      </c>
      <c r="M4" s="4" t="s">
        <v>94</v>
      </c>
      <c r="R4" s="4" t="s">
        <v>92</v>
      </c>
      <c r="S4" s="4" t="s">
        <v>93</v>
      </c>
      <c r="T4" s="4" t="s">
        <v>94</v>
      </c>
      <c r="U4" s="4" t="s">
        <v>93</v>
      </c>
      <c r="V4" s="4" t="s">
        <v>94</v>
      </c>
      <c r="W4" s="4" t="s">
        <v>93</v>
      </c>
      <c r="X4" s="4" t="s">
        <v>94</v>
      </c>
      <c r="Y4" s="4" t="s">
        <v>93</v>
      </c>
      <c r="Z4" s="4" t="s">
        <v>94</v>
      </c>
      <c r="AA4" s="4" t="s">
        <v>93</v>
      </c>
      <c r="AB4" s="4" t="s">
        <v>94</v>
      </c>
      <c r="AC4" s="4" t="s">
        <v>93</v>
      </c>
      <c r="AD4" s="4" t="s">
        <v>94</v>
      </c>
    </row>
    <row r="5" spans="1:30">
      <c r="A5" s="49" t="s">
        <v>95</v>
      </c>
      <c r="B5" s="4" t="s">
        <v>93</v>
      </c>
      <c r="C5" s="4" t="s">
        <v>93</v>
      </c>
      <c r="D5" s="230" t="s">
        <v>96</v>
      </c>
      <c r="E5" s="230"/>
      <c r="F5" s="230" t="s">
        <v>97</v>
      </c>
      <c r="G5" s="230"/>
      <c r="H5" s="230" t="s">
        <v>98</v>
      </c>
      <c r="I5" s="230"/>
      <c r="J5" s="230" t="s">
        <v>99</v>
      </c>
      <c r="K5" s="230"/>
      <c r="L5" s="231">
        <v>1</v>
      </c>
      <c r="M5" s="231"/>
      <c r="R5" s="4" t="s">
        <v>100</v>
      </c>
      <c r="S5" s="4" t="s">
        <v>93</v>
      </c>
      <c r="T5" s="4" t="s">
        <v>93</v>
      </c>
      <c r="U5" s="230" t="s">
        <v>96</v>
      </c>
      <c r="V5" s="230"/>
      <c r="W5" s="230" t="s">
        <v>97</v>
      </c>
      <c r="X5" s="230"/>
      <c r="Y5" s="230" t="s">
        <v>98</v>
      </c>
      <c r="Z5" s="230"/>
      <c r="AA5" s="230" t="s">
        <v>99</v>
      </c>
      <c r="AB5" s="230"/>
      <c r="AC5" s="231">
        <v>1</v>
      </c>
      <c r="AD5" s="231"/>
    </row>
    <row r="6" spans="1:30">
      <c r="A6" s="49" t="s">
        <v>101</v>
      </c>
      <c r="B6" s="4">
        <v>5.367</v>
      </c>
      <c r="C6" s="4">
        <v>4.9770000000000003</v>
      </c>
      <c r="D6" s="4">
        <v>4.8449999999999998</v>
      </c>
      <c r="E6" s="4">
        <v>5.1829999999999998</v>
      </c>
      <c r="F6" s="4">
        <v>5.1689999999999996</v>
      </c>
      <c r="G6" s="4">
        <v>5.0330000000000004</v>
      </c>
      <c r="H6" s="4">
        <v>5.4820000000000002</v>
      </c>
      <c r="I6" s="4">
        <v>5.0810000000000004</v>
      </c>
      <c r="J6" s="4">
        <v>5.0190000000000001</v>
      </c>
      <c r="K6" s="4">
        <v>4.1980000000000004</v>
      </c>
      <c r="L6" s="4">
        <v>4.4400000000000004</v>
      </c>
      <c r="M6" s="4">
        <v>3.698</v>
      </c>
      <c r="R6" s="4" t="s">
        <v>101</v>
      </c>
      <c r="S6" s="4">
        <v>5.2859999999999996</v>
      </c>
      <c r="T6" s="4">
        <v>4.8570000000000002</v>
      </c>
      <c r="U6" s="4">
        <v>4.8460000000000001</v>
      </c>
      <c r="V6" s="4">
        <v>5.024</v>
      </c>
      <c r="W6" s="4">
        <v>4.9370000000000003</v>
      </c>
      <c r="X6" s="4">
        <v>4.9870000000000001</v>
      </c>
      <c r="Y6" s="4">
        <v>5.0149999999999997</v>
      </c>
      <c r="Z6" s="4">
        <v>4.952</v>
      </c>
      <c r="AA6" s="4">
        <v>5.1559999999999997</v>
      </c>
      <c r="AB6" s="4">
        <v>4.5410000000000004</v>
      </c>
      <c r="AC6" s="4">
        <v>5.1870000000000003</v>
      </c>
      <c r="AD6" s="4">
        <v>4.1130000000000004</v>
      </c>
    </row>
    <row r="7" spans="1:30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9" t="s">
        <v>102</v>
      </c>
      <c r="B8" s="4">
        <v>1.3640000000000001</v>
      </c>
      <c r="C8" s="4">
        <v>1.4119999999999999</v>
      </c>
      <c r="D8" s="4">
        <v>1.492</v>
      </c>
      <c r="E8" s="4">
        <v>1.98</v>
      </c>
      <c r="F8" s="4">
        <v>1.8069999999999999</v>
      </c>
      <c r="G8" s="4">
        <v>2.5990000000000002</v>
      </c>
      <c r="H8" s="4">
        <v>1.5860000000000001</v>
      </c>
      <c r="I8" s="4">
        <v>3.069</v>
      </c>
      <c r="J8" s="4">
        <v>1.446</v>
      </c>
      <c r="K8" s="4">
        <v>3.9620000000000002</v>
      </c>
      <c r="L8" s="4">
        <v>1.4650000000000001</v>
      </c>
      <c r="M8" s="4">
        <v>4.2220000000000004</v>
      </c>
      <c r="R8" s="4" t="s">
        <v>102</v>
      </c>
      <c r="S8" s="4">
        <v>0.39500000000000002</v>
      </c>
      <c r="T8" s="4">
        <v>0.20599999999999999</v>
      </c>
      <c r="U8" s="4">
        <v>0.21099999999999999</v>
      </c>
      <c r="V8" s="4">
        <v>0.308</v>
      </c>
      <c r="W8" s="4">
        <v>0.151</v>
      </c>
      <c r="X8" s="4">
        <v>0.216</v>
      </c>
      <c r="Y8" s="4">
        <v>0.22900000000000001</v>
      </c>
      <c r="Z8" s="4">
        <v>1.06</v>
      </c>
      <c r="AA8" s="4">
        <v>1.19</v>
      </c>
      <c r="AB8" s="4">
        <v>1.8320000000000001</v>
      </c>
      <c r="AC8" s="4">
        <v>1.232</v>
      </c>
      <c r="AD8" s="4">
        <v>2.1819999999999999</v>
      </c>
    </row>
    <row r="9" spans="1:30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9" t="s">
        <v>103</v>
      </c>
      <c r="B10" s="4"/>
      <c r="C10" s="4"/>
      <c r="D10" s="4"/>
      <c r="E10" s="4">
        <v>27.6420494206338</v>
      </c>
      <c r="F10" s="4"/>
      <c r="G10" s="4">
        <v>34.053983228511498</v>
      </c>
      <c r="H10" s="4"/>
      <c r="I10" s="4">
        <v>37.656441717791402</v>
      </c>
      <c r="J10" s="4"/>
      <c r="K10" s="4">
        <v>48.553921568627501</v>
      </c>
      <c r="L10" s="4"/>
      <c r="M10" s="4">
        <v>53.308080808080803</v>
      </c>
      <c r="R10" s="4" t="s">
        <v>103</v>
      </c>
      <c r="S10" s="4"/>
      <c r="T10" s="4"/>
      <c r="U10" s="4"/>
      <c r="V10" s="4">
        <v>24.281731118923499</v>
      </c>
      <c r="W10" s="4"/>
      <c r="X10" s="4">
        <v>27.813463514902399</v>
      </c>
      <c r="Y10" s="4"/>
      <c r="Z10" s="4">
        <v>28.386858619416799</v>
      </c>
      <c r="AA10" s="4"/>
      <c r="AB10" s="4">
        <v>31.873589164785599</v>
      </c>
      <c r="AC10" s="4"/>
      <c r="AD10" s="4">
        <v>36.941908297381403</v>
      </c>
    </row>
    <row r="11" spans="1:30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53" t="s">
        <v>104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53" t="s">
        <v>60</v>
      </c>
      <c r="B15" s="198" t="s">
        <v>90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R15" s="4"/>
      <c r="S15" s="198" t="s">
        <v>91</v>
      </c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</row>
    <row r="16" spans="1:30">
      <c r="A16" s="49" t="s">
        <v>92</v>
      </c>
      <c r="B16" s="4" t="s">
        <v>93</v>
      </c>
      <c r="C16" s="4" t="s">
        <v>94</v>
      </c>
      <c r="D16" s="4" t="s">
        <v>93</v>
      </c>
      <c r="E16" s="4" t="s">
        <v>94</v>
      </c>
      <c r="F16" s="4" t="s">
        <v>93</v>
      </c>
      <c r="G16" s="4" t="s">
        <v>94</v>
      </c>
      <c r="H16" s="4" t="s">
        <v>93</v>
      </c>
      <c r="I16" s="4" t="s">
        <v>94</v>
      </c>
      <c r="J16" s="4" t="s">
        <v>93</v>
      </c>
      <c r="K16" s="4" t="s">
        <v>94</v>
      </c>
      <c r="L16" s="4" t="s">
        <v>93</v>
      </c>
      <c r="M16" s="4" t="s">
        <v>94</v>
      </c>
      <c r="R16" s="4" t="s">
        <v>92</v>
      </c>
      <c r="S16" s="4" t="s">
        <v>93</v>
      </c>
      <c r="T16" s="4" t="s">
        <v>94</v>
      </c>
      <c r="U16" s="4" t="s">
        <v>93</v>
      </c>
      <c r="V16" s="4" t="s">
        <v>94</v>
      </c>
      <c r="W16" s="4" t="s">
        <v>93</v>
      </c>
      <c r="X16" s="4" t="s">
        <v>94</v>
      </c>
      <c r="Y16" s="4" t="s">
        <v>93</v>
      </c>
      <c r="Z16" s="4" t="s">
        <v>94</v>
      </c>
      <c r="AA16" s="4" t="s">
        <v>93</v>
      </c>
      <c r="AB16" s="4" t="s">
        <v>94</v>
      </c>
      <c r="AC16" s="4" t="s">
        <v>93</v>
      </c>
      <c r="AD16" s="4" t="s">
        <v>94</v>
      </c>
    </row>
    <row r="17" spans="1:30">
      <c r="A17" s="49" t="s">
        <v>105</v>
      </c>
      <c r="B17" s="4" t="s">
        <v>93</v>
      </c>
      <c r="C17" s="4" t="s">
        <v>93</v>
      </c>
      <c r="D17" s="231" t="s">
        <v>106</v>
      </c>
      <c r="E17" s="231"/>
      <c r="F17" s="231" t="s">
        <v>107</v>
      </c>
      <c r="G17" s="231"/>
      <c r="H17" s="231" t="s">
        <v>108</v>
      </c>
      <c r="I17" s="231"/>
      <c r="J17" s="231" t="s">
        <v>109</v>
      </c>
      <c r="K17" s="231"/>
      <c r="L17" s="231" t="s">
        <v>110</v>
      </c>
      <c r="M17" s="231"/>
      <c r="R17" s="4" t="s">
        <v>105</v>
      </c>
      <c r="S17" s="4" t="s">
        <v>93</v>
      </c>
      <c r="T17" s="4" t="s">
        <v>93</v>
      </c>
      <c r="U17" s="231" t="s">
        <v>106</v>
      </c>
      <c r="V17" s="231"/>
      <c r="W17" s="231" t="s">
        <v>107</v>
      </c>
      <c r="X17" s="231"/>
      <c r="Y17" s="231" t="s">
        <v>108</v>
      </c>
      <c r="Z17" s="231"/>
      <c r="AA17" s="231" t="s">
        <v>109</v>
      </c>
      <c r="AB17" s="231"/>
      <c r="AC17" s="231" t="s">
        <v>110</v>
      </c>
      <c r="AD17" s="231"/>
    </row>
    <row r="18" spans="1:30">
      <c r="A18" s="49" t="s">
        <v>101</v>
      </c>
      <c r="B18" s="4">
        <v>1.0049999999999999</v>
      </c>
      <c r="C18" s="4">
        <v>1.244</v>
      </c>
      <c r="D18" s="4">
        <v>1.2350000000000001</v>
      </c>
      <c r="E18" s="4">
        <v>1.1930000000000001</v>
      </c>
      <c r="F18" s="4">
        <v>1.0860000000000001</v>
      </c>
      <c r="G18" s="4">
        <v>1.0409999999999999</v>
      </c>
      <c r="H18" s="4">
        <v>1.06</v>
      </c>
      <c r="I18" s="4">
        <v>1.0069999999999999</v>
      </c>
      <c r="J18" s="4">
        <v>1.0249999999999999</v>
      </c>
      <c r="K18" s="4">
        <v>0.998</v>
      </c>
      <c r="L18" s="4">
        <v>0.52700000000000002</v>
      </c>
      <c r="M18" s="4">
        <v>0.91300000000000003</v>
      </c>
      <c r="R18" s="4" t="s">
        <v>101</v>
      </c>
      <c r="S18" s="4">
        <v>1.605</v>
      </c>
      <c r="T18" s="4">
        <v>1.6240000000000001</v>
      </c>
      <c r="U18" s="4">
        <v>1.415</v>
      </c>
      <c r="V18" s="4">
        <v>1.609</v>
      </c>
      <c r="W18" s="4">
        <v>1.452</v>
      </c>
      <c r="X18" s="4">
        <v>1.3839999999999999</v>
      </c>
      <c r="Y18" s="4">
        <v>1.1779999999999999</v>
      </c>
      <c r="Z18" s="4">
        <v>1.2190000000000001</v>
      </c>
      <c r="AA18" s="4">
        <v>1.2529999999999999</v>
      </c>
      <c r="AB18" s="4">
        <v>1.109</v>
      </c>
      <c r="AC18" s="4">
        <v>1.1479999999999999</v>
      </c>
      <c r="AD18" s="4">
        <v>0.86399999999999999</v>
      </c>
    </row>
    <row r="19" spans="1:30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9" t="s">
        <v>102</v>
      </c>
      <c r="B20" s="4">
        <v>0.246</v>
      </c>
      <c r="C20" s="4">
        <v>0.32200000000000001</v>
      </c>
      <c r="D20" s="4">
        <v>0.246</v>
      </c>
      <c r="E20" s="4">
        <v>0.497</v>
      </c>
      <c r="F20" s="4">
        <v>0.252</v>
      </c>
      <c r="G20" s="4">
        <v>0.66</v>
      </c>
      <c r="H20" s="4">
        <v>0.20899999999999999</v>
      </c>
      <c r="I20" s="4">
        <v>0.63100000000000001</v>
      </c>
      <c r="J20" s="4">
        <v>0.17</v>
      </c>
      <c r="K20" s="4">
        <v>0.82699999999999996</v>
      </c>
      <c r="L20" s="4">
        <v>0.254</v>
      </c>
      <c r="M20" s="4">
        <v>0.84299999999999997</v>
      </c>
      <c r="R20" s="4" t="s">
        <v>102</v>
      </c>
      <c r="S20" s="4">
        <v>0.34399999999999997</v>
      </c>
      <c r="T20" s="4">
        <v>0.38700000000000001</v>
      </c>
      <c r="U20" s="4">
        <v>0.308</v>
      </c>
      <c r="V20" s="4">
        <v>0.61199999999999999</v>
      </c>
      <c r="W20" s="4">
        <v>0.29499999999999998</v>
      </c>
      <c r="X20" s="4">
        <v>0.71699999999999997</v>
      </c>
      <c r="Y20" s="4">
        <v>0.36</v>
      </c>
      <c r="Z20" s="4">
        <v>0.83599999999999997</v>
      </c>
      <c r="AA20" s="4">
        <v>0.29099999999999998</v>
      </c>
      <c r="AB20" s="4">
        <v>0.86799999999999999</v>
      </c>
      <c r="AC20" s="4">
        <v>0.251</v>
      </c>
      <c r="AD20" s="4">
        <v>0.81599999999999995</v>
      </c>
    </row>
    <row r="21" spans="1:30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9" t="s">
        <v>103</v>
      </c>
      <c r="B22" s="4"/>
      <c r="C22" s="4"/>
      <c r="D22" s="4"/>
      <c r="E22" s="190" t="s">
        <v>111</v>
      </c>
      <c r="F22" s="4"/>
      <c r="G22" s="190" t="s">
        <v>112</v>
      </c>
      <c r="H22" s="4"/>
      <c r="I22" s="190" t="s">
        <v>113</v>
      </c>
      <c r="J22" s="4"/>
      <c r="K22" s="190" t="s">
        <v>114</v>
      </c>
      <c r="L22" s="4"/>
      <c r="M22" s="190" t="s">
        <v>115</v>
      </c>
      <c r="R22" s="4" t="s">
        <v>103</v>
      </c>
      <c r="S22" s="4"/>
      <c r="T22" s="4"/>
      <c r="U22" s="4"/>
      <c r="V22" s="4">
        <v>5.77644411102776</v>
      </c>
      <c r="W22" s="4"/>
      <c r="X22" s="4">
        <v>4.1514510859119698</v>
      </c>
      <c r="Y22" s="4"/>
      <c r="Z22" s="4">
        <v>17.631403858948801</v>
      </c>
      <c r="AA22" s="4"/>
      <c r="AB22" s="4">
        <v>28.7462733406559</v>
      </c>
      <c r="AC22" s="4"/>
      <c r="AD22" s="4">
        <v>34.6624305003971</v>
      </c>
    </row>
    <row r="23" spans="1:30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53" t="s">
        <v>116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53" t="s">
        <v>60</v>
      </c>
      <c r="B27" s="198" t="s">
        <v>90</v>
      </c>
      <c r="C27" s="198"/>
      <c r="D27" s="198"/>
      <c r="E27" s="198"/>
      <c r="F27" s="198"/>
      <c r="G27" s="198"/>
      <c r="H27" s="198"/>
      <c r="I27" s="198"/>
      <c r="J27" s="198"/>
      <c r="K27" s="4"/>
      <c r="L27" s="4"/>
      <c r="M27" s="4"/>
      <c r="R27" s="4"/>
      <c r="S27" s="198" t="s">
        <v>91</v>
      </c>
      <c r="T27" s="198"/>
      <c r="U27" s="198"/>
      <c r="V27" s="198"/>
      <c r="W27" s="198"/>
      <c r="X27" s="198"/>
      <c r="Y27" s="198"/>
      <c r="Z27" s="198"/>
      <c r="AA27" s="198"/>
      <c r="AB27" s="4"/>
      <c r="AC27" s="4"/>
      <c r="AD27" s="4"/>
    </row>
    <row r="28" spans="1:30">
      <c r="A28" s="49" t="s">
        <v>92</v>
      </c>
      <c r="B28" s="4" t="s">
        <v>93</v>
      </c>
      <c r="C28" s="4" t="s">
        <v>94</v>
      </c>
      <c r="D28" s="4" t="s">
        <v>93</v>
      </c>
      <c r="E28" s="4" t="s">
        <v>94</v>
      </c>
      <c r="F28" s="4" t="s">
        <v>94</v>
      </c>
      <c r="G28" s="4" t="s">
        <v>94</v>
      </c>
      <c r="H28" s="4" t="s">
        <v>94</v>
      </c>
      <c r="I28" s="4" t="s">
        <v>94</v>
      </c>
      <c r="J28" s="4" t="s">
        <v>94</v>
      </c>
      <c r="K28" s="4"/>
      <c r="L28" s="4"/>
      <c r="M28" s="4"/>
      <c r="R28" s="4" t="s">
        <v>92</v>
      </c>
      <c r="S28" s="4" t="s">
        <v>93</v>
      </c>
      <c r="T28" s="4" t="s">
        <v>94</v>
      </c>
      <c r="U28" s="4" t="s">
        <v>93</v>
      </c>
      <c r="V28" s="4" t="s">
        <v>94</v>
      </c>
      <c r="W28" s="4" t="s">
        <v>94</v>
      </c>
      <c r="X28" s="4" t="s">
        <v>94</v>
      </c>
      <c r="Y28" s="4" t="s">
        <v>94</v>
      </c>
      <c r="Z28" s="4" t="s">
        <v>94</v>
      </c>
      <c r="AA28" s="4" t="s">
        <v>94</v>
      </c>
      <c r="AB28" s="4"/>
      <c r="AC28" s="4"/>
      <c r="AD28" s="4"/>
    </row>
    <row r="29" spans="1:30">
      <c r="A29" s="191" t="s">
        <v>9</v>
      </c>
      <c r="B29" s="4" t="s">
        <v>93</v>
      </c>
      <c r="C29" s="4" t="s">
        <v>93</v>
      </c>
      <c r="D29" s="4" t="s">
        <v>117</v>
      </c>
      <c r="E29" s="4" t="s">
        <v>118</v>
      </c>
      <c r="F29" s="4" t="s">
        <v>119</v>
      </c>
      <c r="G29" s="4" t="s">
        <v>120</v>
      </c>
      <c r="H29" s="4" t="s">
        <v>121</v>
      </c>
      <c r="I29" s="4" t="s">
        <v>122</v>
      </c>
      <c r="J29" s="4" t="s">
        <v>117</v>
      </c>
      <c r="K29" s="4"/>
      <c r="L29" s="4"/>
      <c r="M29" s="4"/>
      <c r="R29" s="190" t="s">
        <v>9</v>
      </c>
      <c r="S29" s="4" t="s">
        <v>93</v>
      </c>
      <c r="T29" s="4" t="s">
        <v>93</v>
      </c>
      <c r="U29" s="4" t="s">
        <v>117</v>
      </c>
      <c r="V29" s="4" t="s">
        <v>118</v>
      </c>
      <c r="W29" s="4" t="s">
        <v>119</v>
      </c>
      <c r="X29" s="4" t="s">
        <v>120</v>
      </c>
      <c r="Y29" s="4" t="s">
        <v>121</v>
      </c>
      <c r="Z29" s="4" t="s">
        <v>122</v>
      </c>
      <c r="AA29" s="4" t="s">
        <v>117</v>
      </c>
      <c r="AB29" s="4"/>
      <c r="AC29" s="4"/>
      <c r="AD29" s="4"/>
    </row>
    <row r="30" spans="1:30">
      <c r="A30" s="49" t="s">
        <v>100</v>
      </c>
      <c r="B30" s="4" t="s">
        <v>94</v>
      </c>
      <c r="C30" s="4" t="s">
        <v>94</v>
      </c>
      <c r="D30" s="4" t="s">
        <v>94</v>
      </c>
      <c r="E30" s="4" t="s">
        <v>94</v>
      </c>
      <c r="F30" s="4" t="s">
        <v>94</v>
      </c>
      <c r="G30" s="4" t="s">
        <v>94</v>
      </c>
      <c r="H30" s="4" t="s">
        <v>94</v>
      </c>
      <c r="I30" s="4" t="s">
        <v>94</v>
      </c>
      <c r="J30" s="4" t="s">
        <v>94</v>
      </c>
      <c r="K30" s="4"/>
      <c r="L30" s="4"/>
      <c r="M30" s="4"/>
      <c r="R30" s="4" t="s">
        <v>100</v>
      </c>
      <c r="S30" s="4" t="s">
        <v>94</v>
      </c>
      <c r="T30" s="4" t="s">
        <v>94</v>
      </c>
      <c r="U30" s="4" t="s">
        <v>94</v>
      </c>
      <c r="V30" s="4" t="s">
        <v>94</v>
      </c>
      <c r="W30" s="4" t="s">
        <v>94</v>
      </c>
      <c r="X30" s="4" t="s">
        <v>94</v>
      </c>
      <c r="Y30" s="4" t="s">
        <v>94</v>
      </c>
      <c r="Z30" s="4" t="s">
        <v>94</v>
      </c>
      <c r="AA30" s="4" t="s">
        <v>94</v>
      </c>
      <c r="AB30" s="4"/>
      <c r="AC30" s="4"/>
      <c r="AD30" s="4"/>
    </row>
    <row r="31" spans="1:30">
      <c r="A31" s="49" t="s">
        <v>102</v>
      </c>
      <c r="B31" s="4" t="s">
        <v>123</v>
      </c>
      <c r="C31" s="4" t="s">
        <v>124</v>
      </c>
      <c r="D31" s="4" t="s">
        <v>125</v>
      </c>
      <c r="E31" s="4">
        <v>2.2080000000000002</v>
      </c>
      <c r="F31" s="4">
        <v>1.9450000000000001</v>
      </c>
      <c r="G31" s="4">
        <v>1.9330000000000001</v>
      </c>
      <c r="H31" s="4">
        <v>1.732</v>
      </c>
      <c r="I31" s="4">
        <v>1.159</v>
      </c>
      <c r="J31" s="4">
        <v>1.1339999999999999</v>
      </c>
      <c r="K31" s="4"/>
      <c r="L31" s="4"/>
      <c r="M31" s="4"/>
      <c r="R31" s="4" t="s">
        <v>102</v>
      </c>
      <c r="S31" s="4" t="s">
        <v>126</v>
      </c>
      <c r="T31" s="4" t="s">
        <v>127</v>
      </c>
      <c r="U31" s="4" t="s">
        <v>128</v>
      </c>
      <c r="V31" s="4">
        <v>1.6559999999999999</v>
      </c>
      <c r="W31" s="4">
        <v>1.3939999999999999</v>
      </c>
      <c r="X31" s="4">
        <v>1.2809999999999999</v>
      </c>
      <c r="Y31" s="4">
        <v>1.39</v>
      </c>
      <c r="Z31" s="4">
        <v>0.877</v>
      </c>
      <c r="AA31" s="4">
        <v>0.81799999999999995</v>
      </c>
      <c r="AB31" s="4"/>
      <c r="AC31" s="4"/>
      <c r="AD31" s="4"/>
    </row>
    <row r="32" spans="1:30">
      <c r="A32" s="49" t="s">
        <v>129</v>
      </c>
      <c r="B32" s="4">
        <v>1.0634999999999999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R32" s="4" t="s">
        <v>129</v>
      </c>
      <c r="S32" s="4">
        <v>0.746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9" t="s">
        <v>130</v>
      </c>
      <c r="B34" s="4"/>
      <c r="C34" s="4"/>
      <c r="D34" s="4"/>
      <c r="E34" s="4">
        <v>25.946295697185398</v>
      </c>
      <c r="F34" s="4">
        <v>42.963442251698503</v>
      </c>
      <c r="G34" s="4">
        <v>43.739890003235203</v>
      </c>
      <c r="H34" s="4">
        <v>56.745389841475202</v>
      </c>
      <c r="I34" s="4">
        <v>93.820769977353606</v>
      </c>
      <c r="J34" s="4">
        <v>95.438369459721798</v>
      </c>
      <c r="K34" s="4"/>
      <c r="L34" s="4"/>
      <c r="M34" s="4"/>
      <c r="R34" s="4" t="s">
        <v>130</v>
      </c>
      <c r="S34" s="4"/>
      <c r="T34" s="4"/>
      <c r="U34" s="4"/>
      <c r="V34" s="4">
        <v>23.785594639866002</v>
      </c>
      <c r="W34" s="4">
        <v>45.7286432160804</v>
      </c>
      <c r="X34" s="4">
        <v>55.192629815745399</v>
      </c>
      <c r="Y34" s="4">
        <v>46.063651591289798</v>
      </c>
      <c r="Z34" s="4">
        <v>89.028475711892796</v>
      </c>
      <c r="AA34" s="4">
        <v>93.969849246231107</v>
      </c>
      <c r="AB34" s="4"/>
      <c r="AC34" s="4"/>
      <c r="AD34" s="4"/>
    </row>
    <row r="37" spans="1:30">
      <c r="A37" s="53" t="s">
        <v>131</v>
      </c>
    </row>
    <row r="38" spans="1:30">
      <c r="A38" s="53" t="s">
        <v>60</v>
      </c>
      <c r="B38" s="198" t="s">
        <v>90</v>
      </c>
      <c r="C38" s="198"/>
      <c r="D38" s="198"/>
      <c r="E38" s="198"/>
      <c r="F38" s="198"/>
      <c r="G38" s="198"/>
      <c r="H38" s="198"/>
      <c r="I38" s="198"/>
      <c r="J38" s="198"/>
      <c r="S38" s="198" t="s">
        <v>91</v>
      </c>
      <c r="T38" s="198"/>
      <c r="U38" s="198"/>
      <c r="V38" s="198"/>
      <c r="W38" s="198"/>
      <c r="X38" s="198"/>
      <c r="Y38" s="198"/>
      <c r="Z38" s="198"/>
      <c r="AA38" s="198"/>
    </row>
    <row r="39" spans="1:30">
      <c r="A39" s="49" t="s">
        <v>92</v>
      </c>
      <c r="B39" s="4" t="s">
        <v>93</v>
      </c>
      <c r="C39" s="4" t="s">
        <v>94</v>
      </c>
      <c r="D39" s="4" t="s">
        <v>93</v>
      </c>
      <c r="E39" s="4" t="s">
        <v>94</v>
      </c>
      <c r="F39" s="4" t="s">
        <v>94</v>
      </c>
      <c r="G39" s="4" t="s">
        <v>94</v>
      </c>
      <c r="H39" s="4" t="s">
        <v>94</v>
      </c>
      <c r="I39" s="4" t="s">
        <v>94</v>
      </c>
      <c r="J39" s="4" t="s">
        <v>94</v>
      </c>
      <c r="R39" s="49" t="s">
        <v>92</v>
      </c>
      <c r="S39" s="4" t="s">
        <v>93</v>
      </c>
      <c r="T39" s="4" t="s">
        <v>94</v>
      </c>
      <c r="U39" s="4" t="s">
        <v>93</v>
      </c>
      <c r="V39" s="4" t="s">
        <v>94</v>
      </c>
      <c r="W39" s="4" t="s">
        <v>94</v>
      </c>
      <c r="X39" s="4" t="s">
        <v>94</v>
      </c>
      <c r="Y39" s="4" t="s">
        <v>94</v>
      </c>
      <c r="Z39" s="4" t="s">
        <v>94</v>
      </c>
      <c r="AA39" s="4" t="s">
        <v>94</v>
      </c>
    </row>
    <row r="40" spans="1:30">
      <c r="A40" s="191" t="s">
        <v>9</v>
      </c>
      <c r="B40" s="4" t="s">
        <v>93</v>
      </c>
      <c r="C40" s="4" t="s">
        <v>93</v>
      </c>
      <c r="D40" s="4" t="s">
        <v>132</v>
      </c>
      <c r="E40" s="4" t="s">
        <v>133</v>
      </c>
      <c r="F40" s="4" t="s">
        <v>134</v>
      </c>
      <c r="G40" s="4" t="s">
        <v>135</v>
      </c>
      <c r="H40" s="4" t="s">
        <v>136</v>
      </c>
      <c r="I40" s="4" t="s">
        <v>137</v>
      </c>
      <c r="J40" s="4" t="s">
        <v>132</v>
      </c>
      <c r="R40" s="191" t="s">
        <v>9</v>
      </c>
      <c r="S40" s="4" t="s">
        <v>93</v>
      </c>
      <c r="T40" s="4" t="s">
        <v>93</v>
      </c>
      <c r="U40" s="4" t="s">
        <v>117</v>
      </c>
      <c r="V40" s="4" t="s">
        <v>118</v>
      </c>
      <c r="W40" s="4" t="s">
        <v>119</v>
      </c>
      <c r="X40" s="4" t="s">
        <v>120</v>
      </c>
      <c r="Y40" s="4" t="s">
        <v>121</v>
      </c>
      <c r="Z40" s="4" t="s">
        <v>122</v>
      </c>
      <c r="AA40" s="4" t="s">
        <v>117</v>
      </c>
    </row>
    <row r="41" spans="1:30">
      <c r="A41" s="49" t="s">
        <v>105</v>
      </c>
      <c r="B41" s="4" t="s">
        <v>94</v>
      </c>
      <c r="C41" s="4" t="s">
        <v>94</v>
      </c>
      <c r="D41" s="4" t="s">
        <v>94</v>
      </c>
      <c r="E41" s="4" t="s">
        <v>94</v>
      </c>
      <c r="F41" s="4" t="s">
        <v>94</v>
      </c>
      <c r="G41" s="4" t="s">
        <v>94</v>
      </c>
      <c r="H41" s="4" t="s">
        <v>94</v>
      </c>
      <c r="I41" s="4" t="s">
        <v>94</v>
      </c>
      <c r="J41" s="4" t="s">
        <v>94</v>
      </c>
      <c r="R41" s="49" t="s">
        <v>105</v>
      </c>
      <c r="S41" s="4" t="s">
        <v>94</v>
      </c>
      <c r="T41" s="4" t="s">
        <v>94</v>
      </c>
      <c r="U41" s="4" t="s">
        <v>94</v>
      </c>
      <c r="V41" s="4" t="s">
        <v>94</v>
      </c>
      <c r="W41" s="4" t="s">
        <v>94</v>
      </c>
      <c r="X41" s="4" t="s">
        <v>94</v>
      </c>
      <c r="Y41" s="4" t="s">
        <v>94</v>
      </c>
      <c r="Z41" s="4" t="s">
        <v>94</v>
      </c>
      <c r="AA41" s="4" t="s">
        <v>94</v>
      </c>
    </row>
    <row r="42" spans="1:30">
      <c r="A42" s="49" t="s">
        <v>102</v>
      </c>
      <c r="B42" s="4" t="s">
        <v>138</v>
      </c>
      <c r="C42" s="4" t="s">
        <v>139</v>
      </c>
      <c r="D42" s="4">
        <v>0.503</v>
      </c>
      <c r="E42" s="4">
        <v>1.4970000000000001</v>
      </c>
      <c r="F42" s="4">
        <v>0.95799999999999996</v>
      </c>
      <c r="G42" s="4">
        <v>0.78500000000000003</v>
      </c>
      <c r="H42" s="4">
        <v>0.55600000000000005</v>
      </c>
      <c r="I42" s="4">
        <v>0.503</v>
      </c>
      <c r="J42" s="4">
        <v>0.497</v>
      </c>
      <c r="R42" s="49" t="s">
        <v>102</v>
      </c>
      <c r="S42" s="49" t="s">
        <v>140</v>
      </c>
      <c r="T42" s="49" t="s">
        <v>141</v>
      </c>
      <c r="U42" s="49" t="s">
        <v>142</v>
      </c>
      <c r="V42" s="49">
        <v>1.3149999999999999</v>
      </c>
      <c r="W42" s="49">
        <v>1.04</v>
      </c>
      <c r="X42" s="49">
        <v>0.84599999999999997</v>
      </c>
      <c r="Y42" s="49">
        <v>0.71499999999999997</v>
      </c>
      <c r="Z42" s="49">
        <v>0.749</v>
      </c>
      <c r="AA42" s="49">
        <v>0.73199999999999998</v>
      </c>
    </row>
    <row r="43" spans="1:30">
      <c r="A43" s="49" t="s">
        <v>129</v>
      </c>
      <c r="B43" s="4">
        <v>0.47949999999999998</v>
      </c>
      <c r="R43" s="49" t="s">
        <v>129</v>
      </c>
      <c r="S43" s="49">
        <v>0.42199999999999999</v>
      </c>
    </row>
    <row r="45" spans="1:30">
      <c r="A45" s="49" t="s">
        <v>130</v>
      </c>
      <c r="E45" s="49">
        <v>1.92771084337347</v>
      </c>
      <c r="F45" s="49">
        <v>53.879518072289201</v>
      </c>
      <c r="G45" s="49">
        <v>70.554216867469904</v>
      </c>
      <c r="H45" s="49">
        <v>92.6265060240964</v>
      </c>
      <c r="I45" s="49">
        <v>97.734939759036095</v>
      </c>
      <c r="J45" s="49">
        <v>98.313253012048193</v>
      </c>
      <c r="R45" s="49" t="s">
        <v>130</v>
      </c>
      <c r="V45" s="49">
        <v>1.3259668508287299</v>
      </c>
      <c r="W45" s="49">
        <v>31.712707182320401</v>
      </c>
      <c r="X45" s="49">
        <v>53.149171270718199</v>
      </c>
      <c r="Y45" s="49">
        <v>67.624309392265204</v>
      </c>
      <c r="Z45" s="49">
        <v>63.867403314917098</v>
      </c>
      <c r="AA45" s="49">
        <v>65.745856353591194</v>
      </c>
    </row>
    <row r="51" spans="1:31">
      <c r="A51" s="53" t="s">
        <v>143</v>
      </c>
      <c r="B51" s="53" t="s">
        <v>144</v>
      </c>
      <c r="I51" s="53"/>
      <c r="Q51" s="53"/>
    </row>
    <row r="52" spans="1:31">
      <c r="B52" s="198" t="s">
        <v>73</v>
      </c>
      <c r="C52" s="198"/>
      <c r="D52" s="198"/>
      <c r="E52" s="198"/>
      <c r="F52" s="198"/>
      <c r="G52" s="198"/>
      <c r="J52" s="198" t="s">
        <v>6</v>
      </c>
      <c r="K52" s="198"/>
      <c r="L52" s="198"/>
      <c r="M52" s="198"/>
      <c r="N52" s="198"/>
      <c r="O52" s="198"/>
      <c r="R52" s="198" t="s">
        <v>8</v>
      </c>
      <c r="S52" s="198"/>
      <c r="T52" s="198"/>
      <c r="U52" s="198"/>
      <c r="V52" s="198"/>
      <c r="W52" s="198"/>
      <c r="Z52" s="198" t="s">
        <v>3</v>
      </c>
      <c r="AA52" s="198"/>
      <c r="AB52" s="198"/>
      <c r="AC52" s="198"/>
      <c r="AD52" s="198"/>
      <c r="AE52" s="198"/>
    </row>
    <row r="53" spans="1:31">
      <c r="A53" s="10" t="s">
        <v>145</v>
      </c>
      <c r="B53" s="193" t="s">
        <v>146</v>
      </c>
      <c r="C53" s="193"/>
      <c r="D53" s="193"/>
      <c r="E53" s="193" t="s">
        <v>147</v>
      </c>
      <c r="F53" s="193"/>
      <c r="G53" s="193"/>
      <c r="I53" s="10" t="s">
        <v>145</v>
      </c>
      <c r="J53" s="193" t="s">
        <v>146</v>
      </c>
      <c r="K53" s="193"/>
      <c r="L53" s="193"/>
      <c r="M53" s="193" t="s">
        <v>147</v>
      </c>
      <c r="N53" s="193"/>
      <c r="O53" s="193"/>
      <c r="Q53" s="10" t="s">
        <v>145</v>
      </c>
      <c r="R53" s="193" t="s">
        <v>146</v>
      </c>
      <c r="S53" s="193"/>
      <c r="T53" s="193"/>
      <c r="U53" s="193" t="s">
        <v>147</v>
      </c>
      <c r="V53" s="193"/>
      <c r="W53" s="193"/>
      <c r="Y53" s="10" t="s">
        <v>145</v>
      </c>
      <c r="Z53" s="193" t="s">
        <v>146</v>
      </c>
      <c r="AA53" s="193"/>
      <c r="AB53" s="193"/>
      <c r="AC53" s="193" t="s">
        <v>147</v>
      </c>
      <c r="AD53" s="193"/>
      <c r="AE53" s="193"/>
    </row>
    <row r="54" spans="1:31">
      <c r="A54" s="27">
        <v>666.66669999999999</v>
      </c>
      <c r="B54" s="64">
        <v>84.095280000000002</v>
      </c>
      <c r="C54" s="64">
        <v>99.209639999999993</v>
      </c>
      <c r="D54" s="64">
        <v>95.431049999999999</v>
      </c>
      <c r="E54" s="64">
        <v>84.334959999999995</v>
      </c>
      <c r="F54" s="64">
        <v>87.208089999999999</v>
      </c>
      <c r="G54" s="64">
        <v>74.521699999999996</v>
      </c>
      <c r="I54" s="27">
        <v>666.66669999999999</v>
      </c>
      <c r="J54" s="64">
        <v>96.297290000000004</v>
      </c>
      <c r="K54" s="64">
        <v>95.643979999999999</v>
      </c>
      <c r="L54" s="64">
        <v>97.603909999999999</v>
      </c>
      <c r="M54" s="64">
        <v>95.958600000000004</v>
      </c>
      <c r="N54" s="64">
        <v>96.143659999999997</v>
      </c>
      <c r="O54" s="64">
        <v>95.403409999999994</v>
      </c>
      <c r="Q54" s="27">
        <v>666.66669999999999</v>
      </c>
      <c r="R54" s="64">
        <v>83.013819999999996</v>
      </c>
      <c r="S54" s="64">
        <v>85.373379999999997</v>
      </c>
      <c r="T54" s="64">
        <v>87.396010000000004</v>
      </c>
      <c r="U54" s="64">
        <v>96.915639999999996</v>
      </c>
      <c r="V54" s="64">
        <v>94.601680000000002</v>
      </c>
      <c r="W54" s="64">
        <v>94.468469999999996</v>
      </c>
      <c r="Y54" s="27">
        <v>666.66669999999999</v>
      </c>
      <c r="Z54" s="64">
        <v>96.570496370701704</v>
      </c>
      <c r="AA54" s="64">
        <v>92.526944790673795</v>
      </c>
      <c r="AB54" s="64">
        <v>95.493621233228197</v>
      </c>
      <c r="AC54" s="64">
        <v>97.091109109316605</v>
      </c>
      <c r="AD54" s="64">
        <v>95.751855424376004</v>
      </c>
      <c r="AE54" s="64">
        <v>94.0299578294524</v>
      </c>
    </row>
    <row r="55" spans="1:31">
      <c r="A55" s="27">
        <v>222.22219999999999</v>
      </c>
      <c r="B55" s="64">
        <v>91.652460000000005</v>
      </c>
      <c r="C55" s="64">
        <v>76.5381</v>
      </c>
      <c r="D55" s="64">
        <v>100</v>
      </c>
      <c r="E55" s="64">
        <v>82.230609999999999</v>
      </c>
      <c r="F55" s="64">
        <v>72.417349999999999</v>
      </c>
      <c r="G55" s="64">
        <v>80.837760000000003</v>
      </c>
      <c r="I55" s="27">
        <v>222.22219999999999</v>
      </c>
      <c r="J55" s="64">
        <v>92.377430000000004</v>
      </c>
      <c r="K55" s="64">
        <v>97.603909999999999</v>
      </c>
      <c r="L55" s="64">
        <v>93.684049999999999</v>
      </c>
      <c r="M55" s="64">
        <v>87.163920000000005</v>
      </c>
      <c r="N55" s="64">
        <v>83.644829999999999</v>
      </c>
      <c r="O55" s="64">
        <v>85.867429999999999</v>
      </c>
      <c r="Q55" s="27">
        <v>222.22219999999999</v>
      </c>
      <c r="R55" s="64">
        <v>85.710329999999999</v>
      </c>
      <c r="S55" s="64">
        <v>85.036439999999999</v>
      </c>
      <c r="T55" s="64">
        <v>85.373379999999997</v>
      </c>
      <c r="U55" s="64">
        <v>87.168019999999999</v>
      </c>
      <c r="V55" s="64">
        <v>87.034570000000002</v>
      </c>
      <c r="W55" s="64">
        <v>83.729910000000004</v>
      </c>
      <c r="Y55" s="27">
        <v>222.22219999999999</v>
      </c>
      <c r="Z55" s="64">
        <v>83.008285064887502</v>
      </c>
      <c r="AA55" s="64">
        <v>79.201187770364399</v>
      </c>
      <c r="AB55" s="64">
        <v>90.300791846909604</v>
      </c>
      <c r="AC55" s="64">
        <v>91.742863292491407</v>
      </c>
      <c r="AD55" s="64">
        <v>90.185980883748002</v>
      </c>
      <c r="AE55" s="64">
        <v>89.096242915108903</v>
      </c>
    </row>
    <row r="56" spans="1:31">
      <c r="A56" s="27">
        <v>74.074070000000006</v>
      </c>
      <c r="B56" s="64">
        <v>84.095280000000002</v>
      </c>
      <c r="C56" s="64">
        <v>91.652460000000005</v>
      </c>
      <c r="D56" s="64">
        <v>91.652460000000005</v>
      </c>
      <c r="E56" s="64">
        <v>79.785589999999999</v>
      </c>
      <c r="F56" s="64">
        <v>88.202979999999997</v>
      </c>
      <c r="G56" s="64">
        <v>86.09863</v>
      </c>
      <c r="I56" s="27">
        <v>74.074070000000006</v>
      </c>
      <c r="J56" s="64">
        <v>92.377430000000004</v>
      </c>
      <c r="K56" s="64">
        <v>79.307500000000005</v>
      </c>
      <c r="L56" s="64">
        <v>87.149090000000001</v>
      </c>
      <c r="M56" s="64">
        <v>74.104069999999993</v>
      </c>
      <c r="N56" s="64">
        <v>61.96369</v>
      </c>
      <c r="O56" s="64">
        <v>59.46058</v>
      </c>
      <c r="Q56" s="27">
        <v>74.074070000000006</v>
      </c>
      <c r="R56" s="64">
        <v>77.283850000000001</v>
      </c>
      <c r="S56" s="64">
        <v>70.879040000000003</v>
      </c>
      <c r="T56" s="64">
        <v>75.936080000000004</v>
      </c>
      <c r="U56" s="64">
        <v>68.121399999999994</v>
      </c>
      <c r="V56" s="64">
        <v>63.005800000000001</v>
      </c>
      <c r="W56" s="64">
        <v>63.744190000000003</v>
      </c>
      <c r="Y56" s="27">
        <v>74.074070000000006</v>
      </c>
      <c r="Z56" s="64">
        <v>73.523535449812996</v>
      </c>
      <c r="AA56" s="64">
        <v>83.042195175599403</v>
      </c>
      <c r="AB56" s="64">
        <v>86.850208959601105</v>
      </c>
      <c r="AC56" s="64">
        <v>83.454636767296705</v>
      </c>
      <c r="AD56" s="64">
        <v>83.228239120556793</v>
      </c>
      <c r="AE56" s="64">
        <v>89.021308482737197</v>
      </c>
    </row>
    <row r="57" spans="1:31">
      <c r="A57" s="27">
        <v>24.69136</v>
      </c>
      <c r="B57" s="64">
        <v>61.412909999999997</v>
      </c>
      <c r="C57" s="64">
        <v>61.412909999999997</v>
      </c>
      <c r="D57" s="64">
        <v>84.095280000000002</v>
      </c>
      <c r="E57" s="64">
        <v>81.889930000000007</v>
      </c>
      <c r="F57" s="64">
        <v>72.417349999999999</v>
      </c>
      <c r="G57" s="64">
        <v>70.313000000000002</v>
      </c>
      <c r="I57" s="27">
        <v>24.69136</v>
      </c>
      <c r="J57" s="64">
        <v>79.307500000000005</v>
      </c>
      <c r="K57" s="64">
        <v>70.812610000000006</v>
      </c>
      <c r="L57" s="64">
        <v>74.081029999999998</v>
      </c>
      <c r="M57" s="64">
        <v>51.57902</v>
      </c>
      <c r="N57" s="64">
        <v>50.2804</v>
      </c>
      <c r="O57" s="64">
        <v>44.436639999999997</v>
      </c>
      <c r="Q57" s="27">
        <v>24.69136</v>
      </c>
      <c r="R57" s="64">
        <v>59.079270000000001</v>
      </c>
      <c r="S57" s="64">
        <v>70.205150000000003</v>
      </c>
      <c r="T57" s="64">
        <v>63.799370000000003</v>
      </c>
      <c r="U57" s="64">
        <v>54.841050000000003</v>
      </c>
      <c r="V57" s="64">
        <v>44.704569999999997</v>
      </c>
      <c r="W57" s="64">
        <v>45.716000000000001</v>
      </c>
      <c r="Y57" s="27">
        <v>24.69136</v>
      </c>
      <c r="Z57" s="64">
        <v>66.800168634064093</v>
      </c>
      <c r="AA57" s="64">
        <v>65.758120096781298</v>
      </c>
      <c r="AB57" s="64">
        <v>76.724833198914894</v>
      </c>
      <c r="AC57" s="64">
        <v>67.867477659175904</v>
      </c>
      <c r="AD57" s="64">
        <v>75.356137847468602</v>
      </c>
      <c r="AE57" s="64">
        <v>67.589263649625707</v>
      </c>
    </row>
    <row r="58" spans="1:31">
      <c r="A58" s="27">
        <v>8.2304530000000007</v>
      </c>
      <c r="B58" s="64">
        <v>76.5381</v>
      </c>
      <c r="C58" s="64">
        <v>69.864900000000006</v>
      </c>
      <c r="D58" s="64">
        <v>65.191500000000005</v>
      </c>
      <c r="E58" s="64">
        <v>62.944760000000002</v>
      </c>
      <c r="F58" s="64">
        <v>52.42</v>
      </c>
      <c r="G58" s="64">
        <v>67.156480000000002</v>
      </c>
      <c r="I58" s="27">
        <v>8.2304530000000007</v>
      </c>
      <c r="J58" s="64">
        <v>74.734340000000003</v>
      </c>
      <c r="K58" s="64">
        <v>62.317720000000001</v>
      </c>
      <c r="L58" s="64">
        <v>49.89922</v>
      </c>
      <c r="M58" s="64">
        <v>38.312890000000003</v>
      </c>
      <c r="N58" s="64">
        <v>23.646080000000001</v>
      </c>
      <c r="O58" s="64">
        <v>21.32432</v>
      </c>
      <c r="Q58" s="27">
        <v>8.2304530000000007</v>
      </c>
      <c r="R58" s="64">
        <v>54.022219999999997</v>
      </c>
      <c r="S58" s="64">
        <v>61.776739999999997</v>
      </c>
      <c r="T58" s="64">
        <v>56.719700000000003</v>
      </c>
      <c r="U58" s="64">
        <v>44.333660000000002</v>
      </c>
      <c r="V58" s="64">
        <v>32.700020000000002</v>
      </c>
      <c r="W58" s="64">
        <v>34.322960000000002</v>
      </c>
      <c r="Y58" s="27">
        <v>8.2304530000000007</v>
      </c>
      <c r="Z58" s="64">
        <v>47.5868832025808</v>
      </c>
      <c r="AA58" s="64">
        <v>53.671456851675302</v>
      </c>
      <c r="AB58" s="64">
        <v>42.032956961654101</v>
      </c>
      <c r="AC58" s="64">
        <v>53.389985890005804</v>
      </c>
      <c r="AD58" s="64">
        <v>54.957231571311297</v>
      </c>
      <c r="AE58" s="64">
        <v>48.934575863140999</v>
      </c>
    </row>
    <row r="59" spans="1:31">
      <c r="A59" s="27">
        <v>2.743484</v>
      </c>
      <c r="B59" s="64">
        <v>45.280819999999999</v>
      </c>
      <c r="C59" s="64">
        <v>49.675980000000003</v>
      </c>
      <c r="D59" s="64">
        <v>50.07714</v>
      </c>
      <c r="E59" s="64">
        <v>61.892589999999998</v>
      </c>
      <c r="F59" s="64">
        <v>61.892589999999998</v>
      </c>
      <c r="G59" s="64">
        <v>37.686540000000001</v>
      </c>
      <c r="I59" s="27">
        <v>2.743484</v>
      </c>
      <c r="J59" s="64">
        <v>36.827419999999996</v>
      </c>
      <c r="K59" s="64">
        <v>55.780880000000003</v>
      </c>
      <c r="L59" s="64">
        <v>50.552529999999997</v>
      </c>
      <c r="M59" s="64">
        <v>30.98068</v>
      </c>
      <c r="N59" s="64">
        <v>30.60923</v>
      </c>
      <c r="O59" s="64">
        <v>13.15058</v>
      </c>
      <c r="Q59" s="27">
        <v>2.743484</v>
      </c>
      <c r="R59" s="64">
        <v>55.707900000000002</v>
      </c>
      <c r="S59" s="64">
        <v>50.9878</v>
      </c>
      <c r="T59" s="64">
        <v>41.88261</v>
      </c>
      <c r="U59" s="64">
        <v>36.688560000000003</v>
      </c>
      <c r="V59" s="64">
        <v>26.371079999999999</v>
      </c>
      <c r="W59" s="64">
        <v>24.761859999999999</v>
      </c>
      <c r="Y59" s="27">
        <v>2.743484</v>
      </c>
      <c r="Z59" s="64">
        <v>43.940171566830401</v>
      </c>
      <c r="AA59" s="64">
        <v>53.030830706063497</v>
      </c>
      <c r="AB59" s="64">
        <v>44.307683847789399</v>
      </c>
      <c r="AC59" s="64">
        <v>39.188316605948501</v>
      </c>
      <c r="AD59" s="64">
        <v>51.855424376011399</v>
      </c>
      <c r="AE59" s="64">
        <v>35.740535542038998</v>
      </c>
    </row>
    <row r="60" spans="1:31">
      <c r="A60" s="27">
        <v>0.91449499999999995</v>
      </c>
      <c r="B60" s="64">
        <v>19.848420000000001</v>
      </c>
      <c r="C60" s="64">
        <v>16.059010000000001</v>
      </c>
      <c r="D60" s="64">
        <v>18.958715000000002</v>
      </c>
      <c r="E60" s="64">
        <v>11.37012</v>
      </c>
      <c r="F60" s="64">
        <v>25.05442</v>
      </c>
      <c r="G60" s="64">
        <v>48.211300000000001</v>
      </c>
      <c r="I60" s="27">
        <v>0.91449499999999995</v>
      </c>
      <c r="J60" s="64">
        <v>36.172240000000002</v>
      </c>
      <c r="K60" s="64">
        <v>27.675470000000001</v>
      </c>
      <c r="L60" s="64">
        <v>38.787350000000004</v>
      </c>
      <c r="M60" s="64">
        <v>16.494679999999999</v>
      </c>
      <c r="N60" s="64">
        <v>25.595859999999998</v>
      </c>
      <c r="O60" s="64">
        <v>10.363250000000001</v>
      </c>
      <c r="Q60" s="27">
        <v>0.91449499999999995</v>
      </c>
      <c r="R60" s="64">
        <v>33.452280000000002</v>
      </c>
      <c r="S60" s="64">
        <v>16.249829999999999</v>
      </c>
      <c r="T60" s="64">
        <v>27.043600000000001</v>
      </c>
      <c r="U60" s="64">
        <v>26.354120000000002</v>
      </c>
      <c r="V60" s="64">
        <v>20.60895</v>
      </c>
      <c r="W60" s="64">
        <v>20.10012</v>
      </c>
      <c r="Y60" s="27">
        <v>0.91449499999999995</v>
      </c>
      <c r="Z60" s="64">
        <v>31.892000879829901</v>
      </c>
      <c r="AA60" s="64">
        <v>17.529694259109899</v>
      </c>
      <c r="AB60" s="64">
        <v>30.538345919788799</v>
      </c>
      <c r="AC60" s="64">
        <v>24.426233428728601</v>
      </c>
      <c r="AD60" s="64">
        <v>29.718677008681201</v>
      </c>
      <c r="AE60" s="64">
        <v>36.143905997146099</v>
      </c>
    </row>
    <row r="61" spans="1:31">
      <c r="A61" s="27">
        <v>0.30483199999999999</v>
      </c>
      <c r="B61" s="64">
        <v>34.962780000000002</v>
      </c>
      <c r="C61" s="64">
        <v>-10.3911</v>
      </c>
      <c r="D61" s="64">
        <v>27.4056</v>
      </c>
      <c r="E61" s="64">
        <v>-4.4215499999999999</v>
      </c>
      <c r="F61" s="64">
        <v>-5.4737200000000001</v>
      </c>
      <c r="G61" s="64">
        <v>18.73836</v>
      </c>
      <c r="I61" s="27">
        <v>0.30483199999999999</v>
      </c>
      <c r="J61" s="64">
        <v>15.90842</v>
      </c>
      <c r="K61" s="64">
        <v>17.87022</v>
      </c>
      <c r="L61" s="64">
        <v>47.284109999999998</v>
      </c>
      <c r="M61" s="64">
        <v>18.538049999999998</v>
      </c>
      <c r="N61" s="64">
        <v>14.915559999999999</v>
      </c>
      <c r="O61" s="64">
        <v>-3.02033</v>
      </c>
      <c r="Q61" s="27">
        <v>0.30483199999999999</v>
      </c>
      <c r="R61" s="64">
        <v>19.960070000000002</v>
      </c>
      <c r="S61" s="64">
        <v>25.356950000000001</v>
      </c>
      <c r="T61" s="64">
        <v>31.42869</v>
      </c>
      <c r="U61" s="64">
        <v>30.078240000000001</v>
      </c>
      <c r="V61" s="64">
        <v>18.98049</v>
      </c>
      <c r="W61" s="64">
        <v>8.2436000000000007</v>
      </c>
      <c r="Y61" s="27">
        <v>0.30483199999999999</v>
      </c>
      <c r="Z61" s="64">
        <v>16.125632377740299</v>
      </c>
      <c r="AA61" s="64">
        <v>19.968472761932698</v>
      </c>
      <c r="AB61" s="64">
        <v>39.825133807463899</v>
      </c>
      <c r="AC61" s="64">
        <v>21.0828822652519</v>
      </c>
      <c r="AD61" s="64">
        <v>27.956920673134402</v>
      </c>
      <c r="AE61" s="64">
        <v>28.882440630405799</v>
      </c>
    </row>
    <row r="62" spans="1:31">
      <c r="A62" s="27">
        <v>0.10161100000000001</v>
      </c>
      <c r="B62" s="64">
        <v>-10.3911</v>
      </c>
      <c r="C62" s="64">
        <v>46.298549999999999</v>
      </c>
      <c r="D62" s="64">
        <v>-2.8339400000000001</v>
      </c>
      <c r="E62" s="64">
        <v>29.26613</v>
      </c>
      <c r="F62" s="64">
        <v>-18.105799999999999</v>
      </c>
      <c r="G62" s="64">
        <v>22.95007</v>
      </c>
      <c r="I62" s="27">
        <v>0.10161100000000001</v>
      </c>
      <c r="J62" s="64">
        <v>17.87022</v>
      </c>
      <c r="K62" s="64">
        <v>21.138639999999999</v>
      </c>
      <c r="L62" s="64">
        <v>2.8328730000000002</v>
      </c>
      <c r="M62" s="64">
        <v>17.05199</v>
      </c>
      <c r="N62" s="64">
        <v>9.5270259999999993</v>
      </c>
      <c r="O62" s="64">
        <v>6.6463720000000004</v>
      </c>
      <c r="Q62" s="27">
        <v>0.10161100000000001</v>
      </c>
      <c r="R62" s="64">
        <v>14.563190000000001</v>
      </c>
      <c r="S62" s="64">
        <v>24.683070000000001</v>
      </c>
      <c r="T62" s="64">
        <v>15.57498</v>
      </c>
      <c r="U62" s="64">
        <v>16.434750000000001</v>
      </c>
      <c r="V62" s="64">
        <v>14.855589999999999</v>
      </c>
      <c r="W62" s="64">
        <v>6.3379469999999998</v>
      </c>
      <c r="Y62" s="27">
        <v>0.10161100000000001</v>
      </c>
      <c r="Z62" s="64">
        <v>9.3985996040765407</v>
      </c>
      <c r="AA62" s="64">
        <v>9.0778282865312701</v>
      </c>
      <c r="AB62" s="64">
        <v>15.4840897426498</v>
      </c>
      <c r="AC62" s="64">
        <v>14.6751911226613</v>
      </c>
      <c r="AD62" s="64">
        <v>27.489776233030099</v>
      </c>
      <c r="AE62" s="64">
        <v>11.053625949634499</v>
      </c>
    </row>
    <row r="63" spans="1:31">
      <c r="Z63" s="64"/>
      <c r="AA63" s="64"/>
      <c r="AB63" s="64"/>
      <c r="AC63" s="64"/>
      <c r="AD63" s="64"/>
      <c r="AE63" s="64"/>
    </row>
    <row r="64" spans="1:31">
      <c r="A64" s="53" t="s">
        <v>148</v>
      </c>
      <c r="B64" s="53" t="s">
        <v>78</v>
      </c>
    </row>
    <row r="65" spans="1:31">
      <c r="B65" s="198" t="s">
        <v>73</v>
      </c>
      <c r="C65" s="198"/>
      <c r="D65" s="198"/>
      <c r="E65" s="198"/>
      <c r="F65" s="198"/>
      <c r="G65" s="198"/>
      <c r="J65" s="198" t="s">
        <v>6</v>
      </c>
      <c r="K65" s="198"/>
      <c r="L65" s="198"/>
      <c r="M65" s="198"/>
      <c r="N65" s="198"/>
      <c r="O65" s="198"/>
      <c r="R65" s="198" t="s">
        <v>8</v>
      </c>
      <c r="S65" s="198"/>
      <c r="T65" s="198"/>
      <c r="U65" s="198"/>
      <c r="V65" s="198"/>
      <c r="W65" s="198"/>
      <c r="Z65" s="198" t="s">
        <v>3</v>
      </c>
      <c r="AA65" s="198"/>
      <c r="AB65" s="198"/>
      <c r="AC65" s="198"/>
      <c r="AD65" s="198"/>
      <c r="AE65" s="198"/>
    </row>
    <row r="66" spans="1:31">
      <c r="A66" s="10" t="s">
        <v>145</v>
      </c>
      <c r="B66" s="193" t="s">
        <v>146</v>
      </c>
      <c r="C66" s="193"/>
      <c r="D66" s="193"/>
      <c r="E66" s="193" t="s">
        <v>147</v>
      </c>
      <c r="F66" s="193"/>
      <c r="G66" s="193"/>
      <c r="I66" s="10" t="s">
        <v>145</v>
      </c>
      <c r="J66" s="193" t="s">
        <v>146</v>
      </c>
      <c r="K66" s="193"/>
      <c r="L66" s="193"/>
      <c r="M66" s="193" t="s">
        <v>147</v>
      </c>
      <c r="N66" s="193"/>
      <c r="O66" s="193"/>
      <c r="Q66" s="10" t="s">
        <v>145</v>
      </c>
      <c r="R66" s="193" t="s">
        <v>146</v>
      </c>
      <c r="S66" s="193"/>
      <c r="T66" s="193"/>
      <c r="U66" s="193" t="s">
        <v>147</v>
      </c>
      <c r="V66" s="193"/>
      <c r="W66" s="193"/>
      <c r="Y66" s="10" t="s">
        <v>145</v>
      </c>
      <c r="Z66" s="193" t="s">
        <v>146</v>
      </c>
      <c r="AA66" s="193"/>
      <c r="AB66" s="193"/>
      <c r="AC66" s="193" t="s">
        <v>147</v>
      </c>
      <c r="AD66" s="193"/>
      <c r="AE66" s="193"/>
    </row>
    <row r="67" spans="1:31">
      <c r="A67" s="27">
        <v>666.66669999999999</v>
      </c>
      <c r="B67" s="27">
        <v>96.949619999999996</v>
      </c>
      <c r="C67" s="27">
        <v>95.67877</v>
      </c>
      <c r="D67" s="27">
        <v>97.276740000000004</v>
      </c>
      <c r="E67" s="27">
        <v>92.322450000000003</v>
      </c>
      <c r="F67" s="27">
        <v>95.79195</v>
      </c>
      <c r="G67" s="27">
        <v>89.65343</v>
      </c>
      <c r="I67" s="27">
        <v>666.66669999999999</v>
      </c>
      <c r="J67" s="27">
        <v>97.446460000000002</v>
      </c>
      <c r="K67" s="27">
        <v>98.510649999999998</v>
      </c>
      <c r="L67" s="27">
        <v>98.966740000000001</v>
      </c>
      <c r="M67" s="27">
        <v>96.539249999999996</v>
      </c>
      <c r="N67" s="27">
        <v>96.370199999999997</v>
      </c>
      <c r="O67" s="27">
        <v>95.905199999999994</v>
      </c>
      <c r="Q67" s="27">
        <v>666.66669999999999</v>
      </c>
      <c r="R67" s="27">
        <v>99.443910000000002</v>
      </c>
      <c r="S67" s="27">
        <v>96.290049999999994</v>
      </c>
      <c r="T67" s="27">
        <v>98.392960000000002</v>
      </c>
      <c r="U67" s="27">
        <v>96.470569999999995</v>
      </c>
      <c r="V67" s="27">
        <v>97.021420000000006</v>
      </c>
      <c r="W67" s="27">
        <v>96.575500000000005</v>
      </c>
      <c r="Y67" s="27">
        <v>666.66669999999999</v>
      </c>
      <c r="Z67" s="64">
        <v>94.057482220104106</v>
      </c>
      <c r="AA67" s="64">
        <v>94.671530170833606</v>
      </c>
      <c r="AB67" s="64">
        <v>97.899406114817793</v>
      </c>
      <c r="AC67" s="64">
        <v>98.048414008788299</v>
      </c>
      <c r="AD67" s="64">
        <v>97.438652584497405</v>
      </c>
      <c r="AE67" s="64">
        <v>98.048414008788299</v>
      </c>
    </row>
    <row r="68" spans="1:31">
      <c r="A68" s="27">
        <v>222.22219999999999</v>
      </c>
      <c r="B68" s="27">
        <v>95.718019999999996</v>
      </c>
      <c r="C68" s="27">
        <v>96.135099999999994</v>
      </c>
      <c r="D68" s="27">
        <v>95.564279999999997</v>
      </c>
      <c r="E68" s="27">
        <v>90.453909999999993</v>
      </c>
      <c r="F68" s="27">
        <v>92.589280000000002</v>
      </c>
      <c r="G68" s="27">
        <v>96.859260000000006</v>
      </c>
      <c r="I68" s="27">
        <v>222.22219999999999</v>
      </c>
      <c r="J68" s="27">
        <v>98.054569999999998</v>
      </c>
      <c r="K68" s="27">
        <v>97.142409999999998</v>
      </c>
      <c r="L68" s="27">
        <v>98.054569999999998</v>
      </c>
      <c r="M68" s="27">
        <v>93.626639999999995</v>
      </c>
      <c r="N68" s="27">
        <v>94.485529999999997</v>
      </c>
      <c r="O68" s="27">
        <v>94.041349999999994</v>
      </c>
      <c r="Q68" s="27">
        <v>222.22219999999999</v>
      </c>
      <c r="R68" s="27">
        <v>94.538460000000001</v>
      </c>
      <c r="S68" s="27">
        <v>94.888779999999997</v>
      </c>
      <c r="T68" s="27">
        <v>94.888779999999997</v>
      </c>
      <c r="U68" s="27">
        <v>91.563500000000005</v>
      </c>
      <c r="V68" s="27">
        <v>92.193510000000003</v>
      </c>
      <c r="W68" s="27">
        <v>95.132660000000001</v>
      </c>
      <c r="Y68" s="27">
        <v>222.22219999999999</v>
      </c>
      <c r="Z68" s="64">
        <v>91.267688246938903</v>
      </c>
      <c r="AA68" s="64">
        <v>90.017596597991101</v>
      </c>
      <c r="AB68" s="64">
        <v>96.2139819634871</v>
      </c>
      <c r="AC68" s="64">
        <v>92.559687606468003</v>
      </c>
      <c r="AD68" s="64">
        <v>95.304487599479302</v>
      </c>
      <c r="AE68" s="64">
        <v>99.572817569515394</v>
      </c>
    </row>
    <row r="69" spans="1:31">
      <c r="A69" s="27">
        <v>74.074070000000006</v>
      </c>
      <c r="B69" s="27">
        <v>94.082430000000002</v>
      </c>
      <c r="C69" s="27">
        <v>95.410529999999994</v>
      </c>
      <c r="D69" s="27">
        <v>95.564279999999997</v>
      </c>
      <c r="E69" s="27">
        <v>86.717590000000001</v>
      </c>
      <c r="F69" s="27">
        <v>94.990710000000007</v>
      </c>
      <c r="G69" s="27">
        <v>86.984409999999997</v>
      </c>
      <c r="I69" s="27">
        <v>74.074070000000006</v>
      </c>
      <c r="J69" s="27">
        <v>96.229810000000001</v>
      </c>
      <c r="K69" s="27">
        <v>95.31765</v>
      </c>
      <c r="L69" s="27">
        <v>96.381839999999997</v>
      </c>
      <c r="M69" s="27">
        <v>90.399569999999997</v>
      </c>
      <c r="N69" s="27">
        <v>90.429879999999997</v>
      </c>
      <c r="O69" s="27">
        <v>91.158749999999998</v>
      </c>
      <c r="Q69" s="27">
        <v>74.074070000000006</v>
      </c>
      <c r="R69" s="27">
        <v>98.042640000000006</v>
      </c>
      <c r="S69" s="27">
        <v>94.538460000000001</v>
      </c>
      <c r="T69" s="27">
        <v>89.983339999999998</v>
      </c>
      <c r="U69" s="27">
        <v>83.919839999999994</v>
      </c>
      <c r="V69" s="27">
        <v>84.445530000000005</v>
      </c>
      <c r="W69" s="27">
        <v>86.915400000000005</v>
      </c>
      <c r="Y69" s="27">
        <v>74.074070000000006</v>
      </c>
      <c r="Z69" s="64">
        <v>90.220140772783907</v>
      </c>
      <c r="AA69" s="64">
        <v>89.275240120243396</v>
      </c>
      <c r="AB69" s="64">
        <v>88.998460297675805</v>
      </c>
      <c r="AC69" s="64">
        <v>92.152597601139107</v>
      </c>
      <c r="AD69" s="64">
        <v>93.903259340793696</v>
      </c>
      <c r="AE69" s="64">
        <v>91.199517781796303</v>
      </c>
    </row>
    <row r="70" spans="1:31">
      <c r="A70" s="27">
        <v>24.69136</v>
      </c>
      <c r="B70" s="27">
        <v>87.232579999999999</v>
      </c>
      <c r="C70" s="27">
        <v>91.568529999999996</v>
      </c>
      <c r="D70" s="27">
        <v>85.673860000000005</v>
      </c>
      <c r="E70" s="27">
        <v>89.386610000000005</v>
      </c>
      <c r="F70" s="27">
        <v>80.845129999999997</v>
      </c>
      <c r="G70" s="27">
        <v>84.582220000000007</v>
      </c>
      <c r="I70" s="27">
        <v>24.69136</v>
      </c>
      <c r="J70" s="27">
        <v>89.994950000000003</v>
      </c>
      <c r="K70" s="27">
        <v>90.907110000000003</v>
      </c>
      <c r="L70" s="27">
        <v>90.603059999999999</v>
      </c>
      <c r="M70" s="27">
        <v>81.518500000000003</v>
      </c>
      <c r="N70" s="27">
        <v>80.839370000000002</v>
      </c>
      <c r="O70" s="27">
        <v>87.386629999999997</v>
      </c>
      <c r="Q70" s="27">
        <v>24.69136</v>
      </c>
      <c r="R70" s="27">
        <v>79.821129999999997</v>
      </c>
      <c r="S70" s="27">
        <v>84.026939999999996</v>
      </c>
      <c r="T70" s="27">
        <v>87.1798</v>
      </c>
      <c r="U70" s="27">
        <v>69.316249999999997</v>
      </c>
      <c r="V70" s="27">
        <v>73.608710000000002</v>
      </c>
      <c r="W70" s="27">
        <v>76.00385</v>
      </c>
      <c r="Y70" s="27">
        <v>24.69136</v>
      </c>
      <c r="Z70" s="64">
        <v>81.709619473568395</v>
      </c>
      <c r="AA70" s="64">
        <v>84.182308087103195</v>
      </c>
      <c r="AB70" s="64">
        <v>83.935772417332601</v>
      </c>
      <c r="AC70" s="64">
        <v>86.361611237780707</v>
      </c>
      <c r="AD70" s="64">
        <v>83.435979418368007</v>
      </c>
      <c r="AE70" s="64">
        <v>86.155445484008993</v>
      </c>
    </row>
    <row r="71" spans="1:31">
      <c r="A71" s="27">
        <v>8.2304530000000007</v>
      </c>
      <c r="B71" s="27">
        <v>71.012429999999995</v>
      </c>
      <c r="C71" s="27">
        <v>78.43638</v>
      </c>
      <c r="D71" s="27">
        <v>80.148840000000007</v>
      </c>
      <c r="E71" s="27">
        <v>75.505549999999999</v>
      </c>
      <c r="F71" s="27">
        <v>72.302120000000002</v>
      </c>
      <c r="G71" s="27">
        <v>81.378780000000006</v>
      </c>
      <c r="I71" s="27">
        <v>8.2304530000000007</v>
      </c>
      <c r="J71" s="27">
        <v>80.412000000000006</v>
      </c>
      <c r="K71" s="27">
        <v>76.304209999999998</v>
      </c>
      <c r="L71" s="27">
        <v>84.823400000000007</v>
      </c>
      <c r="M71" s="27">
        <v>63.52505</v>
      </c>
      <c r="N71" s="27">
        <v>67.285730000000001</v>
      </c>
      <c r="O71" s="27">
        <v>69.363169999999997</v>
      </c>
      <c r="Q71" s="27">
        <v>8.2304530000000007</v>
      </c>
      <c r="R71" s="27">
        <v>66.503050000000002</v>
      </c>
      <c r="S71" s="27">
        <v>54.93656</v>
      </c>
      <c r="T71" s="27">
        <v>71.410499999999999</v>
      </c>
      <c r="U71" s="27">
        <v>52.671950000000002</v>
      </c>
      <c r="V71" s="27">
        <v>61.54025</v>
      </c>
      <c r="W71" s="27">
        <v>63.491720000000001</v>
      </c>
      <c r="Y71" s="27">
        <v>8.2304530000000007</v>
      </c>
      <c r="Z71" s="64">
        <v>72.405418285798106</v>
      </c>
      <c r="AA71" s="64">
        <v>76.248258669990506</v>
      </c>
      <c r="AB71" s="64">
        <v>75.451829312999493</v>
      </c>
      <c r="AC71" s="64">
        <v>81.580487634422695</v>
      </c>
      <c r="AD71" s="64">
        <v>84.325287627433994</v>
      </c>
      <c r="AE71" s="64">
        <v>77.920171921272598</v>
      </c>
    </row>
    <row r="72" spans="1:31">
      <c r="A72" s="27">
        <v>2.743484</v>
      </c>
      <c r="B72" s="27">
        <v>67.016679999999994</v>
      </c>
      <c r="C72" s="27">
        <v>73.868170000000006</v>
      </c>
      <c r="D72" s="27">
        <v>58.449460000000002</v>
      </c>
      <c r="E72" s="27">
        <v>65.894480000000001</v>
      </c>
      <c r="F72" s="27">
        <v>66.695719999999994</v>
      </c>
      <c r="G72" s="27">
        <v>62.690280000000001</v>
      </c>
      <c r="I72" s="27">
        <v>2.743484</v>
      </c>
      <c r="J72" s="27">
        <v>66.109229999999997</v>
      </c>
      <c r="K72" s="27">
        <v>53.475720000000003</v>
      </c>
      <c r="L72" s="27">
        <v>53.018770000000004</v>
      </c>
      <c r="M72" s="27">
        <v>53.78031</v>
      </c>
      <c r="N72" s="27">
        <v>47.52863</v>
      </c>
      <c r="O72" s="27">
        <v>55.459859999999999</v>
      </c>
      <c r="Q72" s="27">
        <v>2.743484</v>
      </c>
      <c r="R72" s="27">
        <v>44.0687</v>
      </c>
      <c r="S72" s="27">
        <v>55.286879999999996</v>
      </c>
      <c r="T72" s="27">
        <v>40.91283</v>
      </c>
      <c r="U72" s="27">
        <v>42.918349999999997</v>
      </c>
      <c r="V72" s="27">
        <v>44.214419999999997</v>
      </c>
      <c r="W72" s="27">
        <v>48.312420000000003</v>
      </c>
      <c r="Y72" s="27">
        <v>2.743484</v>
      </c>
      <c r="Z72" s="64">
        <v>51.590109245545896</v>
      </c>
      <c r="AA72" s="64">
        <v>48.991861573429098</v>
      </c>
      <c r="AB72" s="64">
        <v>36.827296722633598</v>
      </c>
      <c r="AC72" s="64">
        <v>56.872046195106201</v>
      </c>
      <c r="AD72" s="64">
        <v>55.346769050676599</v>
      </c>
      <c r="AE72" s="64">
        <v>57.481807619397102</v>
      </c>
    </row>
    <row r="73" spans="1:31">
      <c r="A73" s="27">
        <v>0.91449499999999995</v>
      </c>
      <c r="B73" s="27">
        <v>65.302580000000006</v>
      </c>
      <c r="C73" s="27">
        <v>47.028129999999997</v>
      </c>
      <c r="D73" s="27">
        <v>63.590119999999999</v>
      </c>
      <c r="E73" s="27">
        <v>47.735799999999998</v>
      </c>
      <c r="F73" s="27">
        <v>55.480629999999998</v>
      </c>
      <c r="G73" s="27">
        <v>55.213799999999999</v>
      </c>
      <c r="I73" s="27">
        <v>0.91449499999999995</v>
      </c>
      <c r="J73" s="27">
        <v>40.228430000000003</v>
      </c>
      <c r="K73" s="27">
        <v>34.745429999999999</v>
      </c>
      <c r="L73" s="27">
        <v>33.831519999999998</v>
      </c>
      <c r="M73" s="27">
        <v>28.28941</v>
      </c>
      <c r="N73" s="27">
        <v>38.260080000000002</v>
      </c>
      <c r="O73" s="27">
        <v>38.580640000000002</v>
      </c>
      <c r="Q73" s="27">
        <v>0.91449499999999995</v>
      </c>
      <c r="R73" s="27">
        <v>33.550150000000002</v>
      </c>
      <c r="S73" s="27">
        <v>26.405280000000001</v>
      </c>
      <c r="T73" s="27">
        <v>36.793340000000001</v>
      </c>
      <c r="U73" s="27">
        <v>29.386700000000001</v>
      </c>
      <c r="V73" s="27">
        <v>39.293300000000002</v>
      </c>
      <c r="W73" s="27">
        <v>40.510739999999998</v>
      </c>
      <c r="Y73" s="27">
        <v>0.91449499999999995</v>
      </c>
      <c r="Z73" s="64">
        <v>41.907397903072102</v>
      </c>
      <c r="AA73" s="64">
        <v>39.387968326123598</v>
      </c>
      <c r="AB73" s="64">
        <v>48.3118263802331</v>
      </c>
      <c r="AC73" s="64">
        <v>46.803120440985097</v>
      </c>
      <c r="AD73" s="64">
        <v>33.681019646897497</v>
      </c>
      <c r="AE73" s="64">
        <v>50.159429025692098</v>
      </c>
    </row>
    <row r="74" spans="1:31">
      <c r="A74" s="27">
        <v>0.30483199999999999</v>
      </c>
      <c r="B74" s="27">
        <v>33.32188</v>
      </c>
      <c r="C74" s="27">
        <v>31.036960000000001</v>
      </c>
      <c r="D74" s="27">
        <v>56.166179999999997</v>
      </c>
      <c r="E74" s="27">
        <v>39.456560000000003</v>
      </c>
      <c r="F74" s="27">
        <v>53.611319999999999</v>
      </c>
      <c r="G74" s="27">
        <v>41.860289999999999</v>
      </c>
      <c r="I74" s="27">
        <v>0.30483199999999999</v>
      </c>
      <c r="J74" s="27">
        <v>28.500109999999999</v>
      </c>
      <c r="K74" s="27">
        <v>20.577269999999999</v>
      </c>
      <c r="L74" s="27">
        <v>14.93919</v>
      </c>
      <c r="M74" s="27">
        <v>19.458079999999999</v>
      </c>
      <c r="N74" s="27">
        <v>31.436789999999998</v>
      </c>
      <c r="O74" s="27">
        <v>36.335900000000002</v>
      </c>
      <c r="Q74" s="27">
        <v>0.30483199999999999</v>
      </c>
      <c r="R74" s="27">
        <v>19.390910000000002</v>
      </c>
      <c r="S74" s="27">
        <v>26.702400000000001</v>
      </c>
      <c r="T74" s="27">
        <v>19.606719999999999</v>
      </c>
      <c r="U74" s="27">
        <v>22.092600000000001</v>
      </c>
      <c r="V74" s="27">
        <v>32.990940000000002</v>
      </c>
      <c r="W74" s="27">
        <v>26.301310000000001</v>
      </c>
      <c r="Y74" s="27">
        <v>0.30483199999999999</v>
      </c>
      <c r="Z74" s="64">
        <v>11.530354131534599</v>
      </c>
      <c r="AA74" s="64">
        <v>18.497507148617899</v>
      </c>
      <c r="AB74" s="64">
        <v>26.701920961947401</v>
      </c>
      <c r="AC74" s="64">
        <v>22.426640808589099</v>
      </c>
      <c r="AD74" s="64">
        <v>13.8401865974788</v>
      </c>
      <c r="AE74" s="64">
        <v>21.777568117689199</v>
      </c>
    </row>
    <row r="75" spans="1:31">
      <c r="A75" s="27">
        <v>0.10161100000000001</v>
      </c>
      <c r="B75" s="27">
        <v>18.47072</v>
      </c>
      <c r="C75" s="27">
        <v>31.607790000000001</v>
      </c>
      <c r="D75" s="27">
        <v>55.024529999999999</v>
      </c>
      <c r="E75" s="27">
        <v>12.205170000000001</v>
      </c>
      <c r="F75" s="27">
        <v>32.243859999999998</v>
      </c>
      <c r="G75" s="27">
        <v>26.901230000000002</v>
      </c>
      <c r="I75" s="27">
        <v>0.10161100000000001</v>
      </c>
      <c r="J75" s="27">
        <v>27.890699999999999</v>
      </c>
      <c r="K75" s="27">
        <v>27.128820000000001</v>
      </c>
      <c r="L75" s="27">
        <v>12.95804</v>
      </c>
      <c r="M75" s="27">
        <v>15.14406</v>
      </c>
      <c r="N75" s="27">
        <v>22.37499</v>
      </c>
      <c r="O75" s="27">
        <v>22.267769999999999</v>
      </c>
      <c r="Q75" s="27">
        <v>0.10161100000000001</v>
      </c>
      <c r="R75" s="27">
        <v>6.1962979999999996</v>
      </c>
      <c r="S75" s="27">
        <v>15.74821</v>
      </c>
      <c r="T75" s="27">
        <v>5.0871279999999999</v>
      </c>
      <c r="U75" s="27">
        <v>11.468109999999999</v>
      </c>
      <c r="V75" s="27">
        <v>7.3363100000000001</v>
      </c>
      <c r="W75" s="27">
        <v>23.605139999999999</v>
      </c>
      <c r="Y75" s="27">
        <v>0.10161100000000001</v>
      </c>
      <c r="Z75" s="64">
        <v>7.8836424957841498</v>
      </c>
      <c r="AA75" s="64">
        <v>23.0588752841117</v>
      </c>
      <c r="AB75" s="64">
        <v>32.024891854241503</v>
      </c>
      <c r="AC75" s="64">
        <v>4.0709000532886099</v>
      </c>
      <c r="AD75" s="64">
        <v>20.556298101702598</v>
      </c>
      <c r="AE75" s="64">
        <v>23.608599557966599</v>
      </c>
    </row>
  </sheetData>
  <mergeCells count="52">
    <mergeCell ref="U66:W66"/>
    <mergeCell ref="Z66:AB66"/>
    <mergeCell ref="AC66:AE66"/>
    <mergeCell ref="B66:D66"/>
    <mergeCell ref="E66:G66"/>
    <mergeCell ref="J66:L66"/>
    <mergeCell ref="M66:O66"/>
    <mergeCell ref="R66:T66"/>
    <mergeCell ref="U53:W53"/>
    <mergeCell ref="Z53:AB53"/>
    <mergeCell ref="AC53:AE53"/>
    <mergeCell ref="B65:G65"/>
    <mergeCell ref="J65:O65"/>
    <mergeCell ref="R65:W65"/>
    <mergeCell ref="Z65:AE65"/>
    <mergeCell ref="B53:D53"/>
    <mergeCell ref="E53:G53"/>
    <mergeCell ref="J53:L53"/>
    <mergeCell ref="M53:O53"/>
    <mergeCell ref="R53:T53"/>
    <mergeCell ref="B27:J27"/>
    <mergeCell ref="S27:AA27"/>
    <mergeCell ref="B38:J38"/>
    <mergeCell ref="S38:AA38"/>
    <mergeCell ref="B52:G52"/>
    <mergeCell ref="J52:O52"/>
    <mergeCell ref="R52:W52"/>
    <mergeCell ref="Z52:AE52"/>
    <mergeCell ref="B15:M15"/>
    <mergeCell ref="S15:AD15"/>
    <mergeCell ref="D17:E17"/>
    <mergeCell ref="F17:G17"/>
    <mergeCell ref="H17:I17"/>
    <mergeCell ref="J17:K17"/>
    <mergeCell ref="L17:M17"/>
    <mergeCell ref="U17:V17"/>
    <mergeCell ref="W17:X17"/>
    <mergeCell ref="Y17:Z17"/>
    <mergeCell ref="AA17:AB17"/>
    <mergeCell ref="AC17:AD17"/>
    <mergeCell ref="B3:M3"/>
    <mergeCell ref="S3:AD3"/>
    <mergeCell ref="D5:E5"/>
    <mergeCell ref="F5:G5"/>
    <mergeCell ref="H5:I5"/>
    <mergeCell ref="J5:K5"/>
    <mergeCell ref="L5:M5"/>
    <mergeCell ref="U5:V5"/>
    <mergeCell ref="W5:X5"/>
    <mergeCell ref="Y5:Z5"/>
    <mergeCell ref="AA5:AB5"/>
    <mergeCell ref="AC5:A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113"/>
  <sheetViews>
    <sheetView topLeftCell="A15" zoomScale="40" zoomScaleNormal="40" workbookViewId="0">
      <selection activeCell="L120" sqref="A1:XFD1048576"/>
    </sheetView>
  </sheetViews>
  <sheetFormatPr defaultColWidth="9" defaultRowHeight="14.5"/>
  <cols>
    <col min="1" max="1" width="18.453125" customWidth="1"/>
    <col min="2" max="5" width="9.08984375" customWidth="1"/>
    <col min="6" max="7" width="9.453125" customWidth="1"/>
    <col min="8" max="9" width="9.26953125" customWidth="1"/>
    <col min="10" max="35" width="9.08984375" customWidth="1"/>
    <col min="36" max="36" width="10.90625" customWidth="1"/>
    <col min="37" max="37" width="11.90625" customWidth="1"/>
    <col min="38" max="38" width="10.6328125" customWidth="1"/>
    <col min="39" max="39" width="11.7265625" customWidth="1"/>
    <col min="40" max="40" width="11" customWidth="1"/>
    <col min="41" max="42" width="9.08984375" customWidth="1"/>
    <col min="43" max="43" width="13.7265625" customWidth="1"/>
    <col min="44" max="44" width="9.7265625" customWidth="1"/>
    <col min="45" max="45" width="10.6328125" customWidth="1"/>
    <col min="48" max="48" width="11.08984375" customWidth="1"/>
    <col min="53" max="53" width="10.26953125" customWidth="1"/>
    <col min="57" max="58" width="12.6328125"/>
  </cols>
  <sheetData>
    <row r="1" spans="1:43">
      <c r="A1" s="29" t="s">
        <v>149</v>
      </c>
    </row>
    <row r="3" spans="1:43">
      <c r="A3" s="10" t="s">
        <v>150</v>
      </c>
      <c r="B3" s="193" t="s">
        <v>73</v>
      </c>
      <c r="C3" s="193"/>
      <c r="D3" s="193"/>
      <c r="E3" s="193" t="s">
        <v>6</v>
      </c>
      <c r="F3" s="193"/>
      <c r="G3" s="193"/>
      <c r="H3" s="193" t="s">
        <v>151</v>
      </c>
      <c r="I3" s="193"/>
      <c r="J3" s="193"/>
      <c r="K3" s="193" t="s">
        <v>152</v>
      </c>
      <c r="L3" s="193"/>
      <c r="M3" s="193"/>
      <c r="N3" s="193" t="s">
        <v>153</v>
      </c>
      <c r="O3" s="193"/>
      <c r="P3" s="193"/>
      <c r="Q3" s="193" t="s">
        <v>154</v>
      </c>
      <c r="R3" s="193"/>
      <c r="S3" s="193"/>
      <c r="T3" s="193" t="s">
        <v>155</v>
      </c>
      <c r="U3" s="193"/>
      <c r="V3" s="193"/>
      <c r="W3" s="193" t="s">
        <v>156</v>
      </c>
      <c r="X3" s="193"/>
      <c r="Y3" s="193"/>
      <c r="Z3" s="193" t="s">
        <v>157</v>
      </c>
      <c r="AA3" s="193"/>
      <c r="AB3" s="193"/>
      <c r="AC3" s="193" t="s">
        <v>158</v>
      </c>
      <c r="AD3" s="193"/>
      <c r="AE3" s="193"/>
      <c r="AF3" s="193" t="s">
        <v>159</v>
      </c>
      <c r="AG3" s="193"/>
      <c r="AH3" s="193"/>
      <c r="AI3" s="193" t="s">
        <v>160</v>
      </c>
      <c r="AJ3" s="193"/>
      <c r="AK3" s="193"/>
      <c r="AL3" s="193" t="s">
        <v>161</v>
      </c>
      <c r="AM3" s="193"/>
      <c r="AN3" s="193"/>
      <c r="AO3" s="193" t="s">
        <v>162</v>
      </c>
      <c r="AP3" s="193"/>
      <c r="AQ3" s="193"/>
    </row>
    <row r="4" spans="1:43">
      <c r="A4" s="27">
        <v>100</v>
      </c>
      <c r="B4" s="27">
        <v>73.623320000000007</v>
      </c>
      <c r="C4" s="27">
        <v>82.464439999999996</v>
      </c>
      <c r="D4" s="27">
        <v>82.769159999999999</v>
      </c>
      <c r="E4" s="27">
        <v>89.961870000000005</v>
      </c>
      <c r="F4" s="27">
        <v>86.074539999999999</v>
      </c>
      <c r="G4" s="27">
        <v>80.941900000000004</v>
      </c>
      <c r="H4" s="64">
        <v>84.740520000000004</v>
      </c>
      <c r="I4" s="64">
        <v>68.342969999999994</v>
      </c>
      <c r="J4" s="64">
        <v>79.27467</v>
      </c>
      <c r="K4" s="64">
        <v>74.86515</v>
      </c>
      <c r="L4" s="64">
        <v>74.58417</v>
      </c>
      <c r="M4" s="64">
        <v>79.925129999999996</v>
      </c>
      <c r="N4" s="64">
        <v>81.801730000000006</v>
      </c>
      <c r="O4" s="64">
        <v>89.142009999999999</v>
      </c>
      <c r="P4" s="64">
        <v>76.820620000000005</v>
      </c>
      <c r="Q4" s="64">
        <v>80.809970000000007</v>
      </c>
      <c r="R4" s="64">
        <v>78.129509999999996</v>
      </c>
      <c r="S4" s="64">
        <v>82.953879999999998</v>
      </c>
      <c r="T4" s="64">
        <v>72.311430000000001</v>
      </c>
      <c r="U4" s="64">
        <v>75.256600000000006</v>
      </c>
      <c r="V4" s="64">
        <v>86.056820000000002</v>
      </c>
      <c r="W4" s="64">
        <v>77.619810000000001</v>
      </c>
      <c r="X4" s="64">
        <v>77.071439999999996</v>
      </c>
      <c r="Y4" s="64">
        <v>77.254059999999996</v>
      </c>
      <c r="Z4" s="64">
        <v>91.254599999999996</v>
      </c>
      <c r="AA4" s="64">
        <v>83.212310000000002</v>
      </c>
      <c r="AB4" s="64">
        <v>84.217740000000006</v>
      </c>
      <c r="AC4" s="64">
        <v>75.267589999999998</v>
      </c>
      <c r="AD4" s="64">
        <v>78.707030000000003</v>
      </c>
      <c r="AE4" s="64">
        <v>81.715459999999993</v>
      </c>
      <c r="AF4" s="64">
        <v>80.21611</v>
      </c>
      <c r="AG4" s="64">
        <v>74.752269999999996</v>
      </c>
      <c r="AH4" s="64">
        <v>73.013040000000004</v>
      </c>
      <c r="AI4" s="64">
        <v>66.763019999999997</v>
      </c>
      <c r="AJ4" s="64">
        <v>80.702550000000002</v>
      </c>
      <c r="AK4" s="64">
        <v>79.019810000000007</v>
      </c>
      <c r="AL4" s="64">
        <v>58.152200000000001</v>
      </c>
      <c r="AM4" s="64">
        <v>72.830359999999999</v>
      </c>
      <c r="AN4" s="64">
        <v>70.547470000000004</v>
      </c>
      <c r="AO4" s="64">
        <v>77.499070000000003</v>
      </c>
      <c r="AP4" s="64">
        <v>75.414709999999999</v>
      </c>
      <c r="AQ4" s="64">
        <v>71.242999999999995</v>
      </c>
    </row>
    <row r="5" spans="1:43">
      <c r="A5" s="27">
        <v>33.333333000000003</v>
      </c>
      <c r="B5" s="27">
        <v>68.746129999999994</v>
      </c>
      <c r="C5" s="27">
        <v>72.099739999999997</v>
      </c>
      <c r="D5" s="27">
        <v>77.281660000000002</v>
      </c>
      <c r="E5" s="27">
        <v>65.384990000000002</v>
      </c>
      <c r="F5" s="27">
        <v>68.341470000000001</v>
      </c>
      <c r="G5" s="27">
        <v>71.919709999999995</v>
      </c>
      <c r="H5" s="64">
        <v>55.584090000000003</v>
      </c>
      <c r="I5" s="64">
        <v>71.986869999999996</v>
      </c>
      <c r="J5" s="64">
        <v>59.227989999999998</v>
      </c>
      <c r="K5" s="64">
        <v>70.929879999999997</v>
      </c>
      <c r="L5" s="64">
        <v>78.801220000000001</v>
      </c>
      <c r="M5" s="64">
        <v>81.611789999999999</v>
      </c>
      <c r="N5" s="64">
        <v>77.345460000000003</v>
      </c>
      <c r="O5" s="64">
        <v>75.77243</v>
      </c>
      <c r="P5" s="64">
        <v>87.044889999999995</v>
      </c>
      <c r="Q5" s="64">
        <v>71.429119999999998</v>
      </c>
      <c r="R5" s="64">
        <v>77.861620000000002</v>
      </c>
      <c r="S5" s="64">
        <v>77.057940000000002</v>
      </c>
      <c r="T5" s="64">
        <v>71.329080000000005</v>
      </c>
      <c r="U5" s="64">
        <v>58.564160000000001</v>
      </c>
      <c r="V5" s="64">
        <v>83.111649999999997</v>
      </c>
      <c r="W5" s="64">
        <v>65.375100000000003</v>
      </c>
      <c r="X5" s="64">
        <v>75.792079999999999</v>
      </c>
      <c r="Y5" s="64">
        <v>65.74033</v>
      </c>
      <c r="Z5" s="64">
        <v>73.560519999999997</v>
      </c>
      <c r="AA5" s="64">
        <v>75.169439999999994</v>
      </c>
      <c r="AB5" s="64">
        <v>69.538229999999999</v>
      </c>
      <c r="AC5" s="64">
        <v>60.218060000000001</v>
      </c>
      <c r="AD5" s="64">
        <v>62.368169999999999</v>
      </c>
      <c r="AE5" s="64">
        <v>73.547259999999994</v>
      </c>
      <c r="AF5" s="64">
        <v>84.190380000000005</v>
      </c>
      <c r="AG5" s="64">
        <v>71.274510000000006</v>
      </c>
      <c r="AH5" s="64">
        <v>74.503299999999996</v>
      </c>
      <c r="AI5" s="64">
        <v>67.964680000000001</v>
      </c>
      <c r="AJ5" s="64">
        <v>76.376300000000001</v>
      </c>
      <c r="AK5" s="64">
        <v>74.694249999999997</v>
      </c>
      <c r="AL5" s="64">
        <v>66.95966</v>
      </c>
      <c r="AM5" s="64">
        <v>81.961950000000002</v>
      </c>
      <c r="AN5" s="64">
        <v>66.633660000000006</v>
      </c>
      <c r="AO5" s="64">
        <v>78.541250000000005</v>
      </c>
      <c r="AP5" s="64">
        <v>80.625609999999995</v>
      </c>
      <c r="AQ5" s="64">
        <v>74.372529999999998</v>
      </c>
    </row>
    <row r="6" spans="1:43">
      <c r="A6" s="27">
        <v>11.111110999999999</v>
      </c>
      <c r="B6" s="27">
        <v>74.843059999999994</v>
      </c>
      <c r="C6" s="27">
        <v>85.512469999999993</v>
      </c>
      <c r="D6" s="27">
        <v>71.489440000000002</v>
      </c>
      <c r="E6" s="27">
        <v>51.533909999999999</v>
      </c>
      <c r="F6" s="27">
        <v>45.306959999999997</v>
      </c>
      <c r="G6" s="27">
        <v>42.50459</v>
      </c>
      <c r="H6" s="64">
        <v>70.164919999999995</v>
      </c>
      <c r="I6" s="64">
        <v>71.986869999999996</v>
      </c>
      <c r="J6" s="64">
        <v>81.096620000000001</v>
      </c>
      <c r="K6" s="64">
        <v>71.491829999999993</v>
      </c>
      <c r="L6" s="64">
        <v>64.744380000000007</v>
      </c>
      <c r="M6" s="64">
        <v>66.150069999999999</v>
      </c>
      <c r="N6" s="64">
        <v>65.54665</v>
      </c>
      <c r="O6" s="64">
        <v>66.85763</v>
      </c>
      <c r="P6" s="64">
        <v>70.004429999999999</v>
      </c>
      <c r="Q6" s="64">
        <v>75.181920000000005</v>
      </c>
      <c r="R6" s="64">
        <v>61.778840000000002</v>
      </c>
      <c r="S6" s="64">
        <v>69.820999999999998</v>
      </c>
      <c r="T6" s="64">
        <v>71.329080000000005</v>
      </c>
      <c r="U6" s="64">
        <v>71.657150000000001</v>
      </c>
      <c r="V6" s="64">
        <v>47.761119999999998</v>
      </c>
      <c r="W6" s="64">
        <v>50.01858</v>
      </c>
      <c r="X6" s="64">
        <v>50.01858</v>
      </c>
      <c r="Y6" s="64">
        <v>60.988120000000002</v>
      </c>
      <c r="Z6" s="64">
        <v>63.503920000000001</v>
      </c>
      <c r="AA6" s="64">
        <v>48.617100000000001</v>
      </c>
      <c r="AB6" s="64">
        <v>47.812069999999999</v>
      </c>
      <c r="AC6" s="64">
        <v>73.117490000000004</v>
      </c>
      <c r="AD6" s="64">
        <v>74.406809999999993</v>
      </c>
      <c r="AE6" s="64">
        <v>60.218060000000001</v>
      </c>
      <c r="AF6" s="64">
        <v>80.21611</v>
      </c>
      <c r="AG6" s="64">
        <v>63.076279999999997</v>
      </c>
      <c r="AH6" s="64">
        <v>64.318280000000001</v>
      </c>
      <c r="AI6" s="64">
        <v>74.934449999999998</v>
      </c>
      <c r="AJ6" s="64">
        <v>68.20487</v>
      </c>
      <c r="AK6" s="64">
        <v>73.973669999999998</v>
      </c>
      <c r="AL6" s="64">
        <v>64.023840000000007</v>
      </c>
      <c r="AM6" s="64">
        <v>58.478189999999998</v>
      </c>
      <c r="AN6" s="64">
        <v>59.783110000000001</v>
      </c>
      <c r="AO6" s="64">
        <v>76.456890000000001</v>
      </c>
      <c r="AP6" s="64">
        <v>63.947740000000003</v>
      </c>
      <c r="AQ6" s="64">
        <v>71.242999999999995</v>
      </c>
    </row>
    <row r="7" spans="1:43">
      <c r="A7" s="27">
        <v>3.7037037000000002</v>
      </c>
      <c r="B7" s="27">
        <v>65.697220000000002</v>
      </c>
      <c r="C7" s="27">
        <v>54.414879999999997</v>
      </c>
      <c r="D7" s="27">
        <v>64.782200000000003</v>
      </c>
      <c r="E7" s="27">
        <v>23.037179999999999</v>
      </c>
      <c r="F7" s="27">
        <v>33.78436</v>
      </c>
      <c r="G7" s="27">
        <v>21.635100000000001</v>
      </c>
      <c r="H7" s="64">
        <v>24.605720000000002</v>
      </c>
      <c r="I7" s="64">
        <v>39.186540000000001</v>
      </c>
      <c r="J7" s="64">
        <v>88.38964</v>
      </c>
      <c r="K7" s="64">
        <v>61.933019999999999</v>
      </c>
      <c r="L7" s="64">
        <v>66.993799999999993</v>
      </c>
      <c r="M7" s="64">
        <v>61.933019999999999</v>
      </c>
      <c r="N7" s="64">
        <v>64.235680000000002</v>
      </c>
      <c r="O7" s="64">
        <v>73.150480000000002</v>
      </c>
      <c r="P7" s="64">
        <v>55.319369999999999</v>
      </c>
      <c r="Q7" s="64">
        <v>64.459299999999999</v>
      </c>
      <c r="R7" s="64">
        <v>63.923520000000003</v>
      </c>
      <c r="S7" s="64">
        <v>73.037239999999997</v>
      </c>
      <c r="T7" s="64">
        <v>54.6357</v>
      </c>
      <c r="U7" s="64">
        <v>47.761119999999998</v>
      </c>
      <c r="V7" s="64">
        <v>57.254669999999997</v>
      </c>
      <c r="W7" s="64">
        <v>48.007179999999998</v>
      </c>
      <c r="X7" s="64">
        <v>47.641419999999997</v>
      </c>
      <c r="Y7" s="64">
        <v>50.01858</v>
      </c>
      <c r="Z7" s="64">
        <v>29.9009</v>
      </c>
      <c r="AA7" s="64">
        <v>23.861979999999999</v>
      </c>
      <c r="AB7" s="64">
        <v>29.699349999999999</v>
      </c>
      <c r="AC7" s="64">
        <v>52.908189999999998</v>
      </c>
      <c r="AD7" s="64">
        <v>65.808840000000004</v>
      </c>
      <c r="AE7" s="64">
        <v>63.228960000000001</v>
      </c>
      <c r="AF7" s="64">
        <v>63.573509999999999</v>
      </c>
      <c r="AG7" s="64">
        <v>47.670699999999997</v>
      </c>
      <c r="AH7" s="64">
        <v>52.889119999999998</v>
      </c>
      <c r="AI7" s="64">
        <v>62.436079999999997</v>
      </c>
      <c r="AJ7" s="64">
        <v>66.041749999999993</v>
      </c>
      <c r="AK7" s="64">
        <v>57.387869999999999</v>
      </c>
      <c r="AL7" s="64">
        <v>41.840330000000002</v>
      </c>
      <c r="AM7" s="64">
        <v>55.216380000000001</v>
      </c>
      <c r="AN7" s="64">
        <v>55.542369999999998</v>
      </c>
      <c r="AO7" s="64">
        <v>62.905560000000001</v>
      </c>
      <c r="AP7" s="64">
        <v>70.200819999999993</v>
      </c>
      <c r="AQ7" s="64">
        <v>80.625609999999995</v>
      </c>
    </row>
    <row r="8" spans="1:43">
      <c r="A8" s="27">
        <v>1.2345679000000001</v>
      </c>
      <c r="B8" s="27">
        <v>76.672229999999999</v>
      </c>
      <c r="C8" s="27">
        <v>56.549639999999997</v>
      </c>
      <c r="D8" s="27">
        <v>46.180579999999999</v>
      </c>
      <c r="E8" s="27">
        <v>29.423580000000001</v>
      </c>
      <c r="F8" s="27">
        <v>13.222189999999999</v>
      </c>
      <c r="G8" s="27">
        <v>16.649889999999999</v>
      </c>
      <c r="H8" s="64">
        <v>31.893519999999999</v>
      </c>
      <c r="I8" s="64">
        <v>28.24962</v>
      </c>
      <c r="J8" s="64">
        <v>42.830440000000003</v>
      </c>
      <c r="K8" s="64">
        <v>47.59198</v>
      </c>
      <c r="L8" s="64">
        <v>52.091619999999999</v>
      </c>
      <c r="M8" s="64">
        <v>43.654299999999999</v>
      </c>
      <c r="N8" s="64">
        <v>35.90849</v>
      </c>
      <c r="O8" s="64">
        <v>53.483550000000001</v>
      </c>
      <c r="P8" s="64">
        <v>36.958170000000003</v>
      </c>
      <c r="Q8" s="64">
        <v>55.880589999999998</v>
      </c>
      <c r="R8" s="64">
        <v>41.669229999999999</v>
      </c>
      <c r="S8" s="64">
        <v>47.8369</v>
      </c>
      <c r="T8" s="64">
        <v>58.891289999999998</v>
      </c>
      <c r="U8" s="64">
        <v>58.237020000000001</v>
      </c>
      <c r="V8" s="64">
        <v>41.86703</v>
      </c>
      <c r="W8" s="64">
        <v>39.229559999999999</v>
      </c>
      <c r="X8" s="64">
        <v>33.925310000000003</v>
      </c>
      <c r="Y8" s="64">
        <v>44.532760000000003</v>
      </c>
      <c r="Z8" s="64">
        <v>25.6736</v>
      </c>
      <c r="AA8" s="64">
        <v>15.60778</v>
      </c>
      <c r="AB8" s="64">
        <v>-0.70426</v>
      </c>
      <c r="AC8" s="64">
        <v>27.103190000000001</v>
      </c>
      <c r="AD8" s="64">
        <v>45.167299999999997</v>
      </c>
      <c r="AE8" s="64">
        <v>58.067959999999999</v>
      </c>
      <c r="AF8" s="64">
        <v>55.373849999999997</v>
      </c>
      <c r="AG8" s="64">
        <v>46.428699999999999</v>
      </c>
      <c r="AH8" s="64">
        <v>41.706800000000001</v>
      </c>
      <c r="AI8" s="64">
        <v>44.404989999999998</v>
      </c>
      <c r="AJ8" s="64">
        <v>43.202640000000002</v>
      </c>
      <c r="AK8" s="64">
        <v>54.50347</v>
      </c>
      <c r="AL8" s="64">
        <v>48.038899999999998</v>
      </c>
      <c r="AM8" s="64">
        <v>46.733980000000003</v>
      </c>
      <c r="AN8" s="64">
        <v>43.145240000000001</v>
      </c>
      <c r="AO8" s="64">
        <v>58.73386</v>
      </c>
      <c r="AP8" s="64">
        <v>32.670400000000001</v>
      </c>
      <c r="AQ8" s="64">
        <v>48.309069999999998</v>
      </c>
    </row>
    <row r="9" spans="1:43">
      <c r="A9" s="27">
        <v>0.41152260000000002</v>
      </c>
      <c r="B9" s="27">
        <v>58.074089999999998</v>
      </c>
      <c r="C9" s="27">
        <v>57.463790000000003</v>
      </c>
      <c r="D9" s="27">
        <v>31.23554</v>
      </c>
      <c r="E9" s="27">
        <v>25.37368</v>
      </c>
      <c r="F9" s="27">
        <v>28.333269999999999</v>
      </c>
      <c r="G9" s="27">
        <v>13.06631</v>
      </c>
      <c r="H9" s="64">
        <v>53.762140000000002</v>
      </c>
      <c r="I9" s="64">
        <v>30.071570000000001</v>
      </c>
      <c r="J9" s="64">
        <v>50.11824</v>
      </c>
      <c r="K9" s="64">
        <v>24.527010000000001</v>
      </c>
      <c r="L9" s="64">
        <v>43.09234</v>
      </c>
      <c r="M9" s="64">
        <v>30.715720000000001</v>
      </c>
      <c r="N9" s="64">
        <v>39.843670000000003</v>
      </c>
      <c r="O9" s="64">
        <v>46.40157</v>
      </c>
      <c r="P9" s="64">
        <v>35.646439999999998</v>
      </c>
      <c r="Q9" s="64">
        <v>49.982349999999997</v>
      </c>
      <c r="R9" s="64">
        <v>35.501550000000002</v>
      </c>
      <c r="S9" s="64">
        <v>53.468020000000003</v>
      </c>
      <c r="T9" s="64">
        <v>49.724890000000002</v>
      </c>
      <c r="U9" s="64">
        <v>45.141210000000001</v>
      </c>
      <c r="V9" s="64">
        <v>22.547170000000001</v>
      </c>
      <c r="W9" s="64">
        <v>9.0418660000000006</v>
      </c>
      <c r="X9" s="64">
        <v>24.595649999999999</v>
      </c>
      <c r="Y9" s="64">
        <v>41.240949999999998</v>
      </c>
      <c r="Z9" s="64">
        <v>5.7406269999999999</v>
      </c>
      <c r="AA9" s="64">
        <v>3.3237930000000002</v>
      </c>
      <c r="AB9" s="64">
        <v>14.399649999999999</v>
      </c>
      <c r="AC9" s="64">
        <v>29.254529999999999</v>
      </c>
      <c r="AD9" s="64">
        <v>24.092300000000002</v>
      </c>
      <c r="AE9" s="64">
        <v>36.565640000000002</v>
      </c>
      <c r="AF9" s="64">
        <v>38.724130000000002</v>
      </c>
      <c r="AG9" s="64">
        <v>47.422449999999998</v>
      </c>
      <c r="AH9" s="64">
        <v>40.215110000000003</v>
      </c>
      <c r="AI9" s="64">
        <v>24.203189999999999</v>
      </c>
      <c r="AJ9" s="64">
        <v>48.012030000000003</v>
      </c>
      <c r="AK9" s="64">
        <v>42.721559999999997</v>
      </c>
      <c r="AL9" s="64">
        <v>35.640830000000001</v>
      </c>
      <c r="AM9" s="64">
        <v>33.356999999999999</v>
      </c>
      <c r="AN9" s="64">
        <v>49.670740000000002</v>
      </c>
      <c r="AO9" s="64">
        <v>41.010820000000002</v>
      </c>
      <c r="AP9" s="64">
        <v>42.052999999999997</v>
      </c>
      <c r="AQ9" s="64">
        <v>3.477417</v>
      </c>
    </row>
    <row r="10" spans="1:43">
      <c r="A10" s="27">
        <v>0.1371742</v>
      </c>
      <c r="B10" s="27">
        <v>58.378810000000001</v>
      </c>
      <c r="C10" s="27">
        <v>42.785919999999997</v>
      </c>
      <c r="D10" s="27">
        <v>18.49249</v>
      </c>
      <c r="E10" s="27">
        <v>20.359960000000001</v>
      </c>
      <c r="F10" s="27">
        <v>19.142720000000001</v>
      </c>
      <c r="G10" s="27">
        <v>19.921700000000001</v>
      </c>
      <c r="H10" s="64">
        <v>-6.3778699999999997</v>
      </c>
      <c r="I10" s="64">
        <v>55.584090000000003</v>
      </c>
      <c r="J10" s="64">
        <v>48.296289999999999</v>
      </c>
      <c r="K10" s="64">
        <v>35.778919999999999</v>
      </c>
      <c r="L10" s="64">
        <v>24.527010000000001</v>
      </c>
      <c r="M10" s="64">
        <v>49.560420000000001</v>
      </c>
      <c r="N10" s="64">
        <v>32.760190000000001</v>
      </c>
      <c r="O10" s="64">
        <v>26.988430000000001</v>
      </c>
      <c r="P10" s="64">
        <v>20.953119999999998</v>
      </c>
      <c r="Q10" s="64">
        <v>35.769440000000003</v>
      </c>
      <c r="R10" s="64">
        <v>30.942</v>
      </c>
      <c r="S10" s="64">
        <v>35.769440000000003</v>
      </c>
      <c r="T10" s="64">
        <v>39.248049999999999</v>
      </c>
      <c r="U10" s="64">
        <v>29.09742</v>
      </c>
      <c r="V10" s="64">
        <v>26.477509999999999</v>
      </c>
      <c r="W10" s="64">
        <v>9.0418660000000006</v>
      </c>
      <c r="X10" s="64">
        <v>17.094249999999999</v>
      </c>
      <c r="Y10" s="64">
        <v>28.4374</v>
      </c>
      <c r="Z10" s="64">
        <v>9.7681059999999995</v>
      </c>
      <c r="AA10" s="64">
        <v>0.302896</v>
      </c>
      <c r="AB10" s="64">
        <v>0.90695999999999999</v>
      </c>
      <c r="AC10" s="64">
        <v>12.47851</v>
      </c>
      <c r="AD10" s="64">
        <v>5.594716</v>
      </c>
      <c r="AE10" s="64">
        <v>21.94219</v>
      </c>
      <c r="AF10" s="64">
        <v>36.984189999999998</v>
      </c>
      <c r="AG10" s="64">
        <v>34.747010000000003</v>
      </c>
      <c r="AH10" s="64">
        <v>27.041730000000001</v>
      </c>
      <c r="AI10" s="64">
        <v>10.250590000000001</v>
      </c>
      <c r="AJ10" s="64">
        <v>33.342970000000001</v>
      </c>
      <c r="AK10" s="64">
        <v>30.938269999999999</v>
      </c>
      <c r="AL10" s="64">
        <v>22.587969999999999</v>
      </c>
      <c r="AM10" s="64">
        <v>40.535420000000002</v>
      </c>
      <c r="AN10" s="64">
        <v>28.461469999999998</v>
      </c>
      <c r="AO10" s="64">
        <v>27.598400000000002</v>
      </c>
      <c r="AP10" s="64">
        <v>12.86002</v>
      </c>
      <c r="AQ10" s="64">
        <v>39.968649999999997</v>
      </c>
    </row>
    <row r="11" spans="1:43">
      <c r="A11" s="27">
        <v>4.57247E-2</v>
      </c>
      <c r="B11" s="27">
        <v>55.634619999999998</v>
      </c>
      <c r="C11" s="27">
        <v>25.386569999999999</v>
      </c>
      <c r="D11" s="27">
        <v>-3.3614799999999998</v>
      </c>
      <c r="E11" s="27">
        <v>10.417149999999999</v>
      </c>
      <c r="F11" s="27">
        <v>8.2356449999999999</v>
      </c>
      <c r="G11" s="27">
        <v>1.845682</v>
      </c>
      <c r="H11" s="64">
        <v>15.49075</v>
      </c>
      <c r="I11" s="64">
        <v>33.715470000000003</v>
      </c>
      <c r="J11" s="64">
        <v>20.961819999999999</v>
      </c>
      <c r="K11" s="64">
        <v>0.32928099999999999</v>
      </c>
      <c r="L11" s="64">
        <v>23.120519999999999</v>
      </c>
      <c r="M11" s="64">
        <v>28.184529999999999</v>
      </c>
      <c r="N11" s="64">
        <v>21.740760000000002</v>
      </c>
      <c r="O11" s="64">
        <v>10.456289999999999</v>
      </c>
      <c r="P11" s="64">
        <v>2.0573199999999998</v>
      </c>
      <c r="Q11" s="64">
        <v>24.772790000000001</v>
      </c>
      <c r="R11" s="64">
        <v>34.160550000000001</v>
      </c>
      <c r="S11" s="64">
        <v>39.523780000000002</v>
      </c>
      <c r="T11" s="64">
        <v>32.371609999999997</v>
      </c>
      <c r="U11" s="64">
        <v>16.324999999999999</v>
      </c>
      <c r="V11" s="64">
        <v>16.979279999999999</v>
      </c>
      <c r="W11" s="64">
        <v>12.15315</v>
      </c>
      <c r="X11" s="64">
        <v>12.70204</v>
      </c>
      <c r="Y11" s="64">
        <v>21.11966</v>
      </c>
      <c r="Z11" s="64">
        <v>19.835650000000001</v>
      </c>
      <c r="AA11" s="64">
        <v>12.18436</v>
      </c>
      <c r="AB11" s="64">
        <v>0</v>
      </c>
      <c r="AC11" s="64">
        <v>24.523309999999999</v>
      </c>
      <c r="AD11" s="64">
        <v>15.05963</v>
      </c>
      <c r="AE11" s="64">
        <v>34.415529999999997</v>
      </c>
      <c r="AF11" s="64">
        <v>26.792760000000001</v>
      </c>
      <c r="AG11" s="64">
        <v>12.621370000000001</v>
      </c>
      <c r="AH11" s="64">
        <v>31.01886</v>
      </c>
      <c r="AI11" s="64">
        <v>31.65954</v>
      </c>
      <c r="AJ11" s="64">
        <v>17.227229999999999</v>
      </c>
      <c r="AK11" s="64">
        <v>39.836480000000002</v>
      </c>
      <c r="AL11" s="64">
        <v>22.261040000000001</v>
      </c>
      <c r="AM11" s="64">
        <v>29.441330000000001</v>
      </c>
      <c r="AN11" s="64">
        <v>7.5735359999999998</v>
      </c>
      <c r="AO11" s="64">
        <v>46.224710000000002</v>
      </c>
      <c r="AP11" s="64">
        <v>37.694119999999998</v>
      </c>
      <c r="AQ11" s="64">
        <v>31.628219999999999</v>
      </c>
    </row>
    <row r="12" spans="1:43">
      <c r="A12" s="27">
        <v>1.5241599999999999E-2</v>
      </c>
      <c r="B12" s="27">
        <v>21.778880000000001</v>
      </c>
      <c r="C12" s="27">
        <v>18.117920000000002</v>
      </c>
      <c r="D12" s="27">
        <v>0.72555499999999995</v>
      </c>
      <c r="E12" s="27">
        <v>7.4562179999999998</v>
      </c>
      <c r="F12" s="27">
        <v>8.0797600000000003</v>
      </c>
      <c r="G12" s="27">
        <v>-6.1044700000000001</v>
      </c>
      <c r="H12" s="64">
        <v>42.830440000000003</v>
      </c>
      <c r="I12" s="64">
        <v>-2.7339699999999998</v>
      </c>
      <c r="J12" s="64">
        <v>6.3810019999999996</v>
      </c>
      <c r="K12" s="64">
        <v>24.527010000000001</v>
      </c>
      <c r="L12" s="64">
        <v>28.465499999999999</v>
      </c>
      <c r="M12" s="64">
        <v>-2.7662800000000001</v>
      </c>
      <c r="N12" s="64">
        <v>6.2568049999999999</v>
      </c>
      <c r="O12" s="64">
        <v>20.953119999999998</v>
      </c>
      <c r="P12" s="64">
        <v>11.243930000000001</v>
      </c>
      <c r="Q12" s="64">
        <v>14.84694</v>
      </c>
      <c r="R12" s="64">
        <v>2.2367900000000001</v>
      </c>
      <c r="S12" s="64">
        <v>26.918240000000001</v>
      </c>
      <c r="T12" s="64">
        <v>34.991520000000001</v>
      </c>
      <c r="U12" s="64">
        <v>30.40691</v>
      </c>
      <c r="V12" s="64">
        <v>5.8434799999999996</v>
      </c>
      <c r="W12" s="64">
        <v>16.362220000000001</v>
      </c>
      <c r="X12" s="64">
        <v>7.9440739999999996</v>
      </c>
      <c r="Y12" s="64">
        <v>10.506460000000001</v>
      </c>
      <c r="Z12" s="64">
        <v>16.41281</v>
      </c>
      <c r="AA12" s="64">
        <v>8.5599769999999999</v>
      </c>
      <c r="AB12" s="64">
        <v>6.9487550000000002</v>
      </c>
      <c r="AC12" s="64">
        <v>-2.1486299999999998</v>
      </c>
      <c r="AD12" s="64">
        <v>38.71698</v>
      </c>
      <c r="AE12" s="64">
        <v>9.4663889999999995</v>
      </c>
      <c r="AF12" s="64">
        <v>30.0244</v>
      </c>
      <c r="AG12" s="64">
        <v>12.621370000000001</v>
      </c>
      <c r="AH12" s="64">
        <v>0.18779499999999999</v>
      </c>
      <c r="AI12" s="64">
        <v>6.1604000000000001</v>
      </c>
      <c r="AJ12" s="64">
        <v>21.797809999999998</v>
      </c>
      <c r="AK12" s="64">
        <v>21.076540000000001</v>
      </c>
      <c r="AL12" s="64">
        <v>12.79599</v>
      </c>
      <c r="AM12" s="64">
        <v>-5.80999</v>
      </c>
      <c r="AN12" s="64">
        <v>7.9004640000000004</v>
      </c>
      <c r="AO12" s="64">
        <v>7.6491230000000003</v>
      </c>
      <c r="AP12" s="64">
        <v>38.926470000000002</v>
      </c>
      <c r="AQ12" s="64">
        <v>42.052999999999997</v>
      </c>
    </row>
    <row r="13" spans="1:4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3">
      <c r="A14" s="53" t="s">
        <v>163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63"/>
      <c r="AP14" s="63"/>
    </row>
    <row r="15" spans="1:43">
      <c r="A15" s="53" t="s">
        <v>60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63"/>
      <c r="AP15" s="63"/>
    </row>
    <row r="16" spans="1:43" s="26" customFormat="1" ht="14">
      <c r="A16" s="49"/>
      <c r="B16" s="232" t="s">
        <v>164</v>
      </c>
      <c r="C16" s="232"/>
      <c r="D16" s="232"/>
      <c r="E16" s="232"/>
      <c r="F16" s="27"/>
      <c r="G16" s="232" t="s">
        <v>165</v>
      </c>
      <c r="H16" s="232"/>
      <c r="I16" s="232"/>
      <c r="J16" s="232"/>
      <c r="K16" s="27"/>
      <c r="L16" s="232" t="s">
        <v>166</v>
      </c>
      <c r="M16" s="232"/>
      <c r="N16" s="232"/>
      <c r="O16" s="232"/>
      <c r="P16" s="27"/>
      <c r="Q16" s="232" t="s">
        <v>167</v>
      </c>
      <c r="R16" s="232"/>
      <c r="S16" s="232"/>
      <c r="T16" s="232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6"/>
      <c r="AP16" s="46"/>
    </row>
    <row r="17" spans="1:58" s="26" customFormat="1" ht="14">
      <c r="A17" s="53" t="s">
        <v>92</v>
      </c>
      <c r="B17" s="27" t="s">
        <v>93</v>
      </c>
      <c r="C17" s="27" t="s">
        <v>94</v>
      </c>
      <c r="D17" s="27" t="s">
        <v>93</v>
      </c>
      <c r="E17" s="27" t="s">
        <v>94</v>
      </c>
      <c r="F17" s="27"/>
      <c r="G17" s="27" t="s">
        <v>93</v>
      </c>
      <c r="H17" s="27" t="s">
        <v>94</v>
      </c>
      <c r="I17" s="27" t="s">
        <v>93</v>
      </c>
      <c r="J17" s="27" t="s">
        <v>94</v>
      </c>
      <c r="K17" s="27"/>
      <c r="L17" s="27" t="s">
        <v>93</v>
      </c>
      <c r="M17" s="27" t="s">
        <v>94</v>
      </c>
      <c r="N17" s="27" t="s">
        <v>93</v>
      </c>
      <c r="O17" s="27" t="s">
        <v>94</v>
      </c>
      <c r="P17" s="27"/>
      <c r="Q17" s="27" t="s">
        <v>93</v>
      </c>
      <c r="R17" s="27" t="s">
        <v>94</v>
      </c>
      <c r="S17" s="27" t="s">
        <v>93</v>
      </c>
      <c r="T17" s="27" t="s">
        <v>94</v>
      </c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6"/>
      <c r="AP17" s="46"/>
    </row>
    <row r="18" spans="1:58" s="26" customFormat="1" ht="14">
      <c r="A18" s="192" t="s">
        <v>9</v>
      </c>
      <c r="B18" s="210" t="s">
        <v>65</v>
      </c>
      <c r="C18" s="212"/>
      <c r="D18" s="210" t="s">
        <v>66</v>
      </c>
      <c r="E18" s="212"/>
      <c r="F18" s="27"/>
      <c r="G18" s="210" t="s">
        <v>65</v>
      </c>
      <c r="H18" s="212"/>
      <c r="I18" s="210" t="s">
        <v>66</v>
      </c>
      <c r="J18" s="212"/>
      <c r="K18" s="27"/>
      <c r="L18" s="210" t="s">
        <v>65</v>
      </c>
      <c r="M18" s="212"/>
      <c r="N18" s="210" t="s">
        <v>66</v>
      </c>
      <c r="O18" s="212"/>
      <c r="P18" s="27"/>
      <c r="Q18" s="210" t="s">
        <v>65</v>
      </c>
      <c r="R18" s="212"/>
      <c r="S18" s="210" t="s">
        <v>66</v>
      </c>
      <c r="T18" s="212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6"/>
      <c r="AP18" s="46"/>
    </row>
    <row r="19" spans="1:58" s="46" customFormat="1" ht="14">
      <c r="A19" s="53" t="s">
        <v>168</v>
      </c>
      <c r="B19" s="65">
        <v>1.421</v>
      </c>
      <c r="C19" s="65">
        <v>7.2670000000000003</v>
      </c>
      <c r="D19" s="65">
        <v>1.6102000000000001</v>
      </c>
      <c r="E19" s="65">
        <v>7.75</v>
      </c>
      <c r="F19" s="27"/>
      <c r="G19" s="65">
        <v>0.44800000000000001</v>
      </c>
      <c r="H19" s="65">
        <v>2.3069999999999999</v>
      </c>
      <c r="I19" s="65">
        <v>1.5960000000000001</v>
      </c>
      <c r="J19" s="65">
        <v>7.0990000000000002</v>
      </c>
      <c r="K19" s="27"/>
      <c r="L19" s="65">
        <v>0.215</v>
      </c>
      <c r="M19" s="65">
        <v>2.4420000000000002</v>
      </c>
      <c r="N19" s="65">
        <v>0.30399999999999999</v>
      </c>
      <c r="O19" s="65">
        <v>7.6929999999999996</v>
      </c>
      <c r="P19" s="27"/>
      <c r="Q19" s="65">
        <v>0.43099999999999999</v>
      </c>
      <c r="R19" s="65">
        <v>4.5449999999999999</v>
      </c>
      <c r="S19" s="65">
        <v>0.57399999999999995</v>
      </c>
      <c r="T19" s="65">
        <v>4.742</v>
      </c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</row>
    <row r="20" spans="1:58" s="46" customFormat="1" ht="14">
      <c r="A20" s="49" t="s">
        <v>169</v>
      </c>
      <c r="B20" s="27"/>
      <c r="C20" s="27">
        <f>E19/C19</f>
        <v>1.0664648410623401</v>
      </c>
      <c r="D20" s="27"/>
      <c r="E20" s="27"/>
      <c r="F20" s="27"/>
      <c r="G20" s="27"/>
      <c r="H20" s="27">
        <f>J19/H19</f>
        <v>3.0771564802774201</v>
      </c>
      <c r="I20" s="27"/>
      <c r="J20" s="27"/>
      <c r="K20" s="27"/>
      <c r="L20" s="27"/>
      <c r="M20" s="27">
        <f>O19/M19</f>
        <v>3.1502866502866498</v>
      </c>
      <c r="N20" s="27"/>
      <c r="O20" s="27"/>
      <c r="P20" s="27"/>
      <c r="Q20" s="27"/>
      <c r="R20" s="27">
        <f>T19/R19</f>
        <v>1.0433443344334401</v>
      </c>
      <c r="S20" s="27"/>
      <c r="T20" s="27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</row>
    <row r="21" spans="1:58">
      <c r="A21" s="5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58">
      <c r="A22" s="5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58">
      <c r="A23" s="5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58">
      <c r="A24" s="5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58">
      <c r="A25" s="53" t="s">
        <v>170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58">
      <c r="A26" s="66" t="s">
        <v>11</v>
      </c>
      <c r="B26" s="233" t="s">
        <v>52</v>
      </c>
      <c r="C26" s="233"/>
      <c r="D26" s="233"/>
      <c r="E26" s="233"/>
      <c r="F26" s="233"/>
      <c r="G26" s="233"/>
      <c r="H26" s="233"/>
      <c r="I26" s="233"/>
      <c r="J26" s="233"/>
      <c r="K26" s="67"/>
      <c r="L26" s="233" t="s">
        <v>171</v>
      </c>
      <c r="M26" s="233"/>
      <c r="N26" s="233"/>
      <c r="O26" s="233"/>
      <c r="P26" s="233"/>
      <c r="Q26" s="233"/>
      <c r="R26" s="233"/>
      <c r="S26" s="233"/>
      <c r="T26" s="233"/>
      <c r="U26" s="67"/>
      <c r="V26" s="233" t="s">
        <v>6</v>
      </c>
      <c r="W26" s="233"/>
      <c r="X26" s="233"/>
      <c r="Y26" s="233"/>
      <c r="Z26" s="233"/>
      <c r="AA26" s="233"/>
      <c r="AB26" s="233"/>
      <c r="AC26" s="233"/>
      <c r="AD26" s="233"/>
      <c r="AE26" s="67"/>
      <c r="AF26" s="233" t="s">
        <v>172</v>
      </c>
      <c r="AG26" s="233"/>
      <c r="AH26" s="233"/>
      <c r="AI26" s="233"/>
      <c r="AJ26" s="233"/>
      <c r="AK26" s="233"/>
      <c r="AL26" s="233"/>
      <c r="AM26" s="233"/>
      <c r="AN26" s="234"/>
    </row>
    <row r="27" spans="1:58">
      <c r="A27" s="68" t="s">
        <v>75</v>
      </c>
      <c r="B27" s="235" t="s">
        <v>144</v>
      </c>
      <c r="C27" s="235"/>
      <c r="D27" s="235"/>
      <c r="E27" s="235" t="s">
        <v>77</v>
      </c>
      <c r="F27" s="235"/>
      <c r="G27" s="235"/>
      <c r="H27" s="235" t="s">
        <v>78</v>
      </c>
      <c r="I27" s="235"/>
      <c r="J27" s="235"/>
      <c r="K27" s="26"/>
      <c r="L27" s="235" t="s">
        <v>144</v>
      </c>
      <c r="M27" s="235"/>
      <c r="N27" s="235"/>
      <c r="O27" s="235" t="s">
        <v>77</v>
      </c>
      <c r="P27" s="235"/>
      <c r="Q27" s="235"/>
      <c r="R27" s="235" t="s">
        <v>78</v>
      </c>
      <c r="S27" s="235"/>
      <c r="T27" s="235"/>
      <c r="U27" s="26"/>
      <c r="V27" s="235" t="s">
        <v>144</v>
      </c>
      <c r="W27" s="235"/>
      <c r="X27" s="235"/>
      <c r="Y27" s="235" t="s">
        <v>77</v>
      </c>
      <c r="Z27" s="235"/>
      <c r="AA27" s="235"/>
      <c r="AB27" s="235" t="s">
        <v>78</v>
      </c>
      <c r="AC27" s="235"/>
      <c r="AD27" s="235"/>
      <c r="AE27" s="26"/>
      <c r="AF27" s="235" t="s">
        <v>144</v>
      </c>
      <c r="AG27" s="235"/>
      <c r="AH27" s="235"/>
      <c r="AI27" s="235" t="s">
        <v>77</v>
      </c>
      <c r="AJ27" s="235"/>
      <c r="AK27" s="235"/>
      <c r="AL27" s="235" t="s">
        <v>78</v>
      </c>
      <c r="AM27" s="235"/>
      <c r="AN27" s="236"/>
    </row>
    <row r="28" spans="1:58">
      <c r="A28" s="69">
        <v>2000</v>
      </c>
      <c r="B28" s="25">
        <v>94.671999999999997</v>
      </c>
      <c r="C28" s="25">
        <v>95.53</v>
      </c>
      <c r="D28" s="25">
        <v>92.596999999999994</v>
      </c>
      <c r="E28" s="25">
        <v>92.34</v>
      </c>
      <c r="F28" s="25">
        <v>89.739000000000004</v>
      </c>
      <c r="G28" s="25">
        <v>94.549000000000007</v>
      </c>
      <c r="H28" s="25">
        <v>97.703999999999994</v>
      </c>
      <c r="I28" s="25">
        <v>94.906000000000006</v>
      </c>
      <c r="J28" s="25">
        <v>93.751000000000005</v>
      </c>
      <c r="K28" s="26"/>
      <c r="L28" s="25">
        <v>93.29</v>
      </c>
      <c r="M28" s="25">
        <v>94.171999999999997</v>
      </c>
      <c r="N28" s="25">
        <v>91.965999999999994</v>
      </c>
      <c r="O28" s="25">
        <v>92.337000000000003</v>
      </c>
      <c r="P28" s="25">
        <v>95.263000000000005</v>
      </c>
      <c r="Q28" s="25">
        <v>92.778999999999996</v>
      </c>
      <c r="R28" s="25">
        <v>94.007000000000005</v>
      </c>
      <c r="S28" s="25">
        <v>94.834000000000003</v>
      </c>
      <c r="T28" s="25">
        <v>92.186000000000007</v>
      </c>
      <c r="U28" s="26"/>
      <c r="V28" s="25">
        <v>95.149000000000001</v>
      </c>
      <c r="W28" s="25">
        <v>90.350999999999999</v>
      </c>
      <c r="X28" s="25">
        <v>89.846000000000004</v>
      </c>
      <c r="Y28" s="25">
        <v>92.471000000000004</v>
      </c>
      <c r="Z28" s="25">
        <v>90.763999999999996</v>
      </c>
      <c r="AA28" s="25">
        <v>89.328000000000003</v>
      </c>
      <c r="AB28" s="25">
        <v>96.915999999999997</v>
      </c>
      <c r="AC28" s="25">
        <v>97.548000000000002</v>
      </c>
      <c r="AD28" s="25">
        <v>98.052000000000007</v>
      </c>
      <c r="AE28" s="26"/>
      <c r="AF28" s="25">
        <v>92.567999999999998</v>
      </c>
      <c r="AG28" s="25">
        <v>88.251999999999995</v>
      </c>
      <c r="AH28" s="25">
        <v>88.893000000000001</v>
      </c>
      <c r="AI28" s="25">
        <v>94.058000000000007</v>
      </c>
      <c r="AJ28" s="25">
        <v>97.263999999999996</v>
      </c>
      <c r="AK28" s="25">
        <v>95.84</v>
      </c>
      <c r="AL28" s="25">
        <v>97.438999999999993</v>
      </c>
      <c r="AM28" s="25">
        <v>100</v>
      </c>
      <c r="AN28" s="70">
        <v>96.188999999999993</v>
      </c>
    </row>
    <row r="29" spans="1:58">
      <c r="A29" s="69">
        <v>666.66669999999999</v>
      </c>
      <c r="B29" s="25">
        <v>93.751000000000005</v>
      </c>
      <c r="C29" s="25">
        <v>90.757999999999996</v>
      </c>
      <c r="D29" s="25">
        <v>79.858000000000004</v>
      </c>
      <c r="E29" s="25">
        <v>87.822999999999993</v>
      </c>
      <c r="F29" s="25">
        <v>80.581999999999994</v>
      </c>
      <c r="G29" s="25">
        <v>79.858000000000004</v>
      </c>
      <c r="H29" s="25">
        <v>92.165999999999997</v>
      </c>
      <c r="I29" s="25">
        <v>87.099000000000004</v>
      </c>
      <c r="J29" s="25">
        <v>93.394000000000005</v>
      </c>
      <c r="K29" s="26"/>
      <c r="L29" s="25">
        <v>87.882000000000005</v>
      </c>
      <c r="M29" s="25">
        <v>88.433999999999997</v>
      </c>
      <c r="N29" s="25">
        <v>87.551000000000002</v>
      </c>
      <c r="O29" s="25">
        <v>85.012</v>
      </c>
      <c r="P29" s="25">
        <v>90.192999999999998</v>
      </c>
      <c r="Q29" s="25">
        <v>85.84</v>
      </c>
      <c r="R29" s="25">
        <v>94.888999999999996</v>
      </c>
      <c r="S29" s="25">
        <v>93.896000000000001</v>
      </c>
      <c r="T29" s="25">
        <v>94.061999999999998</v>
      </c>
      <c r="U29" s="26"/>
      <c r="V29" s="25">
        <v>84.036000000000001</v>
      </c>
      <c r="W29" s="25">
        <v>89.718999999999994</v>
      </c>
      <c r="X29" s="25">
        <v>83.152000000000001</v>
      </c>
      <c r="Y29" s="25">
        <v>86.721999999999994</v>
      </c>
      <c r="Z29" s="25">
        <v>88.902000000000001</v>
      </c>
      <c r="AA29" s="25">
        <v>80.373000000000005</v>
      </c>
      <c r="AB29" s="25">
        <v>93.128</v>
      </c>
      <c r="AC29" s="25">
        <v>98.179000000000002</v>
      </c>
      <c r="AD29" s="25">
        <v>97.295000000000002</v>
      </c>
      <c r="AE29" s="26"/>
      <c r="AF29" s="25">
        <v>82.183999999999997</v>
      </c>
      <c r="AG29" s="25">
        <v>83.12</v>
      </c>
      <c r="AH29" s="25">
        <v>85.685000000000002</v>
      </c>
      <c r="AI29" s="25">
        <v>91.457999999999998</v>
      </c>
      <c r="AJ29" s="25">
        <v>83.760999999999996</v>
      </c>
      <c r="AK29" s="25">
        <v>82.271000000000001</v>
      </c>
      <c r="AL29" s="25">
        <v>96.59</v>
      </c>
      <c r="AM29" s="25">
        <v>82.510999999999996</v>
      </c>
      <c r="AN29" s="70">
        <v>91.457999999999998</v>
      </c>
    </row>
    <row r="30" spans="1:58">
      <c r="A30" s="69">
        <v>222.22219999999999</v>
      </c>
      <c r="B30" s="25">
        <v>82.03</v>
      </c>
      <c r="C30" s="25">
        <v>71.17</v>
      </c>
      <c r="D30" s="25">
        <v>76.177000000000007</v>
      </c>
      <c r="E30" s="25">
        <v>80.581999999999994</v>
      </c>
      <c r="F30" s="25">
        <v>84.927000000000007</v>
      </c>
      <c r="G30" s="25">
        <v>76.239000000000004</v>
      </c>
      <c r="H30" s="25">
        <v>74.789000000000001</v>
      </c>
      <c r="I30" s="25">
        <v>77.194999999999993</v>
      </c>
      <c r="J30" s="25">
        <v>82.323999999999998</v>
      </c>
      <c r="K30" s="26"/>
      <c r="L30" s="25">
        <v>66.783000000000001</v>
      </c>
      <c r="M30" s="25">
        <v>78.552000000000007</v>
      </c>
      <c r="N30" s="25">
        <v>76.287000000000006</v>
      </c>
      <c r="O30" s="25">
        <v>80.540000000000006</v>
      </c>
      <c r="P30" s="25">
        <v>83.19</v>
      </c>
      <c r="Q30" s="25">
        <v>82.417000000000002</v>
      </c>
      <c r="R30" s="25">
        <v>93.896000000000001</v>
      </c>
      <c r="S30" s="25">
        <v>89.813999999999993</v>
      </c>
      <c r="T30" s="25">
        <v>91.468999999999994</v>
      </c>
      <c r="U30" s="26"/>
      <c r="V30" s="25">
        <v>76.709999999999994</v>
      </c>
      <c r="W30" s="25">
        <v>70.14</v>
      </c>
      <c r="X30" s="25">
        <v>72.287999999999997</v>
      </c>
      <c r="Y30" s="25">
        <v>67.864999999999995</v>
      </c>
      <c r="Z30" s="25">
        <v>77.846999999999994</v>
      </c>
      <c r="AA30" s="25">
        <v>78.209999999999994</v>
      </c>
      <c r="AB30" s="25">
        <v>93.76</v>
      </c>
      <c r="AC30" s="25">
        <v>96.537000000000006</v>
      </c>
      <c r="AD30" s="25">
        <v>92.117999999999995</v>
      </c>
      <c r="AE30" s="26"/>
      <c r="AF30" s="25">
        <v>73.290999999999997</v>
      </c>
      <c r="AG30" s="25">
        <v>72.858000000000004</v>
      </c>
      <c r="AH30" s="25">
        <v>74.14</v>
      </c>
      <c r="AI30" s="25">
        <v>82.271000000000001</v>
      </c>
      <c r="AJ30" s="25">
        <v>71.16</v>
      </c>
      <c r="AK30" s="25">
        <v>67.31</v>
      </c>
      <c r="AL30" s="25">
        <v>83.38</v>
      </c>
      <c r="AM30" s="25">
        <v>81.751000000000005</v>
      </c>
      <c r="AN30" s="70">
        <v>86.587000000000003</v>
      </c>
    </row>
    <row r="31" spans="1:58">
      <c r="A31" s="69">
        <v>74.074070000000006</v>
      </c>
      <c r="B31" s="25">
        <v>77.980999999999995</v>
      </c>
      <c r="C31" s="25">
        <v>69.721999999999994</v>
      </c>
      <c r="D31" s="25">
        <v>62.811</v>
      </c>
      <c r="E31" s="25">
        <v>79.134</v>
      </c>
      <c r="F31" s="25">
        <v>79.134</v>
      </c>
      <c r="G31" s="25">
        <v>72.617000000000004</v>
      </c>
      <c r="H31" s="25">
        <v>76.239000000000004</v>
      </c>
      <c r="I31" s="25">
        <v>75.807000000000002</v>
      </c>
      <c r="J31" s="25">
        <v>78.41</v>
      </c>
      <c r="K31" s="26"/>
      <c r="L31" s="25">
        <v>53.564999999999998</v>
      </c>
      <c r="M31" s="25">
        <v>47.587000000000003</v>
      </c>
      <c r="N31" s="25">
        <v>55.999000000000002</v>
      </c>
      <c r="O31" s="25">
        <v>67.667000000000002</v>
      </c>
      <c r="P31" s="25">
        <v>69.491</v>
      </c>
      <c r="Q31" s="25">
        <v>69.27</v>
      </c>
      <c r="R31" s="25">
        <v>86.281000000000006</v>
      </c>
      <c r="S31" s="25">
        <v>84.900999999999996</v>
      </c>
      <c r="T31" s="25">
        <v>86.281000000000006</v>
      </c>
      <c r="U31" s="26"/>
      <c r="V31" s="25">
        <v>50.548000000000002</v>
      </c>
      <c r="W31" s="25">
        <v>54.392000000000003</v>
      </c>
      <c r="X31" s="25">
        <v>56.743000000000002</v>
      </c>
      <c r="Y31" s="25">
        <v>60.408999999999999</v>
      </c>
      <c r="Z31" s="25">
        <v>69.382000000000005</v>
      </c>
      <c r="AA31" s="25">
        <v>67.613</v>
      </c>
      <c r="AB31" s="25">
        <v>84.289000000000001</v>
      </c>
      <c r="AC31" s="25">
        <v>84.542000000000002</v>
      </c>
      <c r="AD31" s="25">
        <v>83.91</v>
      </c>
      <c r="AE31" s="26"/>
      <c r="AF31" s="25">
        <v>63.896000000000001</v>
      </c>
      <c r="AG31" s="25">
        <v>62.473999999999997</v>
      </c>
      <c r="AH31" s="25">
        <v>59.906999999999996</v>
      </c>
      <c r="AI31" s="25">
        <v>63.463000000000001</v>
      </c>
      <c r="AJ31" s="25">
        <v>67.951999999999998</v>
      </c>
      <c r="AK31" s="25">
        <v>60.898000000000003</v>
      </c>
      <c r="AL31" s="25">
        <v>72.858000000000004</v>
      </c>
      <c r="AM31" s="25">
        <v>73.724999999999994</v>
      </c>
      <c r="AN31" s="70">
        <v>76.063999999999993</v>
      </c>
    </row>
    <row r="32" spans="1:58" ht="16.5">
      <c r="A32" s="69">
        <v>24.69136</v>
      </c>
      <c r="B32" s="25">
        <v>61.756999999999998</v>
      </c>
      <c r="C32" s="25">
        <v>69.721999999999994</v>
      </c>
      <c r="D32" s="25">
        <v>72.617000000000004</v>
      </c>
      <c r="E32" s="25">
        <v>68.998000000000005</v>
      </c>
      <c r="F32" s="25">
        <v>63.204999999999998</v>
      </c>
      <c r="G32" s="25">
        <v>66.823999999999998</v>
      </c>
      <c r="H32" s="25">
        <v>69.486999999999995</v>
      </c>
      <c r="I32" s="25">
        <v>66.372</v>
      </c>
      <c r="J32" s="25">
        <v>71.991</v>
      </c>
      <c r="K32" s="26"/>
      <c r="L32" s="25">
        <v>34.570999999999998</v>
      </c>
      <c r="M32" s="25">
        <v>33.518999999999998</v>
      </c>
      <c r="N32" s="25">
        <v>35.668999999999997</v>
      </c>
      <c r="O32" s="25">
        <v>53.067</v>
      </c>
      <c r="P32" s="25">
        <v>50.023000000000003</v>
      </c>
      <c r="Q32" s="25">
        <v>50.189</v>
      </c>
      <c r="R32" s="25">
        <v>65.897999999999996</v>
      </c>
      <c r="S32" s="25">
        <v>73.358999999999995</v>
      </c>
      <c r="T32" s="25">
        <v>69.38</v>
      </c>
      <c r="U32" s="26"/>
      <c r="V32" s="25">
        <v>28.286999999999999</v>
      </c>
      <c r="W32" s="25">
        <v>41.19</v>
      </c>
      <c r="X32" s="25">
        <v>36.383000000000003</v>
      </c>
      <c r="Y32" s="25">
        <v>42.581000000000003</v>
      </c>
      <c r="Z32" s="25">
        <v>41.064</v>
      </c>
      <c r="AA32" s="25">
        <v>47.64</v>
      </c>
      <c r="AB32" s="25">
        <v>69.507999999999996</v>
      </c>
      <c r="AC32" s="25">
        <v>79.236000000000004</v>
      </c>
      <c r="AD32" s="25">
        <v>71.781999999999996</v>
      </c>
      <c r="AE32" s="26"/>
      <c r="AF32" s="25">
        <v>53.548000000000002</v>
      </c>
      <c r="AG32" s="25">
        <v>50.981000000000002</v>
      </c>
      <c r="AH32" s="25">
        <v>57.134999999999998</v>
      </c>
      <c r="AI32" s="25">
        <v>40.597999999999999</v>
      </c>
      <c r="AJ32" s="25">
        <v>67.084000000000003</v>
      </c>
      <c r="AK32" s="25">
        <v>55.939</v>
      </c>
      <c r="AL32" s="25">
        <v>72.820999999999998</v>
      </c>
      <c r="AM32" s="25">
        <v>64.92</v>
      </c>
      <c r="AN32" s="70">
        <v>69.441999999999993</v>
      </c>
      <c r="AQ32" s="237" t="s">
        <v>11</v>
      </c>
      <c r="AR32" s="238"/>
      <c r="AS32" s="238"/>
      <c r="AT32" s="239"/>
      <c r="AU32" s="2"/>
      <c r="AV32" s="237" t="s">
        <v>12</v>
      </c>
      <c r="AW32" s="238"/>
      <c r="AX32" s="238"/>
      <c r="AY32" s="239"/>
      <c r="AZ32" s="2"/>
      <c r="BA32" s="237" t="s">
        <v>74</v>
      </c>
      <c r="BB32" s="238"/>
      <c r="BC32" s="238"/>
      <c r="BD32" s="238"/>
      <c r="BE32" s="238"/>
      <c r="BF32" s="239"/>
    </row>
    <row r="33" spans="1:58">
      <c r="A33" s="69">
        <v>8.2304530000000007</v>
      </c>
      <c r="B33" s="25">
        <v>53.79</v>
      </c>
      <c r="C33" s="25">
        <v>62.481000000000002</v>
      </c>
      <c r="D33" s="25">
        <v>46.55</v>
      </c>
      <c r="E33" s="25">
        <v>65.376999999999995</v>
      </c>
      <c r="F33" s="25">
        <v>53.79</v>
      </c>
      <c r="G33" s="25">
        <v>40.755000000000003</v>
      </c>
      <c r="H33" s="25">
        <v>66.296999999999997</v>
      </c>
      <c r="I33" s="25">
        <v>59.646000000000001</v>
      </c>
      <c r="J33" s="25">
        <v>63.204999999999998</v>
      </c>
      <c r="K33" s="26"/>
      <c r="L33" s="25">
        <v>13.093</v>
      </c>
      <c r="M33" s="25">
        <v>17.277999999999999</v>
      </c>
      <c r="N33" s="25">
        <v>21.962</v>
      </c>
      <c r="O33" s="25">
        <v>26.591000000000001</v>
      </c>
      <c r="P33" s="25">
        <v>40.5</v>
      </c>
      <c r="Q33" s="25">
        <v>36.234000000000002</v>
      </c>
      <c r="R33" s="25">
        <v>52.125999999999998</v>
      </c>
      <c r="S33" s="25">
        <v>50.686999999999998</v>
      </c>
      <c r="T33" s="25">
        <v>47.698</v>
      </c>
      <c r="U33" s="26"/>
      <c r="V33" s="25">
        <v>28.413</v>
      </c>
      <c r="W33" s="25">
        <v>33.6</v>
      </c>
      <c r="X33" s="25">
        <v>36.383000000000003</v>
      </c>
      <c r="Y33" s="25">
        <v>40.936999999999998</v>
      </c>
      <c r="Z33" s="25">
        <v>35.244999999999997</v>
      </c>
      <c r="AA33" s="25">
        <v>41.695999999999998</v>
      </c>
      <c r="AB33" s="25">
        <v>58.512999999999998</v>
      </c>
      <c r="AC33" s="25">
        <v>63.567999999999998</v>
      </c>
      <c r="AD33" s="25">
        <v>59.524000000000001</v>
      </c>
      <c r="AE33" s="26"/>
      <c r="AF33" s="25">
        <v>34.183</v>
      </c>
      <c r="AG33" s="25">
        <v>37.392000000000003</v>
      </c>
      <c r="AH33" s="25">
        <v>27.507999999999999</v>
      </c>
      <c r="AI33" s="25">
        <v>43.805999999999997</v>
      </c>
      <c r="AJ33" s="25">
        <v>30.977</v>
      </c>
      <c r="AK33" s="25">
        <v>34.183</v>
      </c>
      <c r="AL33" s="25">
        <v>53.807000000000002</v>
      </c>
      <c r="AM33" s="25">
        <v>43.164999999999999</v>
      </c>
      <c r="AN33" s="70">
        <v>52.091000000000001</v>
      </c>
      <c r="AQ33" s="71" t="s">
        <v>85</v>
      </c>
      <c r="AR33" s="71" t="s">
        <v>144</v>
      </c>
      <c r="AS33" s="71" t="s">
        <v>77</v>
      </c>
      <c r="AT33" s="71" t="s">
        <v>78</v>
      </c>
      <c r="AU33" s="2"/>
      <c r="AV33" s="71" t="s">
        <v>85</v>
      </c>
      <c r="AW33" s="71" t="s">
        <v>144</v>
      </c>
      <c r="AX33" s="71" t="s">
        <v>77</v>
      </c>
      <c r="AY33" s="71" t="s">
        <v>78</v>
      </c>
      <c r="AZ33" s="2"/>
      <c r="BA33" s="71" t="s">
        <v>85</v>
      </c>
      <c r="BB33" s="71" t="s">
        <v>144</v>
      </c>
      <c r="BC33" s="71" t="s">
        <v>77</v>
      </c>
      <c r="BD33" s="71" t="s">
        <v>78</v>
      </c>
      <c r="BE33" s="72" t="s">
        <v>87</v>
      </c>
      <c r="BF33" s="73" t="s">
        <v>88</v>
      </c>
    </row>
    <row r="34" spans="1:58">
      <c r="A34" s="69">
        <v>2.743484</v>
      </c>
      <c r="B34" s="25">
        <v>37.859000000000002</v>
      </c>
      <c r="C34" s="25">
        <v>30.616</v>
      </c>
      <c r="D34" s="25">
        <v>45.826000000000001</v>
      </c>
      <c r="E34" s="25">
        <v>56.688000000000002</v>
      </c>
      <c r="F34" s="25">
        <v>32.79</v>
      </c>
      <c r="G34" s="25">
        <v>39.307000000000002</v>
      </c>
      <c r="H34" s="25">
        <v>32.79</v>
      </c>
      <c r="I34" s="25">
        <v>49.445</v>
      </c>
      <c r="J34" s="25">
        <v>59.584000000000003</v>
      </c>
      <c r="K34" s="26"/>
      <c r="L34" s="25">
        <v>9.0150000000000006</v>
      </c>
      <c r="M34" s="25">
        <v>4.5259999999999998</v>
      </c>
      <c r="N34" s="25">
        <v>-0.14699999999999999</v>
      </c>
      <c r="O34" s="25">
        <v>14.332000000000001</v>
      </c>
      <c r="P34" s="25">
        <v>6.6710000000000003</v>
      </c>
      <c r="Q34" s="25">
        <v>17.55</v>
      </c>
      <c r="R34" s="25">
        <v>35.070999999999998</v>
      </c>
      <c r="S34" s="25">
        <v>30.859000000000002</v>
      </c>
      <c r="T34" s="25">
        <v>28.585999999999999</v>
      </c>
      <c r="U34" s="26"/>
      <c r="V34" s="25">
        <v>16.137</v>
      </c>
      <c r="W34" s="25">
        <v>21.706</v>
      </c>
      <c r="X34" s="25">
        <v>24.617000000000001</v>
      </c>
      <c r="Y34" s="25">
        <v>25.376000000000001</v>
      </c>
      <c r="Z34" s="25">
        <v>29.172000000000001</v>
      </c>
      <c r="AA34" s="25">
        <v>17.655999999999999</v>
      </c>
      <c r="AB34" s="25">
        <v>42.075000000000003</v>
      </c>
      <c r="AC34" s="25">
        <v>43.087000000000003</v>
      </c>
      <c r="AD34" s="25">
        <v>38.406999999999996</v>
      </c>
      <c r="AE34" s="26"/>
      <c r="AF34" s="25">
        <v>26.486000000000001</v>
      </c>
      <c r="AG34" s="25">
        <v>2.7490000000000001</v>
      </c>
      <c r="AH34" s="25">
        <v>20.071999999999999</v>
      </c>
      <c r="AI34" s="25">
        <v>31.617999999999999</v>
      </c>
      <c r="AJ34" s="25">
        <v>23.277999999999999</v>
      </c>
      <c r="AK34" s="25">
        <v>18.146000000000001</v>
      </c>
      <c r="AL34" s="25">
        <v>21.355</v>
      </c>
      <c r="AM34" s="25">
        <v>28.41</v>
      </c>
      <c r="AN34" s="70">
        <v>37.392000000000003</v>
      </c>
      <c r="AQ34" s="71" t="s">
        <v>52</v>
      </c>
      <c r="AR34" s="74">
        <v>9.2539999999999996</v>
      </c>
      <c r="AS34" s="74">
        <v>7.1879999999999997</v>
      </c>
      <c r="AT34" s="75">
        <v>5.6829999999999998</v>
      </c>
      <c r="AU34" s="76"/>
      <c r="AV34" s="77" t="s">
        <v>52</v>
      </c>
      <c r="AW34" s="74">
        <v>6.0439999999999996</v>
      </c>
      <c r="AX34" s="74">
        <v>5.4779999999999998</v>
      </c>
      <c r="AY34" s="75">
        <v>4.0880000000000001</v>
      </c>
      <c r="AZ34" s="76"/>
      <c r="BA34" s="78" t="s">
        <v>52</v>
      </c>
      <c r="BB34" s="74">
        <f t="shared" ref="BB34:BD37" si="0">AVERAGE(AR34,AW34)</f>
        <v>7.649</v>
      </c>
      <c r="BC34" s="74">
        <f t="shared" si="0"/>
        <v>6.3330000000000002</v>
      </c>
      <c r="BD34" s="75">
        <f t="shared" si="0"/>
        <v>4.8855000000000004</v>
      </c>
      <c r="BE34" s="79">
        <f>BB34/BC34</f>
        <v>1.2078004105479201</v>
      </c>
      <c r="BF34" s="80">
        <f>BB34/BD34</f>
        <v>1.56565346433323</v>
      </c>
    </row>
    <row r="35" spans="1:58">
      <c r="A35" s="81">
        <v>0.91449499999999995</v>
      </c>
      <c r="B35" s="82">
        <v>16.393999999999998</v>
      </c>
      <c r="C35" s="82">
        <v>14.22</v>
      </c>
      <c r="D35" s="82">
        <v>11.785</v>
      </c>
      <c r="E35" s="82">
        <v>26.271000000000001</v>
      </c>
      <c r="F35" s="82">
        <v>12.005000000000001</v>
      </c>
      <c r="G35" s="82">
        <v>24.097000000000001</v>
      </c>
      <c r="H35" s="82">
        <v>11.323</v>
      </c>
      <c r="I35" s="82">
        <v>8.6859999999999999</v>
      </c>
      <c r="J35" s="82">
        <v>26.995000000000001</v>
      </c>
      <c r="K35" s="83"/>
      <c r="L35" s="82">
        <v>-9.0519999999999996</v>
      </c>
      <c r="M35" s="82">
        <v>-8.6069999999999993</v>
      </c>
      <c r="N35" s="82">
        <v>0</v>
      </c>
      <c r="O35" s="82">
        <v>-5.8840000000000003</v>
      </c>
      <c r="P35" s="82">
        <v>0</v>
      </c>
      <c r="Q35" s="82">
        <v>0</v>
      </c>
      <c r="R35" s="82">
        <v>-3.2160000000000002</v>
      </c>
      <c r="S35" s="82">
        <v>0</v>
      </c>
      <c r="T35" s="82">
        <v>0</v>
      </c>
      <c r="U35" s="83"/>
      <c r="V35" s="82">
        <v>-4.3760000000000003</v>
      </c>
      <c r="W35" s="82">
        <v>29.805</v>
      </c>
      <c r="X35" s="82">
        <v>14.744999999999999</v>
      </c>
      <c r="Y35" s="82">
        <v>-0.95599999999999996</v>
      </c>
      <c r="Z35" s="82">
        <v>20.567</v>
      </c>
      <c r="AA35" s="82">
        <v>1.7030000000000001</v>
      </c>
      <c r="AB35" s="82">
        <v>13.984999999999999</v>
      </c>
      <c r="AC35" s="82">
        <v>7.7809999999999997</v>
      </c>
      <c r="AD35" s="82">
        <v>8.0350000000000001</v>
      </c>
      <c r="AE35" s="83"/>
      <c r="AF35" s="82">
        <v>17.504999999999999</v>
      </c>
      <c r="AG35" s="82">
        <v>20.071999999999999</v>
      </c>
      <c r="AH35" s="82">
        <v>-4.95</v>
      </c>
      <c r="AI35" s="82">
        <v>16.222999999999999</v>
      </c>
      <c r="AJ35" s="82">
        <v>-21.634</v>
      </c>
      <c r="AK35" s="82">
        <v>13.013999999999999</v>
      </c>
      <c r="AL35" s="82">
        <v>14.297000000000001</v>
      </c>
      <c r="AM35" s="82">
        <v>30.335999999999999</v>
      </c>
      <c r="AN35" s="84">
        <v>4.6740000000000004</v>
      </c>
      <c r="AQ35" s="71" t="s">
        <v>171</v>
      </c>
      <c r="AR35" s="74">
        <v>45.18</v>
      </c>
      <c r="AS35" s="74">
        <v>15.37</v>
      </c>
      <c r="AT35" s="75">
        <v>5.0880000000000001</v>
      </c>
      <c r="AU35" s="76"/>
      <c r="AV35" s="77" t="s">
        <v>171</v>
      </c>
      <c r="AW35" s="74">
        <v>36.090000000000003</v>
      </c>
      <c r="AX35" s="74">
        <v>17.43</v>
      </c>
      <c r="AY35" s="75">
        <v>2.9809999999999999</v>
      </c>
      <c r="AZ35" s="76"/>
      <c r="BA35" s="77" t="s">
        <v>171</v>
      </c>
      <c r="BB35" s="74">
        <f t="shared" si="0"/>
        <v>40.634999999999998</v>
      </c>
      <c r="BC35" s="74">
        <f t="shared" si="0"/>
        <v>16.399999999999999</v>
      </c>
      <c r="BD35" s="75">
        <f t="shared" si="0"/>
        <v>4.0345000000000004</v>
      </c>
      <c r="BE35" s="85">
        <f>BB35/BC35</f>
        <v>2.4777439024390202</v>
      </c>
      <c r="BF35" s="86">
        <f>BB35/BD35</f>
        <v>10.071880034700699</v>
      </c>
    </row>
    <row r="36" spans="1:58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1"/>
      <c r="L36" s="27"/>
      <c r="M36" s="27"/>
      <c r="N36" s="27"/>
      <c r="O36" s="27"/>
      <c r="P36" s="27"/>
      <c r="Q36" s="27"/>
      <c r="R36" s="27"/>
      <c r="S36" s="27"/>
      <c r="T36" s="27"/>
      <c r="U36" s="1"/>
      <c r="V36" s="27"/>
      <c r="W36" s="27"/>
      <c r="X36" s="27"/>
      <c r="Y36" s="27"/>
      <c r="Z36" s="27"/>
      <c r="AA36" s="27"/>
      <c r="AB36" s="27"/>
      <c r="AC36" s="27"/>
      <c r="AD36" s="27"/>
      <c r="AE36" s="1"/>
      <c r="AF36" s="27"/>
      <c r="AG36" s="27"/>
      <c r="AH36" s="27"/>
      <c r="AI36" s="27"/>
      <c r="AJ36" s="27"/>
      <c r="AK36" s="27"/>
      <c r="AL36" s="27"/>
      <c r="AM36" s="27"/>
      <c r="AN36" s="27"/>
      <c r="AQ36" s="71" t="s">
        <v>6</v>
      </c>
      <c r="AR36" s="74">
        <v>78.08</v>
      </c>
      <c r="AS36" s="74">
        <v>27.78</v>
      </c>
      <c r="AT36" s="75">
        <v>4.1100000000000003</v>
      </c>
      <c r="AU36" s="76"/>
      <c r="AV36" s="77" t="s">
        <v>6</v>
      </c>
      <c r="AW36" s="74">
        <v>72.77</v>
      </c>
      <c r="AX36" s="74">
        <v>30.41</v>
      </c>
      <c r="AY36" s="75">
        <v>7.7450000000000001</v>
      </c>
      <c r="AZ36" s="76"/>
      <c r="BA36" s="77" t="s">
        <v>6</v>
      </c>
      <c r="BB36" s="74">
        <f t="shared" si="0"/>
        <v>75.424999999999997</v>
      </c>
      <c r="BC36" s="74">
        <f t="shared" si="0"/>
        <v>29.094999999999999</v>
      </c>
      <c r="BD36" s="75">
        <f t="shared" si="0"/>
        <v>5.9275000000000002</v>
      </c>
      <c r="BE36" s="85">
        <f>BB36/BC36</f>
        <v>2.59236982299364</v>
      </c>
      <c r="BF36" s="86">
        <f>BB36/BD36</f>
        <v>12.724588781105</v>
      </c>
    </row>
    <row r="37" spans="1:58">
      <c r="A37" s="87" t="s">
        <v>12</v>
      </c>
      <c r="B37" s="240" t="s">
        <v>52</v>
      </c>
      <c r="C37" s="240"/>
      <c r="D37" s="240"/>
      <c r="E37" s="240"/>
      <c r="F37" s="240"/>
      <c r="G37" s="240"/>
      <c r="H37" s="240"/>
      <c r="I37" s="240"/>
      <c r="J37" s="240"/>
      <c r="K37" s="89"/>
      <c r="L37" s="240" t="s">
        <v>171</v>
      </c>
      <c r="M37" s="240"/>
      <c r="N37" s="240"/>
      <c r="O37" s="240"/>
      <c r="P37" s="240"/>
      <c r="Q37" s="240"/>
      <c r="R37" s="240"/>
      <c r="S37" s="240"/>
      <c r="T37" s="240"/>
      <c r="U37" s="89"/>
      <c r="V37" s="240" t="s">
        <v>6</v>
      </c>
      <c r="W37" s="240"/>
      <c r="X37" s="240"/>
      <c r="Y37" s="240"/>
      <c r="Z37" s="240"/>
      <c r="AA37" s="240"/>
      <c r="AB37" s="240"/>
      <c r="AC37" s="240"/>
      <c r="AD37" s="240"/>
      <c r="AE37" s="89"/>
      <c r="AF37" s="240" t="s">
        <v>172</v>
      </c>
      <c r="AG37" s="240"/>
      <c r="AH37" s="240"/>
      <c r="AI37" s="240"/>
      <c r="AJ37" s="240"/>
      <c r="AK37" s="240"/>
      <c r="AL37" s="240"/>
      <c r="AM37" s="240"/>
      <c r="AN37" s="241"/>
      <c r="AQ37" s="71" t="s">
        <v>172</v>
      </c>
      <c r="AR37" s="91">
        <v>20.9</v>
      </c>
      <c r="AS37" s="91">
        <v>17.03</v>
      </c>
      <c r="AT37" s="92">
        <v>9.9670000000000005</v>
      </c>
      <c r="AU37" s="76"/>
      <c r="AV37" s="77" t="s">
        <v>172</v>
      </c>
      <c r="AW37" s="91">
        <v>19.03</v>
      </c>
      <c r="AX37" s="91">
        <v>17.190000000000001</v>
      </c>
      <c r="AY37" s="92">
        <v>7.1150000000000002</v>
      </c>
      <c r="AZ37" s="76"/>
      <c r="BA37" s="77" t="s">
        <v>172</v>
      </c>
      <c r="BB37" s="91">
        <f t="shared" si="0"/>
        <v>19.965</v>
      </c>
      <c r="BC37" s="91">
        <f t="shared" si="0"/>
        <v>17.11</v>
      </c>
      <c r="BD37" s="92">
        <f t="shared" si="0"/>
        <v>8.5410000000000004</v>
      </c>
      <c r="BE37" s="93">
        <f>BB37/BC37</f>
        <v>1.16686148451198</v>
      </c>
      <c r="BF37" s="94">
        <f>BB37/BD37</f>
        <v>2.3375482964524101</v>
      </c>
    </row>
    <row r="38" spans="1:58">
      <c r="A38" s="95" t="s">
        <v>75</v>
      </c>
      <c r="B38" s="193" t="s">
        <v>144</v>
      </c>
      <c r="C38" s="193"/>
      <c r="D38" s="193"/>
      <c r="E38" s="193" t="s">
        <v>77</v>
      </c>
      <c r="F38" s="193"/>
      <c r="G38" s="193"/>
      <c r="H38" s="193" t="s">
        <v>78</v>
      </c>
      <c r="I38" s="193"/>
      <c r="J38" s="193"/>
      <c r="K38" s="49"/>
      <c r="L38" s="193" t="s">
        <v>144</v>
      </c>
      <c r="M38" s="193"/>
      <c r="N38" s="193"/>
      <c r="O38" s="193" t="s">
        <v>77</v>
      </c>
      <c r="P38" s="193"/>
      <c r="Q38" s="193"/>
      <c r="R38" s="193" t="s">
        <v>78</v>
      </c>
      <c r="S38" s="193"/>
      <c r="T38" s="193"/>
      <c r="U38" s="49"/>
      <c r="V38" s="193" t="s">
        <v>144</v>
      </c>
      <c r="W38" s="193"/>
      <c r="X38" s="193"/>
      <c r="Y38" s="193" t="s">
        <v>77</v>
      </c>
      <c r="Z38" s="193"/>
      <c r="AA38" s="193"/>
      <c r="AB38" s="193" t="s">
        <v>78</v>
      </c>
      <c r="AC38" s="193"/>
      <c r="AD38" s="193"/>
      <c r="AE38" s="49"/>
      <c r="AF38" s="193" t="s">
        <v>144</v>
      </c>
      <c r="AG38" s="193"/>
      <c r="AH38" s="193"/>
      <c r="AI38" s="193" t="s">
        <v>77</v>
      </c>
      <c r="AJ38" s="193"/>
      <c r="AK38" s="193"/>
      <c r="AL38" s="193" t="s">
        <v>78</v>
      </c>
      <c r="AM38" s="193"/>
      <c r="AN38" s="221"/>
    </row>
    <row r="39" spans="1:58">
      <c r="A39" s="96">
        <v>2000</v>
      </c>
      <c r="B39" s="27">
        <v>86.7698196875089</v>
      </c>
      <c r="C39" s="27">
        <v>87.791243047593795</v>
      </c>
      <c r="D39" s="27">
        <v>88.992378804675695</v>
      </c>
      <c r="E39" s="27">
        <v>92.465344564568596</v>
      </c>
      <c r="F39" s="27">
        <v>90.329009497279003</v>
      </c>
      <c r="G39" s="27">
        <v>82.508519757309301</v>
      </c>
      <c r="H39" s="27">
        <v>94.877407088059101</v>
      </c>
      <c r="I39" s="27">
        <v>93.844613523594802</v>
      </c>
      <c r="J39" s="27">
        <v>91.858933664332596</v>
      </c>
      <c r="K39" s="49"/>
      <c r="L39" s="27">
        <v>89.857444819468896</v>
      </c>
      <c r="M39" s="27">
        <v>92.085315352183002</v>
      </c>
      <c r="N39" s="27">
        <v>85.8405949998686</v>
      </c>
      <c r="O39" s="27">
        <v>93.480456386824997</v>
      </c>
      <c r="P39" s="27">
        <v>86.532909334604796</v>
      </c>
      <c r="Q39" s="27">
        <v>90.859123043479897</v>
      </c>
      <c r="R39" s="27">
        <v>94.004948320461907</v>
      </c>
      <c r="S39" s="27">
        <v>96.364223417795202</v>
      </c>
      <c r="T39" s="27">
        <v>98.461064827503293</v>
      </c>
      <c r="U39" s="49"/>
      <c r="V39" s="27">
        <v>89.5945569405133</v>
      </c>
      <c r="W39" s="27">
        <v>84.093095157785399</v>
      </c>
      <c r="X39" s="27">
        <v>83.398306247147801</v>
      </c>
      <c r="Y39" s="27">
        <v>88.8468005117318</v>
      </c>
      <c r="Z39" s="27">
        <v>89.462655743050604</v>
      </c>
      <c r="AA39" s="27">
        <v>86.799442029466803</v>
      </c>
      <c r="AB39" s="27">
        <v>94.236029817089502</v>
      </c>
      <c r="AC39" s="27">
        <v>93.126558724500796</v>
      </c>
      <c r="AD39" s="27">
        <v>95.639323982639795</v>
      </c>
      <c r="AE39" s="49"/>
      <c r="AF39" s="27">
        <v>95.184225237587</v>
      </c>
      <c r="AG39" s="27">
        <v>92.611424505768198</v>
      </c>
      <c r="AH39" s="27">
        <v>93.232454134268394</v>
      </c>
      <c r="AI39" s="27">
        <v>92.596432382985199</v>
      </c>
      <c r="AJ39" s="27">
        <v>94.355338720333407</v>
      </c>
      <c r="AK39" s="27">
        <v>95.0302383493419</v>
      </c>
      <c r="AL39" s="27">
        <v>94.207958530263795</v>
      </c>
      <c r="AM39" s="27">
        <v>94.963409056258598</v>
      </c>
      <c r="AN39" s="97">
        <v>93.512984702952707</v>
      </c>
    </row>
    <row r="40" spans="1:58">
      <c r="A40" s="96">
        <v>666.66669999999999</v>
      </c>
      <c r="B40" s="27">
        <v>90.479980544316902</v>
      </c>
      <c r="C40" s="27">
        <v>94.728646914094995</v>
      </c>
      <c r="D40" s="27">
        <v>81.405294093494703</v>
      </c>
      <c r="E40" s="27">
        <v>81.736293376540104</v>
      </c>
      <c r="F40" s="27">
        <v>82.618747571987598</v>
      </c>
      <c r="G40" s="27">
        <v>90.700436173673594</v>
      </c>
      <c r="H40" s="27">
        <v>92.781815253129196</v>
      </c>
      <c r="I40" s="27">
        <v>89.8839923314288</v>
      </c>
      <c r="J40" s="27">
        <v>89.001853974991903</v>
      </c>
      <c r="K40" s="49"/>
      <c r="L40" s="27">
        <v>73.528738178282197</v>
      </c>
      <c r="M40" s="27">
        <v>71.0853641595927</v>
      </c>
      <c r="N40" s="27">
        <v>78.284832534268403</v>
      </c>
      <c r="O40" s="27">
        <v>92.169789715152405</v>
      </c>
      <c r="P40" s="27">
        <v>84.220564438921301</v>
      </c>
      <c r="Q40" s="27">
        <v>81.824120621881505</v>
      </c>
      <c r="R40" s="27">
        <v>98.199006581491503</v>
      </c>
      <c r="S40" s="27">
        <v>96.888339909818896</v>
      </c>
      <c r="T40" s="27">
        <v>93.873919197456004</v>
      </c>
      <c r="U40" s="49"/>
      <c r="V40" s="27">
        <v>81.797807282774997</v>
      </c>
      <c r="W40" s="27">
        <v>80.917028194420098</v>
      </c>
      <c r="X40" s="27">
        <v>74.106561329743499</v>
      </c>
      <c r="Y40" s="27">
        <v>87.531239189752299</v>
      </c>
      <c r="Z40" s="27">
        <v>86.969559205004103</v>
      </c>
      <c r="AA40" s="27">
        <v>85.135451056374194</v>
      </c>
      <c r="AB40" s="27">
        <v>93.783131657063805</v>
      </c>
      <c r="AC40" s="27">
        <v>91.4961253484081</v>
      </c>
      <c r="AD40" s="27">
        <v>91.387343523685701</v>
      </c>
      <c r="AE40" s="49"/>
      <c r="AF40" s="27">
        <v>86.876048178075905</v>
      </c>
      <c r="AG40" s="27">
        <v>82.769985261981006</v>
      </c>
      <c r="AH40" s="27">
        <v>84.157391878843299</v>
      </c>
      <c r="AI40" s="27">
        <v>87.904914367027501</v>
      </c>
      <c r="AJ40" s="27">
        <v>86.8569903948773</v>
      </c>
      <c r="AK40" s="27">
        <v>93.858057630736397</v>
      </c>
      <c r="AL40" s="27">
        <v>91.082227981907806</v>
      </c>
      <c r="AM40" s="27">
        <v>93.356710880723696</v>
      </c>
      <c r="AN40" s="97">
        <v>89.271992681811298</v>
      </c>
    </row>
    <row r="41" spans="1:58">
      <c r="A41" s="96">
        <v>222.22219999999999</v>
      </c>
      <c r="B41" s="27">
        <v>79.750613517277998</v>
      </c>
      <c r="C41" s="27">
        <v>86.071499635205896</v>
      </c>
      <c r="D41" s="27">
        <v>83.5984801826813</v>
      </c>
      <c r="E41" s="27">
        <v>82.618747571987598</v>
      </c>
      <c r="F41" s="27">
        <v>82.618747571987598</v>
      </c>
      <c r="G41" s="27">
        <v>84.163200333526007</v>
      </c>
      <c r="H41" s="27">
        <v>79.3109656146069</v>
      </c>
      <c r="I41" s="27">
        <v>75.445727803623896</v>
      </c>
      <c r="J41" s="27">
        <v>78.162890811295696</v>
      </c>
      <c r="K41" s="49"/>
      <c r="L41" s="27">
        <v>62.861691064114197</v>
      </c>
      <c r="M41" s="27">
        <v>67.713147589852596</v>
      </c>
      <c r="N41" s="27">
        <v>63.613325173735603</v>
      </c>
      <c r="O41" s="27">
        <v>75.663123749310103</v>
      </c>
      <c r="P41" s="27">
        <v>76.103516761590797</v>
      </c>
      <c r="Q41" s="27">
        <v>76.926484777719807</v>
      </c>
      <c r="R41" s="27">
        <v>95.446644115140401</v>
      </c>
      <c r="S41" s="27">
        <v>96.2331942947892</v>
      </c>
      <c r="T41" s="27">
        <v>96.757310786812994</v>
      </c>
      <c r="U41" s="49"/>
      <c r="V41" s="27">
        <v>62.185505361020198</v>
      </c>
      <c r="W41" s="27">
        <v>62.112955389099902</v>
      </c>
      <c r="X41" s="27">
        <v>69.723714869121096</v>
      </c>
      <c r="Y41" s="27">
        <v>78.390287793057496</v>
      </c>
      <c r="Z41" s="27">
        <v>78.408403719458505</v>
      </c>
      <c r="AA41" s="27">
        <v>76.741134626350402</v>
      </c>
      <c r="AB41" s="27">
        <v>89.818159232091801</v>
      </c>
      <c r="AC41" s="27">
        <v>85.522959348723802</v>
      </c>
      <c r="AD41" s="27">
        <v>86.443679741477098</v>
      </c>
      <c r="AE41" s="49"/>
      <c r="AF41" s="27">
        <v>74.960105707170797</v>
      </c>
      <c r="AG41" s="27">
        <v>72.829699649336803</v>
      </c>
      <c r="AH41" s="27">
        <v>75.847690196676297</v>
      </c>
      <c r="AI41" s="27">
        <v>79.107841642526793</v>
      </c>
      <c r="AJ41" s="27">
        <v>76.284240483813605</v>
      </c>
      <c r="AK41" s="27">
        <v>74.577933628093703</v>
      </c>
      <c r="AL41" s="27">
        <v>86.955074452406393</v>
      </c>
      <c r="AM41" s="27">
        <v>87.077044264877799</v>
      </c>
      <c r="AN41" s="97">
        <v>81.662092798699007</v>
      </c>
    </row>
    <row r="42" spans="1:58">
      <c r="A42" s="96">
        <v>74.074070000000006</v>
      </c>
      <c r="B42" s="27">
        <v>79.282540103658405</v>
      </c>
      <c r="C42" s="27">
        <v>79.055767694091003</v>
      </c>
      <c r="D42" s="27">
        <v>79.141675904957694</v>
      </c>
      <c r="E42" s="27">
        <v>81.626065561861793</v>
      </c>
      <c r="F42" s="27">
        <v>78.867843482819893</v>
      </c>
      <c r="G42" s="27">
        <v>79.860841331956294</v>
      </c>
      <c r="H42" s="27">
        <v>77.048926621122703</v>
      </c>
      <c r="I42" s="27">
        <v>74.453045793498106</v>
      </c>
      <c r="J42" s="27">
        <v>69.639975111886002</v>
      </c>
      <c r="K42" s="49"/>
      <c r="L42" s="27">
        <v>52.866684437569702</v>
      </c>
      <c r="M42" s="27">
        <v>58.303454438282998</v>
      </c>
      <c r="N42" s="27">
        <v>47.167480749231302</v>
      </c>
      <c r="O42" s="27">
        <v>62.468228253483197</v>
      </c>
      <c r="P42" s="27">
        <v>55.663349014277998</v>
      </c>
      <c r="Q42" s="27">
        <v>69.155594267757493</v>
      </c>
      <c r="R42" s="27">
        <v>89.154993561176298</v>
      </c>
      <c r="S42" s="27">
        <v>87.057401268241804</v>
      </c>
      <c r="T42" s="27">
        <v>85.0908380983131</v>
      </c>
      <c r="U42" s="49"/>
      <c r="V42" s="27">
        <v>47.229859187492103</v>
      </c>
      <c r="W42" s="27">
        <v>51.377716202798297</v>
      </c>
      <c r="X42" s="27">
        <v>55.323278706626397</v>
      </c>
      <c r="Y42" s="27">
        <v>68.108981962575896</v>
      </c>
      <c r="Z42" s="27">
        <v>64.733122210902195</v>
      </c>
      <c r="AA42" s="27">
        <v>62.699566339228497</v>
      </c>
      <c r="AB42" s="27">
        <v>80.399516563564006</v>
      </c>
      <c r="AC42" s="27">
        <v>77.023656811890305</v>
      </c>
      <c r="AD42" s="27">
        <v>74.990100940216607</v>
      </c>
      <c r="AE42" s="49"/>
      <c r="AF42" s="27">
        <v>62.884586064948898</v>
      </c>
      <c r="AG42" s="27">
        <v>66.792193932001794</v>
      </c>
      <c r="AH42" s="27">
        <v>63.3287594653657</v>
      </c>
      <c r="AI42" s="27">
        <v>65.977537226203196</v>
      </c>
      <c r="AJ42" s="27">
        <v>65.248005285358502</v>
      </c>
      <c r="AK42" s="27">
        <v>57.679016110179397</v>
      </c>
      <c r="AL42" s="27">
        <v>81.340397418305599</v>
      </c>
      <c r="AM42" s="27">
        <v>77.4244041266453</v>
      </c>
      <c r="AN42" s="97">
        <v>78.0555979061849</v>
      </c>
    </row>
    <row r="43" spans="1:58">
      <c r="A43" s="96">
        <v>24.69136</v>
      </c>
      <c r="B43" s="27">
        <v>56.461592397123297</v>
      </c>
      <c r="C43" s="27">
        <v>74.042770918807307</v>
      </c>
      <c r="D43" s="27">
        <v>71.038826089565603</v>
      </c>
      <c r="E43" s="27">
        <v>64.962715204805804</v>
      </c>
      <c r="F43" s="27">
        <v>70.702141704330501</v>
      </c>
      <c r="G43" s="27">
        <v>61.871914647665797</v>
      </c>
      <c r="H43" s="27">
        <v>69.860430741242595</v>
      </c>
      <c r="I43" s="27">
        <v>67.433523784256707</v>
      </c>
      <c r="J43" s="27">
        <v>61.778742139556599</v>
      </c>
      <c r="K43" s="49"/>
      <c r="L43" s="27">
        <v>44.211628928527198</v>
      </c>
      <c r="M43" s="27">
        <v>52.1372013831269</v>
      </c>
      <c r="N43" s="27">
        <v>43.416819033388002</v>
      </c>
      <c r="O43" s="27">
        <v>45.465979358220103</v>
      </c>
      <c r="P43" s="27">
        <v>53.336737337293002</v>
      </c>
      <c r="Q43" s="27">
        <v>60.3019301453335</v>
      </c>
      <c r="R43" s="27">
        <v>76.829996283127997</v>
      </c>
      <c r="S43" s="27">
        <v>80.108352449568798</v>
      </c>
      <c r="T43" s="27">
        <v>76.1744752264852</v>
      </c>
      <c r="U43" s="49"/>
      <c r="V43" s="27">
        <v>24.246700960402901</v>
      </c>
      <c r="W43" s="27">
        <v>35.154904110676199</v>
      </c>
      <c r="X43" s="27">
        <v>43.516611873178199</v>
      </c>
      <c r="Y43" s="27">
        <v>49.977182559366298</v>
      </c>
      <c r="Z43" s="27">
        <v>51.595969982772601</v>
      </c>
      <c r="AA43" s="27">
        <v>38.435180784005503</v>
      </c>
      <c r="AB43" s="27">
        <v>62.267717160354401</v>
      </c>
      <c r="AC43" s="27">
        <v>72.5131362032987</v>
      </c>
      <c r="AD43" s="27">
        <v>67.978978624069498</v>
      </c>
      <c r="AE43" s="49"/>
      <c r="AF43" s="27">
        <v>49.167556029882597</v>
      </c>
      <c r="AG43" s="27">
        <v>56.044620623062499</v>
      </c>
      <c r="AH43" s="27">
        <v>49.522793108705599</v>
      </c>
      <c r="AI43" s="27">
        <v>59.136301265436799</v>
      </c>
      <c r="AJ43" s="27">
        <v>59.277837068658798</v>
      </c>
      <c r="AK43" s="27">
        <v>49.913604716166098</v>
      </c>
      <c r="AL43" s="27">
        <v>71.764242516643804</v>
      </c>
      <c r="AM43" s="27">
        <v>63.506378004777197</v>
      </c>
      <c r="AN43" s="97">
        <v>66.081719774355804</v>
      </c>
    </row>
    <row r="44" spans="1:58">
      <c r="A44" s="96">
        <v>8.2304530000000007</v>
      </c>
      <c r="B44" s="27">
        <v>49.725062141325303</v>
      </c>
      <c r="C44" s="27">
        <v>55.685260109217097</v>
      </c>
      <c r="D44" s="27">
        <v>54.781960539073999</v>
      </c>
      <c r="E44" s="27">
        <v>57.124222641235299</v>
      </c>
      <c r="F44" s="27">
        <v>54.694788972165099</v>
      </c>
      <c r="G44" s="27">
        <v>54.032158728053098</v>
      </c>
      <c r="H44" s="27">
        <v>61.296140131452198</v>
      </c>
      <c r="I44" s="27">
        <v>68.259758635828106</v>
      </c>
      <c r="J44" s="27">
        <v>55.295198931200801</v>
      </c>
      <c r="K44" s="49"/>
      <c r="L44" s="27">
        <v>25.149707343262499</v>
      </c>
      <c r="M44" s="27">
        <v>41.008361084725898</v>
      </c>
      <c r="N44" s="27">
        <v>42.4523095290836</v>
      </c>
      <c r="O44" s="27">
        <v>50.853566507604597</v>
      </c>
      <c r="P44" s="27">
        <v>41.454761162817803</v>
      </c>
      <c r="Q44" s="27">
        <v>38.643078921581498</v>
      </c>
      <c r="R44" s="27">
        <v>66.599587765108694</v>
      </c>
      <c r="S44" s="27">
        <v>66.730616888114696</v>
      </c>
      <c r="T44" s="27">
        <v>61.876532271083903</v>
      </c>
      <c r="U44" s="49"/>
      <c r="V44" s="27">
        <v>18.019221860574699</v>
      </c>
      <c r="W44" s="27">
        <v>19.4806595232406</v>
      </c>
      <c r="X44" s="27">
        <v>25.8529797679609</v>
      </c>
      <c r="Y44" s="27">
        <v>32.6938123759383</v>
      </c>
      <c r="Z44" s="27">
        <v>32.584426687002498</v>
      </c>
      <c r="AA44" s="27">
        <v>27.641280502691099</v>
      </c>
      <c r="AB44" s="27">
        <v>53.6109785964643</v>
      </c>
      <c r="AC44" s="27">
        <v>62.1282245270665</v>
      </c>
      <c r="AD44" s="27">
        <v>48.558446723217102</v>
      </c>
      <c r="AE44" s="49"/>
      <c r="AF44" s="27">
        <v>32.905422574579497</v>
      </c>
      <c r="AG44" s="27">
        <v>42.180718605478503</v>
      </c>
      <c r="AH44" s="27">
        <v>45.914265385983597</v>
      </c>
      <c r="AI44" s="27">
        <v>50.802205620775503</v>
      </c>
      <c r="AJ44" s="27">
        <v>39.068963764801502</v>
      </c>
      <c r="AK44" s="27">
        <v>42.980637292270202</v>
      </c>
      <c r="AL44" s="27">
        <v>53.716521827514299</v>
      </c>
      <c r="AM44" s="27">
        <v>53.0947298876861</v>
      </c>
      <c r="AN44" s="97">
        <v>51.193525435787997</v>
      </c>
    </row>
    <row r="45" spans="1:58">
      <c r="A45" s="96">
        <v>2.743484</v>
      </c>
      <c r="B45" s="27">
        <v>32.679230742505901</v>
      </c>
      <c r="C45" s="27">
        <v>33.815619502427197</v>
      </c>
      <c r="D45" s="27">
        <v>46.742910203810901</v>
      </c>
      <c r="E45" s="27">
        <v>45.969420466999601</v>
      </c>
      <c r="F45" s="27">
        <v>31.8264654140491</v>
      </c>
      <c r="G45" s="27">
        <v>42.102919299974403</v>
      </c>
      <c r="H45" s="27">
        <v>39.042755126856697</v>
      </c>
      <c r="I45" s="27">
        <v>44.056699419172098</v>
      </c>
      <c r="J45" s="27">
        <v>44.542775656392401</v>
      </c>
      <c r="K45" s="49"/>
      <c r="L45" s="27">
        <v>27.876539779916101</v>
      </c>
      <c r="M45" s="27">
        <v>29.321239107500201</v>
      </c>
      <c r="N45" s="27">
        <v>28.563597932067601</v>
      </c>
      <c r="O45" s="27">
        <v>43.7652288504353</v>
      </c>
      <c r="P45" s="27">
        <v>33.9177707778775</v>
      </c>
      <c r="Q45" s="27">
        <v>25.990696556825</v>
      </c>
      <c r="R45" s="27">
        <v>53.609683390087604</v>
      </c>
      <c r="S45" s="27">
        <v>53.0848160148375</v>
      </c>
      <c r="T45" s="27">
        <v>48.753346123377597</v>
      </c>
      <c r="U45" s="49"/>
      <c r="V45" s="27">
        <v>9.6832214602989506</v>
      </c>
      <c r="W45" s="27">
        <v>13.505078066702801</v>
      </c>
      <c r="X45" s="27">
        <v>21.179243289127601</v>
      </c>
      <c r="Y45" s="27">
        <v>20.9053477352073</v>
      </c>
      <c r="Z45" s="27">
        <v>18.019221860574699</v>
      </c>
      <c r="AA45" s="27">
        <v>15.862995287271101</v>
      </c>
      <c r="AB45" s="27">
        <v>33.195882336195403</v>
      </c>
      <c r="AC45" s="27">
        <v>47.563019700638598</v>
      </c>
      <c r="AD45" s="27">
        <v>36.780161507797203</v>
      </c>
      <c r="AE45" s="49"/>
      <c r="AF45" s="27">
        <v>32.221375209635603</v>
      </c>
      <c r="AG45" s="27">
        <v>31.445850485338202</v>
      </c>
      <c r="AH45" s="27">
        <v>29.896325659399299</v>
      </c>
      <c r="AI45" s="27">
        <v>31.776693601666899</v>
      </c>
      <c r="AJ45" s="27">
        <v>26.617370534126099</v>
      </c>
      <c r="AK45" s="27">
        <v>31.776693601666899</v>
      </c>
      <c r="AL45" s="27">
        <v>39.802053158509899</v>
      </c>
      <c r="AM45" s="27">
        <v>43.514001118056598</v>
      </c>
      <c r="AN45" s="97">
        <v>38.133099557859403</v>
      </c>
    </row>
    <row r="46" spans="1:58" s="62" customFormat="1" ht="13">
      <c r="A46" s="98">
        <v>0.91449499999999995</v>
      </c>
      <c r="B46" s="99">
        <v>33.815619502427197</v>
      </c>
      <c r="C46" s="99">
        <v>27.515578759194899</v>
      </c>
      <c r="D46" s="99">
        <v>31.715921760360299</v>
      </c>
      <c r="E46" s="99">
        <v>26.741773183372999</v>
      </c>
      <c r="F46" s="99">
        <v>27.0734041444395</v>
      </c>
      <c r="G46" s="99">
        <v>41.661060524229597</v>
      </c>
      <c r="H46" s="99">
        <v>31.0918238755342</v>
      </c>
      <c r="I46" s="99">
        <v>34.867995085544997</v>
      </c>
      <c r="J46" s="99">
        <v>44.740175037979597</v>
      </c>
      <c r="K46" s="99"/>
      <c r="L46" s="99">
        <v>21.395291211287301</v>
      </c>
      <c r="M46" s="99">
        <v>27.614106092291099</v>
      </c>
      <c r="N46" s="99">
        <v>15.527889680236401</v>
      </c>
      <c r="O46" s="99">
        <v>16.5791261971894</v>
      </c>
      <c r="P46" s="99">
        <v>24.8557365601289</v>
      </c>
      <c r="Q46" s="99">
        <v>6.5920038445221198</v>
      </c>
      <c r="R46" s="99">
        <v>26.300435887712901</v>
      </c>
      <c r="S46" s="99">
        <v>33.130094273389098</v>
      </c>
      <c r="T46" s="99">
        <v>30.765938435084301</v>
      </c>
      <c r="U46" s="99"/>
      <c r="V46" s="99">
        <v>7.3232338481419497</v>
      </c>
      <c r="W46" s="99">
        <v>10.1770098542013</v>
      </c>
      <c r="X46" s="99">
        <v>9.9575483458002498</v>
      </c>
      <c r="Y46" s="99">
        <v>17.745153774021901</v>
      </c>
      <c r="Z46" s="99">
        <v>11.6217981178415</v>
      </c>
      <c r="AA46" s="99">
        <v>-1.7393014671312399</v>
      </c>
      <c r="AB46" s="99">
        <v>21.409056755472101</v>
      </c>
      <c r="AC46" s="99">
        <v>15.2857010992917</v>
      </c>
      <c r="AD46" s="99">
        <v>1.9246015143189099</v>
      </c>
      <c r="AE46" s="99"/>
      <c r="AF46" s="99">
        <v>13.3574731920516</v>
      </c>
      <c r="AG46" s="99">
        <v>21.278650200742</v>
      </c>
      <c r="AH46" s="99">
        <v>22.613457335976001</v>
      </c>
      <c r="AI46" s="99">
        <v>13.090410123494401</v>
      </c>
      <c r="AJ46" s="99">
        <v>11.932967423895899</v>
      </c>
      <c r="AK46" s="99">
        <v>15.9389134522539</v>
      </c>
      <c r="AL46" s="99">
        <v>20.032779387101701</v>
      </c>
      <c r="AM46" s="99">
        <v>24.3932001829547</v>
      </c>
      <c r="AN46" s="100">
        <v>15.3158509935458</v>
      </c>
    </row>
    <row r="47" spans="1:58">
      <c r="A47" s="53"/>
      <c r="B47" s="10"/>
      <c r="C47" s="10"/>
      <c r="D47" s="10"/>
      <c r="E47" s="10"/>
      <c r="F47" s="10"/>
      <c r="G47" s="10"/>
      <c r="H47" s="64"/>
      <c r="I47" s="6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58">
      <c r="A48" s="53" t="s">
        <v>173</v>
      </c>
      <c r="B48" s="193"/>
      <c r="C48" s="193"/>
      <c r="D48" s="193"/>
      <c r="E48" s="193"/>
      <c r="F48" s="193"/>
      <c r="G48" s="193"/>
      <c r="H48" s="242"/>
      <c r="I48" s="24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0"/>
      <c r="B49" s="193"/>
      <c r="C49" s="193"/>
      <c r="D49" s="193"/>
      <c r="E49" s="193"/>
      <c r="F49" s="193"/>
      <c r="G49" s="193"/>
      <c r="H49" s="193"/>
      <c r="I49" s="19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01" t="s">
        <v>147</v>
      </c>
      <c r="B50" s="193" t="s">
        <v>52</v>
      </c>
      <c r="C50" s="193"/>
      <c r="D50" s="193"/>
      <c r="E50" s="193"/>
      <c r="F50" s="193"/>
      <c r="G50" s="193" t="s">
        <v>6</v>
      </c>
      <c r="H50" s="193"/>
      <c r="I50" s="193"/>
      <c r="J50" s="193"/>
      <c r="K50" s="193"/>
      <c r="L50" s="193" t="s">
        <v>171</v>
      </c>
      <c r="M50" s="193"/>
      <c r="N50" s="193"/>
      <c r="O50" s="193"/>
      <c r="P50" s="193"/>
      <c r="Q50" s="193" t="s">
        <v>172</v>
      </c>
      <c r="R50" s="193"/>
      <c r="S50" s="193"/>
      <c r="T50" s="193"/>
      <c r="U50" s="19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58" t="s">
        <v>174</v>
      </c>
      <c r="B51" s="27">
        <v>108.86469204319199</v>
      </c>
      <c r="C51" s="27">
        <v>105.350787235326</v>
      </c>
      <c r="D51" s="27">
        <v>96.784701695119793</v>
      </c>
      <c r="E51" s="27">
        <v>93.974583257927605</v>
      </c>
      <c r="F51" s="27">
        <v>95.028251995737094</v>
      </c>
      <c r="G51" s="27">
        <v>101.560415150412</v>
      </c>
      <c r="H51" s="27">
        <v>100.890420305677</v>
      </c>
      <c r="I51" s="27">
        <v>102.565407417516</v>
      </c>
      <c r="J51" s="27">
        <v>94.294430040029098</v>
      </c>
      <c r="K51" s="27">
        <v>100.689421852256</v>
      </c>
      <c r="L51" s="27">
        <v>106.05803912325</v>
      </c>
      <c r="M51" s="27">
        <v>92.5602231405162</v>
      </c>
      <c r="N51" s="27">
        <v>100.777971748957</v>
      </c>
      <c r="O51" s="27">
        <v>101.686689894102</v>
      </c>
      <c r="P51" s="27">
        <v>98.917567159451707</v>
      </c>
      <c r="Q51" s="27">
        <v>115.72446539956501</v>
      </c>
      <c r="R51" s="27">
        <v>92.396385687000006</v>
      </c>
      <c r="S51" s="27">
        <v>114.622206787856</v>
      </c>
      <c r="T51" s="27">
        <v>88.187033351587402</v>
      </c>
      <c r="U51" s="27">
        <v>104.794040256982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58" t="s">
        <v>175</v>
      </c>
      <c r="B52" s="27">
        <v>93.405521706782494</v>
      </c>
      <c r="C52" s="27">
        <v>89.2763065291267</v>
      </c>
      <c r="D52" s="27">
        <v>96.433813918883601</v>
      </c>
      <c r="E52" s="27">
        <v>105.65240996561501</v>
      </c>
      <c r="F52" s="27">
        <v>89.517604713357898</v>
      </c>
      <c r="G52" s="27">
        <v>106.787891193595</v>
      </c>
      <c r="H52" s="27">
        <v>99.785165726589</v>
      </c>
      <c r="I52" s="27">
        <v>98.077294850800598</v>
      </c>
      <c r="J52" s="27">
        <v>98.613006428917998</v>
      </c>
      <c r="K52" s="27">
        <v>98.880909600921896</v>
      </c>
      <c r="L52" s="27">
        <v>106.23126275237701</v>
      </c>
      <c r="M52" s="27">
        <v>98.571488200904994</v>
      </c>
      <c r="N52" s="27">
        <v>90.312244492077895</v>
      </c>
      <c r="O52" s="27">
        <v>94.981670951219897</v>
      </c>
      <c r="P52" s="27">
        <v>88.972370155938094</v>
      </c>
      <c r="Q52" s="27">
        <v>103.723503719831</v>
      </c>
      <c r="R52" s="27">
        <v>95.361230950059394</v>
      </c>
      <c r="S52" s="27">
        <v>95.871455475564005</v>
      </c>
      <c r="T52" s="27">
        <v>88.682899464397806</v>
      </c>
      <c r="U52" s="27">
        <v>100.816759940696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58" t="s">
        <v>176</v>
      </c>
      <c r="B53" s="27">
        <v>52.8845187106634</v>
      </c>
      <c r="C53" s="27">
        <v>47.682532022279901</v>
      </c>
      <c r="D53" s="27">
        <v>47.745872795640601</v>
      </c>
      <c r="E53" s="27">
        <v>49.022742353863798</v>
      </c>
      <c r="F53" s="27">
        <v>48.479821439343702</v>
      </c>
      <c r="G53" s="27">
        <v>25.102726225133399</v>
      </c>
      <c r="H53" s="27">
        <v>24.367532447840901</v>
      </c>
      <c r="I53" s="27">
        <v>30.489882793546801</v>
      </c>
      <c r="J53" s="27">
        <v>28.033171852256199</v>
      </c>
      <c r="K53" s="27">
        <v>28.331873938622</v>
      </c>
      <c r="L53" s="27">
        <v>38.184086015169001</v>
      </c>
      <c r="M53" s="27">
        <v>30.961114916874799</v>
      </c>
      <c r="N53" s="27">
        <v>34.4859886514583</v>
      </c>
      <c r="O53" s="27">
        <v>37.968998985948097</v>
      </c>
      <c r="P53" s="27">
        <v>30.617245756573499</v>
      </c>
      <c r="Q53" s="27">
        <v>45.569594892412098</v>
      </c>
      <c r="R53" s="27">
        <v>41.951942726629198</v>
      </c>
      <c r="S53" s="27">
        <v>37.957632665055002</v>
      </c>
      <c r="T53" s="27">
        <v>48.441945264395102</v>
      </c>
      <c r="U53" s="27">
        <v>34.806795870119799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58"/>
      <c r="B54" s="64"/>
      <c r="C54" s="64"/>
      <c r="D54" s="64"/>
      <c r="E54" s="64"/>
      <c r="F54" s="64"/>
      <c r="G54" s="64"/>
      <c r="H54" s="64"/>
      <c r="I54" s="6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01" t="s">
        <v>146</v>
      </c>
      <c r="B55" s="193" t="s">
        <v>52</v>
      </c>
      <c r="C55" s="193"/>
      <c r="D55" s="193"/>
      <c r="E55" s="193"/>
      <c r="F55" s="193"/>
      <c r="G55" s="193" t="s">
        <v>6</v>
      </c>
      <c r="H55" s="193"/>
      <c r="I55" s="193"/>
      <c r="J55" s="193"/>
      <c r="K55" s="193"/>
      <c r="L55" s="193" t="s">
        <v>157</v>
      </c>
      <c r="M55" s="193"/>
      <c r="N55" s="193"/>
      <c r="O55" s="193"/>
      <c r="P55" s="193"/>
      <c r="Q55" s="193" t="s">
        <v>172</v>
      </c>
      <c r="R55" s="193"/>
      <c r="S55" s="193"/>
      <c r="T55" s="193"/>
      <c r="U55" s="19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58" t="s">
        <v>174</v>
      </c>
      <c r="B56" s="27">
        <v>105.44784350147999</v>
      </c>
      <c r="C56" s="27">
        <v>95.588320659429996</v>
      </c>
      <c r="D56" s="27">
        <v>91.211470366285496</v>
      </c>
      <c r="E56" s="27">
        <v>108.440239159459</v>
      </c>
      <c r="F56" s="27">
        <v>99.317931154582894</v>
      </c>
      <c r="G56" s="27">
        <v>105.139910667367</v>
      </c>
      <c r="H56" s="27">
        <v>112.385049921177</v>
      </c>
      <c r="I56" s="27">
        <v>102.065817130846</v>
      </c>
      <c r="J56" s="27">
        <v>85.7002101944298</v>
      </c>
      <c r="K56" s="27">
        <v>94.715580662112501</v>
      </c>
      <c r="L56" s="27">
        <v>105.603123692651</v>
      </c>
      <c r="M56" s="27">
        <v>101.70687491284301</v>
      </c>
      <c r="N56" s="27">
        <v>93.914377353228303</v>
      </c>
      <c r="O56" s="27">
        <v>98.783991075163897</v>
      </c>
      <c r="P56" s="27">
        <v>97.768790963603394</v>
      </c>
      <c r="Q56" s="27">
        <v>99.633931157988997</v>
      </c>
      <c r="R56" s="27">
        <v>84.082589344499794</v>
      </c>
      <c r="S56" s="27">
        <v>104.90374232967299</v>
      </c>
      <c r="T56" s="27">
        <v>110.752943035474</v>
      </c>
      <c r="U56" s="27">
        <v>100.63732848753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58" t="s">
        <v>175</v>
      </c>
      <c r="B57" s="27">
        <v>35.804260753468398</v>
      </c>
      <c r="C57" s="27">
        <v>34.4633424275846</v>
      </c>
      <c r="D57" s="27">
        <v>38.790851570209597</v>
      </c>
      <c r="E57" s="27">
        <v>35.888430951413497</v>
      </c>
      <c r="F57" s="27">
        <v>38.242294073257099</v>
      </c>
      <c r="G57" s="27">
        <v>62.454019968470803</v>
      </c>
      <c r="H57" s="27">
        <v>69.278770362585405</v>
      </c>
      <c r="I57" s="27">
        <v>67.295060430898602</v>
      </c>
      <c r="J57" s="27">
        <v>75.321860220704195</v>
      </c>
      <c r="K57" s="27">
        <v>59.636100893326301</v>
      </c>
      <c r="L57" s="27">
        <v>42.172639799191202</v>
      </c>
      <c r="M57" s="27">
        <v>43.279877283502998</v>
      </c>
      <c r="N57" s="27">
        <v>54.385720262167098</v>
      </c>
      <c r="O57" s="27">
        <v>50.492260493655003</v>
      </c>
      <c r="P57" s="27">
        <v>40.9371077952866</v>
      </c>
      <c r="Q57" s="27">
        <v>24.863711780042699</v>
      </c>
      <c r="R57" s="27">
        <v>35.724631955966402</v>
      </c>
      <c r="S57" s="27">
        <v>42.161122962260698</v>
      </c>
      <c r="T57" s="27">
        <v>38.187037475968502</v>
      </c>
      <c r="U57" s="27">
        <v>34.976692739195698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58" t="s">
        <v>176</v>
      </c>
      <c r="B58" s="27">
        <v>91.5800777848726</v>
      </c>
      <c r="C58" s="27">
        <v>81.677018633540399</v>
      </c>
      <c r="D58" s="27">
        <v>95.266151970743607</v>
      </c>
      <c r="E58" s="27">
        <v>81.076217565449596</v>
      </c>
      <c r="F58" s="27">
        <v>95.176176931560903</v>
      </c>
      <c r="G58" s="27">
        <v>59.8495796111403</v>
      </c>
      <c r="H58" s="27">
        <v>67.662900683131895</v>
      </c>
      <c r="I58" s="27">
        <v>63.376904887020501</v>
      </c>
      <c r="J58" s="27">
        <v>68.598922753547001</v>
      </c>
      <c r="K58" s="27">
        <v>64.224251182343707</v>
      </c>
      <c r="L58" s="27">
        <v>70.363965974062197</v>
      </c>
      <c r="M58" s="27">
        <v>65.675637986333797</v>
      </c>
      <c r="N58" s="27">
        <v>76.736856784270003</v>
      </c>
      <c r="O58" s="27">
        <v>86.080044624180701</v>
      </c>
      <c r="P58" s="27">
        <v>79.659740621949496</v>
      </c>
      <c r="Q58" s="27">
        <v>93.489768507545193</v>
      </c>
      <c r="R58" s="27">
        <v>89.391904348055107</v>
      </c>
      <c r="S58" s="27">
        <v>89.015301150878301</v>
      </c>
      <c r="T58" s="27">
        <v>84.082589344499794</v>
      </c>
      <c r="U58" s="27">
        <v>79.486976903426296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53" t="s">
        <v>177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M60" s="1"/>
      <c r="AN60" s="1"/>
    </row>
    <row r="61" spans="1:40">
      <c r="A61" s="87" t="s">
        <v>11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3"/>
      <c r="AI61" s="1"/>
      <c r="AM61" s="1"/>
      <c r="AN61" s="1"/>
    </row>
    <row r="62" spans="1:40" s="63" customFormat="1">
      <c r="A62" s="104" t="s">
        <v>144</v>
      </c>
      <c r="B62" s="243" t="s">
        <v>52</v>
      </c>
      <c r="C62" s="243"/>
      <c r="D62" s="243"/>
      <c r="E62" s="243"/>
      <c r="F62" s="243"/>
      <c r="G62" s="243"/>
      <c r="H62" s="1"/>
      <c r="I62" s="1"/>
      <c r="J62" s="243" t="s">
        <v>171</v>
      </c>
      <c r="K62" s="243"/>
      <c r="L62" s="243"/>
      <c r="M62" s="243"/>
      <c r="N62" s="243"/>
      <c r="O62" s="243"/>
      <c r="P62" s="243"/>
      <c r="Q62" s="1"/>
      <c r="R62" s="1"/>
      <c r="S62" s="243" t="s">
        <v>6</v>
      </c>
      <c r="T62" s="243"/>
      <c r="U62" s="243"/>
      <c r="V62" s="243"/>
      <c r="W62" s="243"/>
      <c r="X62" s="243"/>
      <c r="Y62" s="243"/>
      <c r="Z62" s="1"/>
      <c r="AA62" s="1"/>
      <c r="AB62" s="243" t="s">
        <v>172</v>
      </c>
      <c r="AC62" s="243"/>
      <c r="AD62" s="243"/>
      <c r="AE62" s="243"/>
      <c r="AF62" s="243"/>
      <c r="AG62" s="243"/>
      <c r="AH62" s="243"/>
      <c r="AI62" s="1"/>
      <c r="AM62" s="1"/>
      <c r="AN62" s="1"/>
    </row>
    <row r="63" spans="1:40" s="63" customFormat="1">
      <c r="A63" s="95" t="s">
        <v>75</v>
      </c>
      <c r="B63" s="193" t="s">
        <v>147</v>
      </c>
      <c r="C63" s="193"/>
      <c r="D63" s="193"/>
      <c r="E63" s="193" t="s">
        <v>146</v>
      </c>
      <c r="F63" s="193"/>
      <c r="G63" s="193"/>
      <c r="H63" s="1"/>
      <c r="I63" s="1"/>
      <c r="J63" s="58" t="s">
        <v>75</v>
      </c>
      <c r="K63" s="193" t="s">
        <v>147</v>
      </c>
      <c r="L63" s="193"/>
      <c r="M63" s="193"/>
      <c r="N63" s="193" t="s">
        <v>146</v>
      </c>
      <c r="O63" s="193"/>
      <c r="P63" s="193"/>
      <c r="Q63" s="1"/>
      <c r="R63" s="1"/>
      <c r="S63" s="58" t="s">
        <v>75</v>
      </c>
      <c r="T63" s="193" t="s">
        <v>147</v>
      </c>
      <c r="U63" s="193"/>
      <c r="V63" s="193"/>
      <c r="W63" s="193" t="s">
        <v>146</v>
      </c>
      <c r="X63" s="193"/>
      <c r="Y63" s="193"/>
      <c r="Z63" s="1"/>
      <c r="AA63" s="1"/>
      <c r="AB63" s="58" t="s">
        <v>75</v>
      </c>
      <c r="AC63" s="193" t="s">
        <v>147</v>
      </c>
      <c r="AD63" s="193"/>
      <c r="AE63" s="193"/>
      <c r="AF63" s="193" t="s">
        <v>146</v>
      </c>
      <c r="AG63" s="193"/>
      <c r="AH63" s="221"/>
      <c r="AI63" s="1"/>
      <c r="AM63" s="1"/>
      <c r="AN63" s="1"/>
    </row>
    <row r="64" spans="1:40" s="63" customFormat="1">
      <c r="A64" s="96">
        <v>2000</v>
      </c>
      <c r="B64" s="27">
        <v>97.367990000000006</v>
      </c>
      <c r="C64" s="27">
        <v>97.035179999999997</v>
      </c>
      <c r="D64" s="27">
        <v>96.369548800000004</v>
      </c>
      <c r="E64" s="27">
        <v>97.346620000000001</v>
      </c>
      <c r="F64" s="27">
        <v>97.24512</v>
      </c>
      <c r="G64" s="27">
        <v>97.346620000000001</v>
      </c>
      <c r="H64" s="1"/>
      <c r="I64" s="1"/>
      <c r="J64" s="27">
        <v>2000</v>
      </c>
      <c r="K64" s="27">
        <v>95.385620000000003</v>
      </c>
      <c r="L64" s="27">
        <v>95.549139999999994</v>
      </c>
      <c r="M64" s="27">
        <v>96.148880000000005</v>
      </c>
      <c r="N64" s="27">
        <v>94.521018600000005</v>
      </c>
      <c r="O64" s="27">
        <v>95.124704500000007</v>
      </c>
      <c r="P64" s="27">
        <v>93.251478500000005</v>
      </c>
      <c r="Q64" s="1"/>
      <c r="R64" s="1"/>
      <c r="S64" s="27">
        <v>2000</v>
      </c>
      <c r="T64" s="27">
        <v>89.684169999999995</v>
      </c>
      <c r="U64" s="27">
        <v>97.646829999999994</v>
      </c>
      <c r="V64" s="27">
        <v>94.203699999999998</v>
      </c>
      <c r="W64" s="27">
        <v>95.270160000000004</v>
      </c>
      <c r="X64" s="27">
        <v>96.103269999999995</v>
      </c>
      <c r="Y64" s="27">
        <v>96.921850000000006</v>
      </c>
      <c r="Z64" s="1"/>
      <c r="AA64" s="1"/>
      <c r="AB64" s="27">
        <v>2000</v>
      </c>
      <c r="AC64" s="27">
        <v>92.733919999999998</v>
      </c>
      <c r="AD64" s="27">
        <v>90.169749999999993</v>
      </c>
      <c r="AE64" s="27">
        <v>94.016009999999994</v>
      </c>
      <c r="AF64" s="27">
        <v>97.870490000000004</v>
      </c>
      <c r="AG64" s="27">
        <v>96.823359999999994</v>
      </c>
      <c r="AH64" s="97">
        <v>97.431939999999997</v>
      </c>
      <c r="AI64" s="1"/>
      <c r="AM64" s="1"/>
      <c r="AN64" s="1"/>
    </row>
    <row r="65" spans="1:46" s="63" customFormat="1">
      <c r="A65" s="96">
        <v>666.66669999999999</v>
      </c>
      <c r="B65" s="27">
        <v>93.373260000000002</v>
      </c>
      <c r="C65" s="27">
        <v>91.709180000000003</v>
      </c>
      <c r="D65" s="27">
        <v>94.705472900000004</v>
      </c>
      <c r="E65" s="27">
        <v>95.406940000000006</v>
      </c>
      <c r="F65" s="27">
        <v>95.635329999999996</v>
      </c>
      <c r="G65" s="27">
        <v>96.658299999999997</v>
      </c>
      <c r="H65" s="1"/>
      <c r="I65" s="1"/>
      <c r="J65" s="27">
        <v>666.66669999999999</v>
      </c>
      <c r="K65" s="27">
        <v>90.149180000000001</v>
      </c>
      <c r="L65" s="27">
        <v>90.312849999999997</v>
      </c>
      <c r="M65" s="27">
        <v>89.003159999999994</v>
      </c>
      <c r="N65" s="27">
        <v>93.646573799999999</v>
      </c>
      <c r="O65" s="27">
        <v>92.217523249999999</v>
      </c>
      <c r="P65" s="27">
        <v>92.394211799999994</v>
      </c>
      <c r="Q65" s="1"/>
      <c r="R65" s="1"/>
      <c r="S65" s="27">
        <v>666.66669999999999</v>
      </c>
      <c r="T65" s="27">
        <v>87.531980000000004</v>
      </c>
      <c r="U65" s="27">
        <v>83.226990000000001</v>
      </c>
      <c r="V65" s="27">
        <v>88.392610000000005</v>
      </c>
      <c r="W65" s="27">
        <v>95.207189999999997</v>
      </c>
      <c r="X65" s="27">
        <v>92.080600000000004</v>
      </c>
      <c r="Y65" s="27">
        <v>95.463899999999995</v>
      </c>
      <c r="Z65" s="1"/>
      <c r="AA65" s="1"/>
      <c r="AB65" s="27">
        <v>666.66669999999999</v>
      </c>
      <c r="AC65" s="27">
        <v>84.880740000000003</v>
      </c>
      <c r="AD65" s="27">
        <v>90.810569999999998</v>
      </c>
      <c r="AE65" s="27">
        <v>91.932450000000003</v>
      </c>
      <c r="AF65" s="27">
        <v>94.420140000000004</v>
      </c>
      <c r="AG65" s="27">
        <v>92.840109999999996</v>
      </c>
      <c r="AH65" s="97">
        <v>93.148030000000006</v>
      </c>
      <c r="AI65" s="1"/>
      <c r="AM65" s="1"/>
      <c r="AN65" s="1"/>
    </row>
    <row r="66" spans="1:46" s="63" customFormat="1">
      <c r="A66" s="96">
        <v>222.22219999999999</v>
      </c>
      <c r="B66" s="27">
        <v>88.380080000000007</v>
      </c>
      <c r="C66" s="27">
        <v>89.378519999999995</v>
      </c>
      <c r="D66" s="27">
        <v>92.707628</v>
      </c>
      <c r="E66" s="27">
        <v>92.614000000000004</v>
      </c>
      <c r="F66" s="27">
        <v>88.636309999999995</v>
      </c>
      <c r="G66" s="27">
        <v>87.855999999999995</v>
      </c>
      <c r="H66" s="1"/>
      <c r="I66" s="1"/>
      <c r="J66" s="27">
        <v>222.22219999999999</v>
      </c>
      <c r="K66" s="27">
        <v>78.242570000000001</v>
      </c>
      <c r="L66" s="27">
        <v>74.989170000000001</v>
      </c>
      <c r="M66" s="27">
        <v>77.695899999999995</v>
      </c>
      <c r="N66" s="27">
        <v>84.834231799999998</v>
      </c>
      <c r="O66" s="27">
        <v>90.177424759999994</v>
      </c>
      <c r="P66" s="27">
        <v>88.057980000000001</v>
      </c>
      <c r="Q66" s="1"/>
      <c r="R66" s="1"/>
      <c r="S66" s="27">
        <v>222.22219999999999</v>
      </c>
      <c r="T66" s="27">
        <v>63.635350000000003</v>
      </c>
      <c r="U66" s="27">
        <v>67.941580000000002</v>
      </c>
      <c r="V66" s="27">
        <v>65.142690000000002</v>
      </c>
      <c r="W66" s="27">
        <v>80.317740000000001</v>
      </c>
      <c r="X66" s="27">
        <v>76.031099999999995</v>
      </c>
      <c r="Y66" s="27">
        <v>82.545829999999995</v>
      </c>
      <c r="Z66" s="1"/>
      <c r="AA66" s="1"/>
      <c r="AB66" s="27">
        <v>222.22219999999999</v>
      </c>
      <c r="AC66" s="27">
        <v>81.033559999999994</v>
      </c>
      <c r="AD66" s="27">
        <v>82.476309999999998</v>
      </c>
      <c r="AE66" s="27">
        <v>79.91122</v>
      </c>
      <c r="AF66" s="27">
        <v>90.313519999999997</v>
      </c>
      <c r="AG66" s="27">
        <v>89.100499999999997</v>
      </c>
      <c r="AH66" s="97">
        <v>89.911249999999995</v>
      </c>
      <c r="AI66" s="1"/>
      <c r="AM66" s="1"/>
      <c r="AN66" s="1"/>
    </row>
    <row r="67" spans="1:46" s="63" customFormat="1">
      <c r="A67" s="96">
        <v>74.074070000000006</v>
      </c>
      <c r="B67" s="27">
        <v>86.049419999999998</v>
      </c>
      <c r="C67" s="27">
        <v>85.7166</v>
      </c>
      <c r="D67" s="27">
        <v>84.718156100000002</v>
      </c>
      <c r="E67" s="27">
        <v>89.185069999999996</v>
      </c>
      <c r="F67" s="27">
        <v>88.813940000000002</v>
      </c>
      <c r="G67" s="27">
        <v>82.818860000000001</v>
      </c>
      <c r="H67" s="1"/>
      <c r="I67" s="1"/>
      <c r="J67" s="27">
        <v>74.074070000000006</v>
      </c>
      <c r="K67" s="27">
        <v>51.31926</v>
      </c>
      <c r="L67" s="27">
        <v>54.748980000000003</v>
      </c>
      <c r="M67" s="27">
        <v>58.149500000000003</v>
      </c>
      <c r="N67" s="27">
        <v>78.3212951</v>
      </c>
      <c r="O67" s="27">
        <v>74.668913450000005</v>
      </c>
      <c r="P67" s="27">
        <v>76.143772100000007</v>
      </c>
      <c r="Q67" s="1"/>
      <c r="R67" s="1"/>
      <c r="S67" s="27">
        <v>74.074070000000006</v>
      </c>
      <c r="T67" s="27">
        <v>53.29795</v>
      </c>
      <c r="U67" s="27">
        <v>43.389620000000001</v>
      </c>
      <c r="V67" s="27">
        <v>36.92689</v>
      </c>
      <c r="W67" s="27">
        <v>75.39658</v>
      </c>
      <c r="X67" s="27">
        <v>70.937979999999996</v>
      </c>
      <c r="Y67" s="27">
        <v>61.71078</v>
      </c>
      <c r="Z67" s="1"/>
      <c r="AA67" s="1"/>
      <c r="AB67" s="27">
        <v>74.074070000000006</v>
      </c>
      <c r="AC67" s="27">
        <v>59.867890000000003</v>
      </c>
      <c r="AD67" s="27">
        <v>72.455110000000005</v>
      </c>
      <c r="AE67" s="27">
        <v>69.850539999999995</v>
      </c>
      <c r="AF67" s="27">
        <v>80.989900000000006</v>
      </c>
      <c r="AG67" s="27">
        <v>82.382279999999994</v>
      </c>
      <c r="AH67" s="97">
        <v>80.280760000000001</v>
      </c>
      <c r="AI67" s="1"/>
      <c r="AM67" s="1"/>
      <c r="AN67" s="1"/>
    </row>
    <row r="68" spans="1:46" s="63" customFormat="1">
      <c r="A68" s="96">
        <v>24.69136</v>
      </c>
      <c r="B68" s="27">
        <v>67.736949999999993</v>
      </c>
      <c r="C68" s="27">
        <v>72.066410000000005</v>
      </c>
      <c r="D68" s="27">
        <v>71.733595300000005</v>
      </c>
      <c r="E68" s="27">
        <v>76.040300000000002</v>
      </c>
      <c r="F68" s="27">
        <v>77.25676</v>
      </c>
      <c r="G68" s="27">
        <v>77.004589999999993</v>
      </c>
      <c r="H68" s="1"/>
      <c r="I68" s="1"/>
      <c r="J68" s="27">
        <v>24.69136</v>
      </c>
      <c r="K68" s="27">
        <v>38.957529999999998</v>
      </c>
      <c r="L68" s="27">
        <v>40.634619999999998</v>
      </c>
      <c r="M68" s="27">
        <v>45.827979999999997</v>
      </c>
      <c r="N68" s="27">
        <v>61.114610300000002</v>
      </c>
      <c r="O68" s="27">
        <v>58.81684104</v>
      </c>
      <c r="P68" s="27">
        <v>64.247560300000004</v>
      </c>
      <c r="Q68" s="1"/>
      <c r="R68" s="1"/>
      <c r="S68" s="27">
        <v>24.69136</v>
      </c>
      <c r="T68" s="27">
        <v>26.799710000000001</v>
      </c>
      <c r="U68" s="27">
        <v>30.032</v>
      </c>
      <c r="V68" s="27">
        <v>41.666510000000002</v>
      </c>
      <c r="W68" s="27">
        <v>59.172699999999999</v>
      </c>
      <c r="X68" s="27">
        <v>64.246449999999996</v>
      </c>
      <c r="Y68" s="27">
        <v>47.872419999999998</v>
      </c>
      <c r="Z68" s="1"/>
      <c r="AA68" s="1"/>
      <c r="AB68" s="27">
        <v>24.69136</v>
      </c>
      <c r="AC68" s="27">
        <v>50.341520000000003</v>
      </c>
      <c r="AD68" s="27">
        <v>58.264020000000002</v>
      </c>
      <c r="AE68" s="27">
        <v>50.180860000000003</v>
      </c>
      <c r="AF68" s="27">
        <v>68.682479999999998</v>
      </c>
      <c r="AG68" s="27">
        <v>71.197670000000002</v>
      </c>
      <c r="AH68" s="97">
        <v>71.339709999999997</v>
      </c>
      <c r="AI68" s="1"/>
      <c r="AJ68" s="244" t="s">
        <v>11</v>
      </c>
      <c r="AK68" s="245"/>
      <c r="AL68" s="246"/>
      <c r="AM68" s="1"/>
      <c r="AN68" s="244" t="s">
        <v>12</v>
      </c>
      <c r="AO68" s="245"/>
      <c r="AP68" s="246"/>
      <c r="AR68" s="244" t="s">
        <v>74</v>
      </c>
      <c r="AS68" s="245"/>
      <c r="AT68" s="246"/>
    </row>
    <row r="69" spans="1:46" s="63" customFormat="1">
      <c r="A69" s="96">
        <v>8.2304530000000007</v>
      </c>
      <c r="B69" s="27">
        <v>70.068569999999994</v>
      </c>
      <c r="C69" s="27">
        <v>60.411200000000001</v>
      </c>
      <c r="D69" s="27">
        <v>57.413959200000001</v>
      </c>
      <c r="E69" s="27">
        <v>61.244500000000002</v>
      </c>
      <c r="F69" s="27">
        <v>66.784400000000005</v>
      </c>
      <c r="G69" s="27">
        <v>60.893999999999998</v>
      </c>
      <c r="H69" s="1"/>
      <c r="I69" s="1"/>
      <c r="J69" s="27">
        <v>8.2304530000000007</v>
      </c>
      <c r="K69" s="27">
        <v>21.832830000000001</v>
      </c>
      <c r="L69" s="27">
        <v>29.21677</v>
      </c>
      <c r="M69" s="27">
        <v>31.226659999999999</v>
      </c>
      <c r="N69" s="27">
        <v>43.2036254</v>
      </c>
      <c r="O69" s="27">
        <v>49.188950419999998</v>
      </c>
      <c r="P69" s="27">
        <v>50.854403699999999</v>
      </c>
      <c r="Q69" s="1"/>
      <c r="R69" s="1"/>
      <c r="S69" s="27">
        <v>8.2304530000000007</v>
      </c>
      <c r="T69" s="27">
        <v>21.412759999999999</v>
      </c>
      <c r="U69" s="27">
        <v>31.75572</v>
      </c>
      <c r="V69" s="27">
        <v>22.921330000000001</v>
      </c>
      <c r="W69" s="27">
        <v>47.296019999999999</v>
      </c>
      <c r="X69" s="27">
        <v>41.108229999999999</v>
      </c>
      <c r="Y69" s="27">
        <v>44.912939999999999</v>
      </c>
      <c r="Z69" s="1"/>
      <c r="AA69" s="1"/>
      <c r="AB69" s="27">
        <v>8.2304530000000007</v>
      </c>
      <c r="AC69" s="27">
        <v>45.269640000000003</v>
      </c>
      <c r="AD69" s="27">
        <v>37.246609999999997</v>
      </c>
      <c r="AE69" s="27">
        <v>36.925289999999997</v>
      </c>
      <c r="AF69" s="27">
        <v>59.084119999999999</v>
      </c>
      <c r="AG69" s="27">
        <v>60.453690000000002</v>
      </c>
      <c r="AH69" s="97">
        <v>51.23686</v>
      </c>
      <c r="AI69" s="1"/>
      <c r="AJ69" s="105"/>
      <c r="AK69" s="243" t="s">
        <v>144</v>
      </c>
      <c r="AL69" s="243"/>
      <c r="AM69" s="1"/>
      <c r="AN69" s="106"/>
      <c r="AO69" s="243" t="s">
        <v>144</v>
      </c>
      <c r="AP69" s="243"/>
      <c r="AR69" s="106"/>
      <c r="AS69" s="243" t="s">
        <v>144</v>
      </c>
      <c r="AT69" s="243"/>
    </row>
    <row r="70" spans="1:46" s="63" customFormat="1">
      <c r="A70" s="96">
        <v>2.743484</v>
      </c>
      <c r="B70" s="27">
        <v>53.750129999999999</v>
      </c>
      <c r="C70" s="27">
        <v>56.062669999999997</v>
      </c>
      <c r="D70" s="27">
        <v>54.627466300000002</v>
      </c>
      <c r="E70" s="27">
        <v>44.451929999999997</v>
      </c>
      <c r="F70" s="27">
        <v>49.262270000000001</v>
      </c>
      <c r="G70" s="27">
        <v>53.944139999999997</v>
      </c>
      <c r="H70" s="1"/>
      <c r="I70" s="1"/>
      <c r="J70" s="27">
        <v>2.743484</v>
      </c>
      <c r="K70" s="27">
        <v>12.094480000000001</v>
      </c>
      <c r="L70" s="27">
        <v>17.53096</v>
      </c>
      <c r="M70" s="27">
        <v>17.724060000000001</v>
      </c>
      <c r="N70" s="27">
        <v>17.344927200000001</v>
      </c>
      <c r="O70" s="27">
        <v>31.6362506</v>
      </c>
      <c r="P70" s="27">
        <v>14.199707200000001</v>
      </c>
      <c r="Q70" s="1"/>
      <c r="R70" s="1"/>
      <c r="S70" s="27">
        <v>2.743484</v>
      </c>
      <c r="T70" s="27">
        <v>6.9713390000000004</v>
      </c>
      <c r="U70" s="27">
        <v>27.662179999999999</v>
      </c>
      <c r="V70" s="27">
        <v>14.73118</v>
      </c>
      <c r="W70" s="27">
        <v>24.80686</v>
      </c>
      <c r="X70" s="27">
        <v>19.888110000000001</v>
      </c>
      <c r="Y70" s="27">
        <v>28.836790000000001</v>
      </c>
      <c r="Z70" s="1"/>
      <c r="AA70" s="1"/>
      <c r="AB70" s="27">
        <v>2.743484</v>
      </c>
      <c r="AC70" s="27">
        <v>22.158110000000001</v>
      </c>
      <c r="AD70" s="27">
        <v>20.231539999999999</v>
      </c>
      <c r="AE70" s="27">
        <v>47.837020000000003</v>
      </c>
      <c r="AF70" s="27">
        <v>52.619900000000001</v>
      </c>
      <c r="AG70" s="27">
        <v>49.197539999999996</v>
      </c>
      <c r="AH70" s="97">
        <v>40.14452</v>
      </c>
      <c r="AI70" s="1"/>
      <c r="AJ70" s="71" t="s">
        <v>85</v>
      </c>
      <c r="AK70" s="105" t="s">
        <v>147</v>
      </c>
      <c r="AL70" s="105" t="s">
        <v>146</v>
      </c>
      <c r="AM70" s="1"/>
      <c r="AN70" s="71" t="s">
        <v>85</v>
      </c>
      <c r="AO70" s="105" t="s">
        <v>147</v>
      </c>
      <c r="AP70" s="105" t="s">
        <v>146</v>
      </c>
      <c r="AR70" s="71" t="s">
        <v>85</v>
      </c>
      <c r="AS70" s="105" t="s">
        <v>147</v>
      </c>
      <c r="AT70" s="105" t="s">
        <v>146</v>
      </c>
    </row>
    <row r="71" spans="1:46" s="63" customFormat="1">
      <c r="A71" s="96">
        <v>0.91449499999999995</v>
      </c>
      <c r="B71" s="27">
        <v>36.30547</v>
      </c>
      <c r="C71" s="27">
        <v>36.009839999999997</v>
      </c>
      <c r="D71" s="27">
        <v>24.142929299999999</v>
      </c>
      <c r="E71" s="27">
        <v>35.435519999999997</v>
      </c>
      <c r="F71" s="27">
        <v>34.380830000000003</v>
      </c>
      <c r="G71" s="27">
        <v>40.805720000000001</v>
      </c>
      <c r="H71" s="1"/>
      <c r="I71" s="1"/>
      <c r="J71" s="27">
        <v>0.91449499999999995</v>
      </c>
      <c r="K71" s="27">
        <v>9.1121459999999992</v>
      </c>
      <c r="L71" s="27">
        <v>11.128130000000001</v>
      </c>
      <c r="M71" s="27">
        <v>14.46832</v>
      </c>
      <c r="N71" s="27">
        <v>10.7698222</v>
      </c>
      <c r="O71" s="27">
        <v>8.1963860650000004</v>
      </c>
      <c r="P71" s="27">
        <v>40.209735899999998</v>
      </c>
      <c r="Q71" s="1"/>
      <c r="R71" s="1"/>
      <c r="S71" s="27">
        <v>0.91449499999999995</v>
      </c>
      <c r="T71" s="27">
        <v>9.9890880000000006</v>
      </c>
      <c r="U71" s="27">
        <v>17.102219999999999</v>
      </c>
      <c r="V71" s="27">
        <v>14.516019999999999</v>
      </c>
      <c r="W71" s="27">
        <v>23.961639999999999</v>
      </c>
      <c r="X71" s="27">
        <v>11.31481</v>
      </c>
      <c r="Y71" s="27">
        <v>10.234680000000001</v>
      </c>
      <c r="Z71" s="1"/>
      <c r="AA71" s="1"/>
      <c r="AB71" s="27">
        <v>0.91449499999999995</v>
      </c>
      <c r="AC71" s="27">
        <v>15.57508</v>
      </c>
      <c r="AD71" s="27">
        <v>24.726870000000002</v>
      </c>
      <c r="AE71" s="27">
        <v>25.52927</v>
      </c>
      <c r="AF71" s="27">
        <v>35.341200000000001</v>
      </c>
      <c r="AG71" s="27">
        <v>32.539859999999997</v>
      </c>
      <c r="AH71" s="97">
        <v>32.082650000000001</v>
      </c>
      <c r="AI71" s="1"/>
      <c r="AJ71" s="71" t="s">
        <v>52</v>
      </c>
      <c r="AK71" s="9">
        <v>5.2190000000000003</v>
      </c>
      <c r="AL71" s="11">
        <v>6.7030000000000003</v>
      </c>
      <c r="AM71" s="1"/>
      <c r="AN71" s="71" t="s">
        <v>52</v>
      </c>
      <c r="AO71" s="9">
        <v>7.1130000000000004</v>
      </c>
      <c r="AP71" s="11">
        <v>4.9130000000000003</v>
      </c>
      <c r="AR71" s="71" t="s">
        <v>52</v>
      </c>
      <c r="AS71" s="9">
        <f>AVERAGE(AK71,AO71)</f>
        <v>6.1660000000000004</v>
      </c>
      <c r="AT71" s="11">
        <f>AVERAGE(AL71,AP71)</f>
        <v>5.8079999999999998</v>
      </c>
    </row>
    <row r="72" spans="1:46" s="63" customFormat="1">
      <c r="A72" s="96">
        <v>0.30483199999999999</v>
      </c>
      <c r="B72" s="27">
        <v>29.348769999999998</v>
      </c>
      <c r="C72" s="27">
        <v>29.55857</v>
      </c>
      <c r="D72" s="27">
        <v>32.765608499999999</v>
      </c>
      <c r="E72" s="27">
        <v>24.15906</v>
      </c>
      <c r="F72" s="27">
        <v>21.215450000000001</v>
      </c>
      <c r="G72" s="27">
        <v>29.57525</v>
      </c>
      <c r="H72" s="1"/>
      <c r="I72" s="1"/>
      <c r="J72" s="27">
        <v>0.30483199999999999</v>
      </c>
      <c r="K72" s="27">
        <v>3.7516790000000002</v>
      </c>
      <c r="L72" s="27">
        <v>2.8670490000000002</v>
      </c>
      <c r="M72" s="27">
        <v>13.19866</v>
      </c>
      <c r="N72" s="27">
        <v>8.19638606</v>
      </c>
      <c r="O72" s="27">
        <v>2.5235380250000001</v>
      </c>
      <c r="P72" s="27">
        <v>39.924253</v>
      </c>
      <c r="Q72" s="1"/>
      <c r="R72" s="1"/>
      <c r="S72" s="27">
        <v>0.30483199999999999</v>
      </c>
      <c r="T72" s="27">
        <v>-17.178100000000001</v>
      </c>
      <c r="U72" s="27">
        <v>1.5819289999999999</v>
      </c>
      <c r="V72" s="27">
        <v>8.0489739999999994</v>
      </c>
      <c r="W72" s="27">
        <v>-9.0213400000000004</v>
      </c>
      <c r="X72" s="27">
        <v>8.2390840000000001</v>
      </c>
      <c r="Y72" s="27">
        <v>1.1285750000000001</v>
      </c>
      <c r="Z72" s="1"/>
      <c r="AA72" s="1"/>
      <c r="AB72" s="27">
        <v>0.30483199999999999</v>
      </c>
      <c r="AC72" s="27">
        <v>10.275969999999999</v>
      </c>
      <c r="AD72" s="27">
        <v>4.9759469999999997</v>
      </c>
      <c r="AE72" s="27">
        <v>21.355260000000001</v>
      </c>
      <c r="AF72" s="27">
        <v>21.44753</v>
      </c>
      <c r="AG72" s="27">
        <v>36.885980000000004</v>
      </c>
      <c r="AH72" s="97">
        <v>41.955750000000002</v>
      </c>
      <c r="AI72" s="1"/>
      <c r="AJ72" s="71" t="s">
        <v>171</v>
      </c>
      <c r="AK72" s="9">
        <v>52.97</v>
      </c>
      <c r="AL72" s="11">
        <v>13.21</v>
      </c>
      <c r="AM72" s="1"/>
      <c r="AN72" s="71" t="s">
        <v>171</v>
      </c>
      <c r="AO72" s="9">
        <v>54.55</v>
      </c>
      <c r="AP72" s="11">
        <v>17.260000000000002</v>
      </c>
      <c r="AR72" s="71" t="s">
        <v>171</v>
      </c>
      <c r="AS72" s="9">
        <f>AVERAGE(AK72,AO72)</f>
        <v>53.76</v>
      </c>
      <c r="AT72" s="11">
        <f>AVERAGE(AL72,AP72)</f>
        <v>15.234999999999999</v>
      </c>
    </row>
    <row r="73" spans="1:46" s="63" customFormat="1">
      <c r="A73" s="96">
        <v>0.10161100000000001</v>
      </c>
      <c r="B73" s="27">
        <v>20.356079999999999</v>
      </c>
      <c r="C73" s="27">
        <v>9.3626919999999991</v>
      </c>
      <c r="D73" s="27">
        <v>22.4378475</v>
      </c>
      <c r="E73" s="27">
        <v>17.891190000000002</v>
      </c>
      <c r="F73" s="27">
        <v>24.450890000000001</v>
      </c>
      <c r="G73" s="27">
        <v>39.143590000000003</v>
      </c>
      <c r="H73" s="1"/>
      <c r="I73" s="1"/>
      <c r="J73" s="27">
        <v>0.10161100000000001</v>
      </c>
      <c r="K73" s="27">
        <v>7.8138449999999997</v>
      </c>
      <c r="L73" s="27">
        <v>13.28148</v>
      </c>
      <c r="M73" s="27">
        <v>8.3387379999999993</v>
      </c>
      <c r="N73" s="27">
        <v>1.90676406</v>
      </c>
      <c r="O73" s="27">
        <v>3.9075984259999998</v>
      </c>
      <c r="P73" s="27">
        <v>6.7673355199999996</v>
      </c>
      <c r="Q73" s="1"/>
      <c r="R73" s="1"/>
      <c r="S73" s="27">
        <v>0.10161100000000001</v>
      </c>
      <c r="T73" s="27">
        <v>9.1272260000000003</v>
      </c>
      <c r="U73" s="27">
        <v>4.3845210000000003</v>
      </c>
      <c r="V73" s="27">
        <v>4.3845210000000003</v>
      </c>
      <c r="W73" s="27">
        <v>1.9737960000000001</v>
      </c>
      <c r="X73" s="27">
        <v>8.7404030000000006</v>
      </c>
      <c r="Y73" s="27">
        <v>-0.25670999999999999</v>
      </c>
      <c r="Z73" s="1"/>
      <c r="AA73" s="1"/>
      <c r="AB73" s="27">
        <v>0.10161100000000001</v>
      </c>
      <c r="AC73" s="27">
        <v>10.275969999999999</v>
      </c>
      <c r="AD73" s="27">
        <v>6.1001250000000002</v>
      </c>
      <c r="AE73" s="27">
        <v>18.786490000000001</v>
      </c>
      <c r="AF73" s="27">
        <v>24.934170000000002</v>
      </c>
      <c r="AG73" s="27">
        <v>16.73959</v>
      </c>
      <c r="AH73" s="97">
        <v>16.24194</v>
      </c>
      <c r="AI73" s="1"/>
      <c r="AJ73" s="71" t="s">
        <v>6</v>
      </c>
      <c r="AK73" s="9">
        <v>93.03</v>
      </c>
      <c r="AL73" s="11">
        <v>12.44</v>
      </c>
      <c r="AM73" s="1"/>
      <c r="AN73" s="71" t="s">
        <v>6</v>
      </c>
      <c r="AO73" s="9">
        <v>70.8</v>
      </c>
      <c r="AP73" s="11">
        <v>16.05</v>
      </c>
      <c r="AR73" s="71" t="s">
        <v>6</v>
      </c>
      <c r="AS73" s="9">
        <f t="shared" ref="AS73:AS81" si="1">AVERAGE(AK73,AO73)</f>
        <v>81.915000000000006</v>
      </c>
      <c r="AT73" s="11">
        <f t="shared" ref="AT73:AT81" si="2">AVERAGE(AL73,AP73)</f>
        <v>14.244999999999999</v>
      </c>
    </row>
    <row r="74" spans="1:46" s="63" customFormat="1">
      <c r="A74" s="107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08"/>
      <c r="AI74" s="1"/>
      <c r="AJ74" s="71" t="s">
        <v>172</v>
      </c>
      <c r="AK74" s="17">
        <v>22.62</v>
      </c>
      <c r="AL74" s="109">
        <v>10.199999999999999</v>
      </c>
      <c r="AM74" s="1"/>
      <c r="AN74" s="71" t="s">
        <v>172</v>
      </c>
      <c r="AO74" s="17">
        <v>29.03</v>
      </c>
      <c r="AP74" s="109">
        <v>8.65</v>
      </c>
      <c r="AR74" s="71" t="s">
        <v>172</v>
      </c>
      <c r="AS74" s="17">
        <f t="shared" si="1"/>
        <v>25.824999999999999</v>
      </c>
      <c r="AT74" s="109">
        <f t="shared" si="2"/>
        <v>9.4250000000000007</v>
      </c>
    </row>
    <row r="75" spans="1:46" s="63" customFormat="1">
      <c r="A75" s="104" t="s">
        <v>78</v>
      </c>
      <c r="B75" s="243" t="s">
        <v>52</v>
      </c>
      <c r="C75" s="243"/>
      <c r="D75" s="243"/>
      <c r="E75" s="243"/>
      <c r="F75" s="243"/>
      <c r="G75" s="243"/>
      <c r="H75" s="1"/>
      <c r="I75" s="1"/>
      <c r="J75" s="243" t="s">
        <v>171</v>
      </c>
      <c r="K75" s="243"/>
      <c r="L75" s="243"/>
      <c r="M75" s="243"/>
      <c r="N75" s="243"/>
      <c r="O75" s="243"/>
      <c r="P75" s="243"/>
      <c r="Q75" s="1"/>
      <c r="R75" s="1"/>
      <c r="S75" s="243" t="s">
        <v>6</v>
      </c>
      <c r="T75" s="243"/>
      <c r="U75" s="243"/>
      <c r="V75" s="243"/>
      <c r="W75" s="243"/>
      <c r="X75" s="243"/>
      <c r="Y75" s="243"/>
      <c r="Z75" s="1"/>
      <c r="AA75" s="1"/>
      <c r="AB75" s="243" t="s">
        <v>172</v>
      </c>
      <c r="AC75" s="243"/>
      <c r="AD75" s="243"/>
      <c r="AE75" s="243"/>
      <c r="AF75" s="243"/>
      <c r="AG75" s="243"/>
      <c r="AH75" s="243"/>
      <c r="AI75" s="1"/>
      <c r="AJ75" s="105"/>
      <c r="AK75" s="110"/>
      <c r="AL75" s="111"/>
      <c r="AM75" s="1"/>
      <c r="AN75" s="105"/>
      <c r="AO75" s="110"/>
      <c r="AP75" s="111"/>
      <c r="AR75" s="105"/>
      <c r="AS75" s="110"/>
      <c r="AT75" s="111"/>
    </row>
    <row r="76" spans="1:46" s="63" customFormat="1">
      <c r="A76" s="95" t="s">
        <v>75</v>
      </c>
      <c r="B76" s="193" t="s">
        <v>147</v>
      </c>
      <c r="C76" s="193"/>
      <c r="D76" s="193"/>
      <c r="E76" s="193" t="s">
        <v>146</v>
      </c>
      <c r="F76" s="193"/>
      <c r="G76" s="193"/>
      <c r="H76" s="1"/>
      <c r="I76" s="58"/>
      <c r="J76" s="58" t="s">
        <v>75</v>
      </c>
      <c r="K76" s="193" t="s">
        <v>147</v>
      </c>
      <c r="L76" s="193"/>
      <c r="M76" s="193"/>
      <c r="N76" s="193" t="s">
        <v>146</v>
      </c>
      <c r="O76" s="193"/>
      <c r="P76" s="193"/>
      <c r="Q76" s="1"/>
      <c r="R76" s="58"/>
      <c r="S76" s="58" t="s">
        <v>75</v>
      </c>
      <c r="T76" s="193" t="s">
        <v>147</v>
      </c>
      <c r="U76" s="193"/>
      <c r="V76" s="193"/>
      <c r="W76" s="193" t="s">
        <v>146</v>
      </c>
      <c r="X76" s="193"/>
      <c r="Y76" s="193"/>
      <c r="Z76" s="1"/>
      <c r="AA76" s="58"/>
      <c r="AB76" s="58" t="s">
        <v>75</v>
      </c>
      <c r="AC76" s="193" t="s">
        <v>147</v>
      </c>
      <c r="AD76" s="193"/>
      <c r="AE76" s="193"/>
      <c r="AF76" s="193" t="s">
        <v>146</v>
      </c>
      <c r="AG76" s="193"/>
      <c r="AH76" s="221"/>
      <c r="AI76" s="1"/>
      <c r="AJ76" s="105"/>
      <c r="AK76" s="243" t="s">
        <v>78</v>
      </c>
      <c r="AL76" s="243"/>
      <c r="AM76" s="1"/>
      <c r="AN76" s="105"/>
      <c r="AO76" s="243" t="s">
        <v>78</v>
      </c>
      <c r="AP76" s="243"/>
      <c r="AR76" s="105"/>
      <c r="AS76" s="243" t="s">
        <v>78</v>
      </c>
      <c r="AT76" s="243"/>
    </row>
    <row r="77" spans="1:46" s="63" customFormat="1">
      <c r="A77" s="96">
        <v>2000</v>
      </c>
      <c r="B77" s="27">
        <v>96.87303</v>
      </c>
      <c r="C77" s="27">
        <v>94.930615000000003</v>
      </c>
      <c r="D77" s="27">
        <v>96.225560000000002</v>
      </c>
      <c r="E77" s="27">
        <v>96.784639999999996</v>
      </c>
      <c r="F77" s="27">
        <v>97.114369999999994</v>
      </c>
      <c r="G77" s="27">
        <v>96.534840000000003</v>
      </c>
      <c r="H77" s="1"/>
      <c r="I77" s="27"/>
      <c r="J77" s="27">
        <v>2000</v>
      </c>
      <c r="K77" s="27">
        <v>97.184719999999999</v>
      </c>
      <c r="L77" s="27">
        <v>97.12782</v>
      </c>
      <c r="M77" s="27">
        <v>97.013959999999997</v>
      </c>
      <c r="N77" s="27">
        <v>98.388000000000005</v>
      </c>
      <c r="O77" s="27">
        <v>98.715530000000001</v>
      </c>
      <c r="P77" s="27">
        <v>98.776529999999994</v>
      </c>
      <c r="Q77" s="1"/>
      <c r="R77" s="27"/>
      <c r="S77" s="27">
        <v>2000</v>
      </c>
      <c r="T77" s="27">
        <v>95.702650000000006</v>
      </c>
      <c r="U77" s="27">
        <v>98.294749999999993</v>
      </c>
      <c r="V77" s="27">
        <v>98.664969999999997</v>
      </c>
      <c r="W77" s="27">
        <v>98.922370000000001</v>
      </c>
      <c r="X77" s="27">
        <v>96.392589999999998</v>
      </c>
      <c r="Y77" s="27">
        <v>97.040130000000005</v>
      </c>
      <c r="Z77" s="1"/>
      <c r="AA77" s="1"/>
      <c r="AB77" s="27">
        <v>2000</v>
      </c>
      <c r="AC77" s="27">
        <v>97.45711</v>
      </c>
      <c r="AD77" s="27">
        <v>98.197280000000006</v>
      </c>
      <c r="AE77" s="27">
        <v>96.901970000000006</v>
      </c>
      <c r="AF77" s="27">
        <v>97.355860000000007</v>
      </c>
      <c r="AG77" s="27">
        <v>98.417460000000005</v>
      </c>
      <c r="AH77" s="97">
        <v>80.288629999999998</v>
      </c>
      <c r="AI77" s="1"/>
      <c r="AJ77" s="71" t="s">
        <v>85</v>
      </c>
      <c r="AK77" s="105" t="s">
        <v>147</v>
      </c>
      <c r="AL77" s="105" t="s">
        <v>146</v>
      </c>
      <c r="AM77" s="1"/>
      <c r="AN77" s="71" t="s">
        <v>85</v>
      </c>
      <c r="AO77" s="105" t="s">
        <v>147</v>
      </c>
      <c r="AP77" s="105" t="s">
        <v>146</v>
      </c>
      <c r="AR77" s="71" t="s">
        <v>85</v>
      </c>
      <c r="AS77" s="105" t="s">
        <v>147</v>
      </c>
      <c r="AT77" s="105" t="s">
        <v>146</v>
      </c>
    </row>
    <row r="78" spans="1:46" s="63" customFormat="1">
      <c r="A78" s="96">
        <v>666.66669999999999</v>
      </c>
      <c r="B78" s="27">
        <v>96.225560000000002</v>
      </c>
      <c r="C78" s="27">
        <v>95.254350000000002</v>
      </c>
      <c r="D78" s="27">
        <v>95.901820000000001</v>
      </c>
      <c r="E78" s="27">
        <v>97.430109999999999</v>
      </c>
      <c r="F78" s="27">
        <v>96.444919999999996</v>
      </c>
      <c r="G78" s="27">
        <v>96.069220000000001</v>
      </c>
      <c r="H78" s="1"/>
      <c r="I78" s="27"/>
      <c r="J78" s="27">
        <v>666.66669999999999</v>
      </c>
      <c r="K78" s="27">
        <v>96.814750000000004</v>
      </c>
      <c r="L78" s="27">
        <v>95.533770000000004</v>
      </c>
      <c r="M78" s="27">
        <v>97.042400000000001</v>
      </c>
      <c r="N78" s="27">
        <v>97.855000000000004</v>
      </c>
      <c r="O78" s="27">
        <v>97.905019999999993</v>
      </c>
      <c r="P78" s="27">
        <v>97.385490000000004</v>
      </c>
      <c r="Q78" s="1"/>
      <c r="R78" s="27"/>
      <c r="S78" s="27">
        <v>666.66669999999999</v>
      </c>
      <c r="T78" s="27">
        <v>97.369190000000003</v>
      </c>
      <c r="U78" s="27">
        <v>99.776169999999993</v>
      </c>
      <c r="V78" s="27">
        <v>98.109629999999996</v>
      </c>
      <c r="W78" s="27">
        <v>97.84957</v>
      </c>
      <c r="X78" s="27">
        <v>95.998739999999998</v>
      </c>
      <c r="Y78" s="27">
        <v>95.394689999999997</v>
      </c>
      <c r="Z78" s="1"/>
      <c r="AA78" s="1"/>
      <c r="AB78" s="27">
        <v>666.66669999999999</v>
      </c>
      <c r="AC78" s="27">
        <v>95.421090000000007</v>
      </c>
      <c r="AD78" s="27">
        <v>94.68092</v>
      </c>
      <c r="AE78" s="27">
        <v>98.382320000000007</v>
      </c>
      <c r="AF78" s="27">
        <v>96.371700000000004</v>
      </c>
      <c r="AG78" s="27">
        <v>68.316789999999997</v>
      </c>
      <c r="AH78" s="97">
        <v>96.453360000000004</v>
      </c>
      <c r="AI78" s="1"/>
      <c r="AJ78" s="71" t="s">
        <v>52</v>
      </c>
      <c r="AK78" s="9">
        <v>4.7649999999999997</v>
      </c>
      <c r="AL78" s="11">
        <v>5.0419999999999998</v>
      </c>
      <c r="AM78" s="1"/>
      <c r="AN78" s="71" t="s">
        <v>52</v>
      </c>
      <c r="AO78" s="9">
        <v>6.74</v>
      </c>
      <c r="AP78" s="11">
        <v>5.9509999999999996</v>
      </c>
      <c r="AR78" s="71" t="s">
        <v>52</v>
      </c>
      <c r="AS78" s="9">
        <f t="shared" si="1"/>
        <v>5.7525000000000004</v>
      </c>
      <c r="AT78" s="11">
        <f t="shared" si="2"/>
        <v>5.4965000000000002</v>
      </c>
    </row>
    <row r="79" spans="1:46" s="63" customFormat="1">
      <c r="A79" s="96">
        <v>222.22219999999999</v>
      </c>
      <c r="B79" s="27">
        <v>97.196759999999998</v>
      </c>
      <c r="C79" s="27">
        <v>99.140106000000003</v>
      </c>
      <c r="D79" s="27">
        <v>98.168899999999994</v>
      </c>
      <c r="E79" s="27">
        <v>95.983289999999997</v>
      </c>
      <c r="F79" s="27">
        <v>94.638400000000004</v>
      </c>
      <c r="G79" s="27">
        <v>96.043239999999997</v>
      </c>
      <c r="H79" s="1"/>
      <c r="I79" s="27"/>
      <c r="J79" s="27">
        <v>222.22219999999999</v>
      </c>
      <c r="K79" s="27">
        <v>95.220619999999997</v>
      </c>
      <c r="L79" s="27">
        <v>95.419910000000002</v>
      </c>
      <c r="M79" s="27">
        <v>95.021330000000006</v>
      </c>
      <c r="N79" s="27">
        <v>96.462000000000003</v>
      </c>
      <c r="O79" s="27">
        <v>95.086479999999995</v>
      </c>
      <c r="P79" s="27">
        <v>96.509079999999997</v>
      </c>
      <c r="Q79" s="1"/>
      <c r="R79" s="27"/>
      <c r="S79" s="27">
        <v>222.22219999999999</v>
      </c>
      <c r="T79" s="27">
        <v>94.406869999999998</v>
      </c>
      <c r="U79" s="27">
        <v>96.813850000000002</v>
      </c>
      <c r="V79" s="27">
        <v>95.887770000000003</v>
      </c>
      <c r="W79" s="27">
        <v>96.506150000000005</v>
      </c>
      <c r="X79" s="27">
        <v>95.008089999999996</v>
      </c>
      <c r="Y79" s="27">
        <v>96.660790000000006</v>
      </c>
      <c r="Z79" s="1"/>
      <c r="AA79" s="1"/>
      <c r="AB79" s="27">
        <v>222.22219999999999</v>
      </c>
      <c r="AC79" s="27">
        <v>90.238280000000003</v>
      </c>
      <c r="AD79" s="27">
        <v>94.125789999999995</v>
      </c>
      <c r="AE79" s="27">
        <v>92.459860000000006</v>
      </c>
      <c r="AF79" s="27">
        <v>95.726860000000002</v>
      </c>
      <c r="AG79" s="27">
        <v>88.116860000000003</v>
      </c>
      <c r="AH79" s="97">
        <v>91.045410000000004</v>
      </c>
      <c r="AI79" s="1"/>
      <c r="AJ79" s="71" t="s">
        <v>171</v>
      </c>
      <c r="AK79" s="9">
        <v>8.9160000000000004</v>
      </c>
      <c r="AL79" s="11">
        <v>7.609</v>
      </c>
      <c r="AM79" s="1"/>
      <c r="AN79" s="71" t="s">
        <v>171</v>
      </c>
      <c r="AO79" s="9">
        <v>8.2919999999999998</v>
      </c>
      <c r="AP79" s="11">
        <v>8.641</v>
      </c>
      <c r="AR79" s="71" t="s">
        <v>171</v>
      </c>
      <c r="AS79" s="9">
        <f t="shared" si="1"/>
        <v>8.6039999999999992</v>
      </c>
      <c r="AT79" s="11">
        <f t="shared" si="2"/>
        <v>8.125</v>
      </c>
    </row>
    <row r="80" spans="1:46" s="63" customFormat="1">
      <c r="A80" s="96">
        <v>74.074070000000006</v>
      </c>
      <c r="B80" s="27">
        <v>89.749920000000003</v>
      </c>
      <c r="C80" s="27">
        <v>89.749916999999996</v>
      </c>
      <c r="D80" s="27">
        <v>96.549289999999999</v>
      </c>
      <c r="E80" s="27">
        <v>88.011830000000003</v>
      </c>
      <c r="F80" s="27">
        <v>86.818809999999999</v>
      </c>
      <c r="G80" s="27">
        <v>91.215199999999996</v>
      </c>
      <c r="H80" s="1"/>
      <c r="I80" s="27"/>
      <c r="J80" s="27">
        <v>74.074070000000006</v>
      </c>
      <c r="K80" s="27">
        <v>89.752260000000007</v>
      </c>
      <c r="L80" s="27">
        <v>87.330010000000001</v>
      </c>
      <c r="M80" s="27">
        <v>89.72381</v>
      </c>
      <c r="N80" s="27">
        <v>88.972999999999999</v>
      </c>
      <c r="O80" s="27">
        <v>91.076719999999995</v>
      </c>
      <c r="P80" s="27">
        <v>86.505359999999996</v>
      </c>
      <c r="Q80" s="1"/>
      <c r="R80" s="27"/>
      <c r="S80" s="27">
        <v>74.074070000000006</v>
      </c>
      <c r="T80" s="27">
        <v>85.33323</v>
      </c>
      <c r="U80" s="27">
        <v>92.37012</v>
      </c>
      <c r="V80" s="27">
        <v>91.814250000000001</v>
      </c>
      <c r="W80" s="27">
        <v>96.085729999999998</v>
      </c>
      <c r="X80" s="27">
        <v>85.998019999999997</v>
      </c>
      <c r="Y80" s="27">
        <v>81.813130000000001</v>
      </c>
      <c r="Z80" s="1"/>
      <c r="AA80" s="1"/>
      <c r="AB80" s="27">
        <v>74.074070000000006</v>
      </c>
      <c r="AC80" s="27">
        <v>85.054929999999999</v>
      </c>
      <c r="AD80" s="27">
        <v>85.795640000000006</v>
      </c>
      <c r="AE80" s="27">
        <v>90.608890000000002</v>
      </c>
      <c r="AF80" s="27">
        <v>85.071449999999999</v>
      </c>
      <c r="AG80" s="27">
        <v>77.74727</v>
      </c>
      <c r="AH80" s="97">
        <v>80.160510000000002</v>
      </c>
      <c r="AI80" s="1"/>
      <c r="AJ80" s="71" t="s">
        <v>6</v>
      </c>
      <c r="AK80" s="9">
        <v>5.4989999999999997</v>
      </c>
      <c r="AL80" s="11">
        <v>4.5739999999999998</v>
      </c>
      <c r="AM80" s="1"/>
      <c r="AN80" s="71" t="s">
        <v>6</v>
      </c>
      <c r="AO80" s="9">
        <v>5.6710000000000003</v>
      </c>
      <c r="AP80" s="11">
        <v>2.625</v>
      </c>
      <c r="AR80" s="71" t="s">
        <v>6</v>
      </c>
      <c r="AS80" s="9">
        <f t="shared" si="1"/>
        <v>5.585</v>
      </c>
      <c r="AT80" s="11">
        <f t="shared" si="2"/>
        <v>3.5994999999999999</v>
      </c>
    </row>
    <row r="81" spans="1:46" s="63" customFormat="1">
      <c r="A81" s="96">
        <v>24.69136</v>
      </c>
      <c r="B81" s="27">
        <v>81.653739999999999</v>
      </c>
      <c r="C81" s="27">
        <v>84.568291000000002</v>
      </c>
      <c r="D81" s="27">
        <v>86.187899999999999</v>
      </c>
      <c r="E81" s="27">
        <v>81.986770000000007</v>
      </c>
      <c r="F81" s="27">
        <v>78.869330000000005</v>
      </c>
      <c r="G81" s="27">
        <v>85.945520000000002</v>
      </c>
      <c r="H81" s="1"/>
      <c r="I81" s="27"/>
      <c r="J81" s="27">
        <v>24.69136</v>
      </c>
      <c r="K81" s="27">
        <v>67.806830000000005</v>
      </c>
      <c r="L81" s="27">
        <v>72.692819999999998</v>
      </c>
      <c r="M81" s="27">
        <v>73.00703</v>
      </c>
      <c r="N81" s="27">
        <v>77.823999999999998</v>
      </c>
      <c r="O81" s="27">
        <v>79.157520000000005</v>
      </c>
      <c r="P81" s="27">
        <v>72.751999999999995</v>
      </c>
      <c r="Q81" s="1"/>
      <c r="R81" s="27"/>
      <c r="S81" s="27">
        <v>24.69136</v>
      </c>
      <c r="T81" s="27">
        <v>67.365740000000002</v>
      </c>
      <c r="U81" s="27">
        <v>86.444429999999997</v>
      </c>
      <c r="V81" s="27">
        <v>74.034530000000004</v>
      </c>
      <c r="W81" s="27">
        <v>78.481170000000006</v>
      </c>
      <c r="X81" s="27">
        <v>78.176720000000003</v>
      </c>
      <c r="Y81" s="27">
        <v>82.395439999999994</v>
      </c>
      <c r="Z81" s="1"/>
      <c r="AA81" s="1"/>
      <c r="AB81" s="27">
        <v>24.69136</v>
      </c>
      <c r="AC81" s="27">
        <v>56.16583</v>
      </c>
      <c r="AD81" s="27">
        <v>57.647770000000001</v>
      </c>
      <c r="AE81" s="27">
        <v>76.538139999999999</v>
      </c>
      <c r="AF81" s="27">
        <v>74.791970000000006</v>
      </c>
      <c r="AG81" s="27">
        <v>75.600139999999996</v>
      </c>
      <c r="AH81" s="97">
        <v>68.808170000000004</v>
      </c>
      <c r="AI81" s="1"/>
      <c r="AJ81" s="71" t="s">
        <v>172</v>
      </c>
      <c r="AK81" s="17">
        <v>9.8759999999999994</v>
      </c>
      <c r="AL81" s="109">
        <v>5.1470000000000002</v>
      </c>
      <c r="AM81" s="1"/>
      <c r="AN81" s="71" t="s">
        <v>172</v>
      </c>
      <c r="AO81" s="17">
        <v>8.6869999999999994</v>
      </c>
      <c r="AP81" s="109">
        <v>5.7160000000000002</v>
      </c>
      <c r="AR81" s="71" t="s">
        <v>172</v>
      </c>
      <c r="AS81" s="17">
        <f t="shared" si="1"/>
        <v>9.2814999999999994</v>
      </c>
      <c r="AT81" s="109">
        <f t="shared" si="2"/>
        <v>5.4314999999999998</v>
      </c>
    </row>
    <row r="82" spans="1:46" s="63" customFormat="1">
      <c r="A82" s="96">
        <v>8.2304530000000007</v>
      </c>
      <c r="B82" s="27">
        <v>63.839930000000003</v>
      </c>
      <c r="C82" s="27">
        <v>81.330005999999997</v>
      </c>
      <c r="D82" s="27">
        <v>71.937960000000004</v>
      </c>
      <c r="E82" s="27">
        <v>71.325509999999994</v>
      </c>
      <c r="F82" s="27">
        <v>64.347239999999999</v>
      </c>
      <c r="G82" s="27">
        <v>64.161389999999997</v>
      </c>
      <c r="H82" s="1"/>
      <c r="I82" s="27"/>
      <c r="J82" s="27">
        <v>8.2304530000000007</v>
      </c>
      <c r="K82" s="27">
        <v>50.521039999999999</v>
      </c>
      <c r="L82" s="27">
        <v>51.008130000000001</v>
      </c>
      <c r="M82" s="27">
        <v>56.30688</v>
      </c>
      <c r="N82" s="27">
        <v>58.267000000000003</v>
      </c>
      <c r="O82" s="27">
        <v>55.672490000000003</v>
      </c>
      <c r="P82" s="27">
        <v>55.672490000000003</v>
      </c>
      <c r="Q82" s="1"/>
      <c r="R82" s="27"/>
      <c r="S82" s="27">
        <v>8.2304530000000007</v>
      </c>
      <c r="T82" s="27">
        <v>54.023919999999997</v>
      </c>
      <c r="U82" s="27">
        <v>78.665499999999994</v>
      </c>
      <c r="V82" s="27">
        <v>59.027769999999997</v>
      </c>
      <c r="W82" s="27">
        <v>61.415419999999997</v>
      </c>
      <c r="X82" s="27">
        <v>65.783940000000001</v>
      </c>
      <c r="Y82" s="27">
        <v>58.192189999999997</v>
      </c>
      <c r="Z82" s="1"/>
      <c r="AA82" s="1"/>
      <c r="AB82" s="27">
        <v>8.2304530000000007</v>
      </c>
      <c r="AC82" s="27">
        <v>47.458170000000003</v>
      </c>
      <c r="AD82" s="27">
        <v>45.790649999999999</v>
      </c>
      <c r="AE82" s="27">
        <v>53.201419999999999</v>
      </c>
      <c r="AF82" s="27">
        <v>60.89405</v>
      </c>
      <c r="AG82" s="27">
        <v>57.305169999999997</v>
      </c>
      <c r="AH82" s="97">
        <v>44.813800000000001</v>
      </c>
      <c r="AI82" s="1"/>
      <c r="AJ82" s="1"/>
      <c r="AK82" s="1"/>
      <c r="AL82" s="1"/>
      <c r="AM82" s="1"/>
      <c r="AN82" s="1"/>
    </row>
    <row r="83" spans="1:46" s="63" customFormat="1">
      <c r="A83" s="96">
        <v>2.743484</v>
      </c>
      <c r="B83" s="27">
        <v>41.9298</v>
      </c>
      <c r="C83" s="27">
        <v>52.944232</v>
      </c>
      <c r="D83" s="27">
        <v>43.429740000000002</v>
      </c>
      <c r="E83" s="27">
        <v>43.540300000000002</v>
      </c>
      <c r="F83" s="27">
        <v>52.29712</v>
      </c>
      <c r="G83" s="27">
        <v>39.477629999999998</v>
      </c>
      <c r="H83" s="1"/>
      <c r="I83" s="27"/>
      <c r="J83" s="27">
        <v>2.743484</v>
      </c>
      <c r="K83" s="27">
        <v>33.737670000000001</v>
      </c>
      <c r="L83" s="27">
        <v>30.20365</v>
      </c>
      <c r="M83" s="27">
        <v>33.795050000000003</v>
      </c>
      <c r="N83" s="27">
        <v>39.99</v>
      </c>
      <c r="O83" s="27">
        <v>36.559699999999999</v>
      </c>
      <c r="P83" s="27">
        <v>45.041260000000001</v>
      </c>
      <c r="Q83" s="1"/>
      <c r="R83" s="27"/>
      <c r="S83" s="27">
        <v>2.743484</v>
      </c>
      <c r="T83" s="27">
        <v>44.757210000000001</v>
      </c>
      <c r="U83" s="27">
        <v>54.765430000000002</v>
      </c>
      <c r="V83" s="27">
        <v>49.205190000000002</v>
      </c>
      <c r="W83" s="27">
        <v>40.205860000000001</v>
      </c>
      <c r="X83" s="27">
        <v>44.767679999999999</v>
      </c>
      <c r="Y83" s="27">
        <v>47.070340000000002</v>
      </c>
      <c r="Z83" s="1"/>
      <c r="AA83" s="1"/>
      <c r="AB83" s="27">
        <v>2.743484</v>
      </c>
      <c r="AC83" s="27">
        <v>25.774640000000002</v>
      </c>
      <c r="AD83" s="27">
        <v>38.378300000000003</v>
      </c>
      <c r="AE83" s="27">
        <v>46.716929999999998</v>
      </c>
      <c r="AF83" s="27">
        <v>40.986980000000003</v>
      </c>
      <c r="AG83" s="27">
        <v>36.39</v>
      </c>
      <c r="AH83" s="97">
        <v>30.323129999999999</v>
      </c>
      <c r="AI83" s="1"/>
      <c r="AJ83" s="1"/>
      <c r="AK83" s="1"/>
      <c r="AL83" s="1"/>
      <c r="AM83" s="1"/>
      <c r="AN83" s="1"/>
    </row>
    <row r="84" spans="1:46" s="63" customFormat="1">
      <c r="A84" s="96">
        <v>0.91449499999999995</v>
      </c>
      <c r="B84" s="27">
        <v>38.569070000000004</v>
      </c>
      <c r="C84" s="27">
        <v>48.732886000000001</v>
      </c>
      <c r="D84" s="27">
        <v>39.865870000000001</v>
      </c>
      <c r="E84" s="27">
        <v>38.20467</v>
      </c>
      <c r="F84" s="27">
        <v>40.211030000000001</v>
      </c>
      <c r="G84" s="27">
        <v>38.338560000000001</v>
      </c>
      <c r="H84" s="1"/>
      <c r="I84" s="27"/>
      <c r="J84" s="27">
        <v>0.91449499999999995</v>
      </c>
      <c r="K84" s="27">
        <v>21.202400000000001</v>
      </c>
      <c r="L84" s="27">
        <v>24.165790000000001</v>
      </c>
      <c r="M84" s="27">
        <v>24.338339999999999</v>
      </c>
      <c r="N84" s="27">
        <v>26.553000000000001</v>
      </c>
      <c r="O84" s="27">
        <v>25.232949999999999</v>
      </c>
      <c r="P84" s="27">
        <v>26.21313</v>
      </c>
      <c r="Q84" s="1"/>
      <c r="R84" s="27"/>
      <c r="S84" s="27">
        <v>0.91449499999999995</v>
      </c>
      <c r="T84" s="27">
        <v>18.242239999999999</v>
      </c>
      <c r="U84" s="27">
        <v>50.317450000000001</v>
      </c>
      <c r="V84" s="27">
        <v>40.308169999999997</v>
      </c>
      <c r="W84" s="27">
        <v>26.13139</v>
      </c>
      <c r="X84" s="27">
        <v>27.013310000000001</v>
      </c>
      <c r="Y84" s="27">
        <v>23.90606</v>
      </c>
      <c r="Z84" s="1"/>
      <c r="AA84" s="1"/>
      <c r="AB84" s="27">
        <v>0.91449499999999995</v>
      </c>
      <c r="AC84" s="27">
        <v>15.57761</v>
      </c>
      <c r="AD84" s="27">
        <v>23.73545</v>
      </c>
      <c r="AE84" s="27">
        <v>34.671590000000002</v>
      </c>
      <c r="AF84" s="27">
        <v>19.193239999999999</v>
      </c>
      <c r="AG84" s="27">
        <v>22.886310000000002</v>
      </c>
      <c r="AH84" s="97">
        <v>12.43647</v>
      </c>
      <c r="AI84" s="1"/>
      <c r="AJ84" s="1"/>
      <c r="AK84" s="1"/>
      <c r="AL84" s="1"/>
      <c r="AM84" s="1"/>
      <c r="AN84" s="1"/>
    </row>
    <row r="85" spans="1:46" s="63" customFormat="1">
      <c r="A85" s="96">
        <v>0.30483199999999999</v>
      </c>
      <c r="B85" s="27">
        <v>32.737189999999998</v>
      </c>
      <c r="C85" s="27">
        <v>33.384661000000001</v>
      </c>
      <c r="D85" s="27">
        <v>42.457610000000003</v>
      </c>
      <c r="E85" s="27">
        <v>24.12022</v>
      </c>
      <c r="F85" s="27">
        <v>26.730080000000001</v>
      </c>
      <c r="G85" s="27">
        <v>18.534800000000001</v>
      </c>
      <c r="H85" s="1"/>
      <c r="I85" s="27"/>
      <c r="J85" s="27">
        <v>0.30483199999999999</v>
      </c>
      <c r="K85" s="27">
        <v>16.366299999999999</v>
      </c>
      <c r="L85" s="27">
        <v>11.93023</v>
      </c>
      <c r="M85" s="27">
        <v>22.61233</v>
      </c>
      <c r="N85" s="27">
        <v>30.719000000000001</v>
      </c>
      <c r="O85" s="27">
        <v>5.9666119999999996</v>
      </c>
      <c r="P85" s="27">
        <v>14.05484</v>
      </c>
      <c r="Q85" s="1"/>
      <c r="R85" s="27"/>
      <c r="S85" s="27">
        <v>0.30483199999999999</v>
      </c>
      <c r="T85" s="27">
        <v>13.64256</v>
      </c>
      <c r="U85" s="27">
        <v>32.335639999999998</v>
      </c>
      <c r="V85" s="27">
        <v>25.104089999999999</v>
      </c>
      <c r="W85" s="27">
        <v>14.62537</v>
      </c>
      <c r="X85" s="27">
        <v>6.1879330000000001</v>
      </c>
      <c r="Y85" s="27">
        <v>14.62537</v>
      </c>
      <c r="Z85" s="1"/>
      <c r="AA85" s="1"/>
      <c r="AB85" s="27">
        <v>0.30483199999999999</v>
      </c>
      <c r="AC85" s="27">
        <v>-5.5645699999999998</v>
      </c>
      <c r="AD85" s="27">
        <v>17.802910000000001</v>
      </c>
      <c r="AE85" s="27">
        <v>16.319379999999999</v>
      </c>
      <c r="AF85" s="27">
        <v>9.6036610000000007</v>
      </c>
      <c r="AG85" s="27">
        <v>19.99578</v>
      </c>
      <c r="AH85" s="97">
        <v>5.4248500000000002</v>
      </c>
      <c r="AI85" s="1"/>
      <c r="AJ85" s="1"/>
      <c r="AK85" s="1"/>
      <c r="AL85" s="1"/>
      <c r="AM85" s="1"/>
      <c r="AN85" s="1"/>
    </row>
    <row r="86" spans="1:46" s="63" customFormat="1">
      <c r="A86" s="98">
        <v>0.10161100000000001</v>
      </c>
      <c r="B86" s="99">
        <v>12.642390000000001</v>
      </c>
      <c r="C86" s="99">
        <v>11.670253000000001</v>
      </c>
      <c r="D86" s="99">
        <v>30.791989999999998</v>
      </c>
      <c r="E86" s="99">
        <v>19.494009999999999</v>
      </c>
      <c r="F86" s="99">
        <v>18.097159999999999</v>
      </c>
      <c r="G86" s="99">
        <v>17.657520000000002</v>
      </c>
      <c r="H86" s="112"/>
      <c r="I86" s="99"/>
      <c r="J86" s="99">
        <v>0.10161100000000001</v>
      </c>
      <c r="K86" s="99">
        <v>-2.7522000000000002</v>
      </c>
      <c r="L86" s="99">
        <v>8.4715229999999995</v>
      </c>
      <c r="M86" s="99">
        <v>11.094530000000001</v>
      </c>
      <c r="N86" s="99">
        <v>13.32</v>
      </c>
      <c r="O86" s="99">
        <v>11.359</v>
      </c>
      <c r="P86" s="99">
        <v>17.97626</v>
      </c>
      <c r="Q86" s="112"/>
      <c r="R86" s="99"/>
      <c r="S86" s="99">
        <v>0.10161100000000001</v>
      </c>
      <c r="T86" s="99">
        <v>3.2163789999999999</v>
      </c>
      <c r="U86" s="99">
        <v>26.21688</v>
      </c>
      <c r="V86" s="99">
        <v>20.653459999999999</v>
      </c>
      <c r="W86" s="99">
        <v>11.40455</v>
      </c>
      <c r="X86" s="99">
        <v>9.5633890000000008</v>
      </c>
      <c r="Y86" s="99">
        <v>3.6557369999999998</v>
      </c>
      <c r="Z86" s="112"/>
      <c r="AA86" s="112"/>
      <c r="AB86" s="99">
        <v>0.10161100000000001</v>
      </c>
      <c r="AC86" s="99">
        <v>6.862527</v>
      </c>
      <c r="AD86" s="99">
        <v>2.9675929999999999</v>
      </c>
      <c r="AE86" s="99">
        <v>5.3789949999999997</v>
      </c>
      <c r="AF86" s="99">
        <v>-6.9355900000000004</v>
      </c>
      <c r="AG86" s="99">
        <v>3.7662789999999999</v>
      </c>
      <c r="AH86" s="100">
        <v>2.966561</v>
      </c>
      <c r="AI86" s="1"/>
      <c r="AJ86" s="1"/>
      <c r="AK86" s="1"/>
      <c r="AL86" s="1"/>
      <c r="AM86" s="1"/>
      <c r="AN86" s="1"/>
    </row>
    <row r="87" spans="1:4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6">
      <c r="A88" s="87" t="s">
        <v>12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3"/>
      <c r="AI88" s="1"/>
      <c r="AJ88" s="1"/>
      <c r="AK88" s="1"/>
      <c r="AL88" s="1"/>
      <c r="AM88" s="1"/>
      <c r="AN88" s="1"/>
    </row>
    <row r="89" spans="1:46" s="63" customFormat="1">
      <c r="A89" s="104" t="s">
        <v>144</v>
      </c>
      <c r="B89" s="243" t="s">
        <v>52</v>
      </c>
      <c r="C89" s="243"/>
      <c r="D89" s="243"/>
      <c r="E89" s="243"/>
      <c r="F89" s="243"/>
      <c r="G89" s="243"/>
      <c r="H89" s="1"/>
      <c r="I89" s="1"/>
      <c r="J89" s="243" t="s">
        <v>171</v>
      </c>
      <c r="K89" s="243"/>
      <c r="L89" s="243"/>
      <c r="M89" s="243"/>
      <c r="N89" s="243"/>
      <c r="O89" s="243"/>
      <c r="P89" s="243"/>
      <c r="Q89" s="1"/>
      <c r="R89" s="1"/>
      <c r="S89" s="243" t="s">
        <v>6</v>
      </c>
      <c r="T89" s="243"/>
      <c r="U89" s="243"/>
      <c r="V89" s="243"/>
      <c r="W89" s="243"/>
      <c r="X89" s="243"/>
      <c r="Y89" s="243"/>
      <c r="Z89" s="1"/>
      <c r="AA89" s="1"/>
      <c r="AB89" s="243" t="s">
        <v>172</v>
      </c>
      <c r="AC89" s="243"/>
      <c r="AD89" s="243"/>
      <c r="AE89" s="243"/>
      <c r="AF89" s="243"/>
      <c r="AG89" s="243"/>
      <c r="AH89" s="243"/>
      <c r="AI89" s="1"/>
      <c r="AJ89" s="1"/>
      <c r="AK89" s="53"/>
      <c r="AL89" s="53"/>
      <c r="AM89" s="1"/>
      <c r="AN89" s="1"/>
    </row>
    <row r="90" spans="1:46" s="63" customFormat="1">
      <c r="A90" s="95" t="s">
        <v>75</v>
      </c>
      <c r="B90" s="193" t="s">
        <v>147</v>
      </c>
      <c r="C90" s="193"/>
      <c r="D90" s="193"/>
      <c r="E90" s="193" t="s">
        <v>146</v>
      </c>
      <c r="F90" s="193"/>
      <c r="G90" s="193"/>
      <c r="H90" s="1"/>
      <c r="I90" s="58"/>
      <c r="J90" s="58" t="s">
        <v>75</v>
      </c>
      <c r="K90" s="193" t="s">
        <v>147</v>
      </c>
      <c r="L90" s="193"/>
      <c r="M90" s="193"/>
      <c r="N90" s="193" t="s">
        <v>146</v>
      </c>
      <c r="O90" s="193"/>
      <c r="P90" s="193"/>
      <c r="Q90" s="1"/>
      <c r="R90" s="58"/>
      <c r="S90" s="58" t="s">
        <v>75</v>
      </c>
      <c r="T90" s="193" t="s">
        <v>147</v>
      </c>
      <c r="U90" s="193"/>
      <c r="V90" s="193"/>
      <c r="W90" s="193" t="s">
        <v>146</v>
      </c>
      <c r="X90" s="193"/>
      <c r="Y90" s="193"/>
      <c r="Z90" s="1"/>
      <c r="AA90" s="58"/>
      <c r="AB90" s="58" t="s">
        <v>75</v>
      </c>
      <c r="AC90" s="193" t="s">
        <v>147</v>
      </c>
      <c r="AD90" s="193"/>
      <c r="AE90" s="193"/>
      <c r="AF90" s="193" t="s">
        <v>146</v>
      </c>
      <c r="AG90" s="193"/>
      <c r="AH90" s="221"/>
      <c r="AI90" s="1"/>
      <c r="AJ90" s="1"/>
      <c r="AK90" s="1"/>
      <c r="AL90" s="1"/>
      <c r="AM90" s="1"/>
      <c r="AN90" s="1"/>
    </row>
    <row r="91" spans="1:46">
      <c r="A91" s="96">
        <v>2000</v>
      </c>
      <c r="B91" s="1">
        <v>95.334214579091807</v>
      </c>
      <c r="C91" s="1">
        <v>95.482552892455402</v>
      </c>
      <c r="D91" s="1">
        <v>98.167802226916507</v>
      </c>
      <c r="E91" s="1">
        <v>95.151848926441502</v>
      </c>
      <c r="F91" s="1">
        <v>94.721266096131103</v>
      </c>
      <c r="G91" s="1">
        <v>94.845759751882298</v>
      </c>
      <c r="H91" s="1"/>
      <c r="I91" s="1"/>
      <c r="J91" s="27">
        <v>2000</v>
      </c>
      <c r="K91" s="1">
        <v>91.194570594555401</v>
      </c>
      <c r="L91" s="1">
        <v>89.019318028925397</v>
      </c>
      <c r="M91" s="1">
        <v>88.508239460101393</v>
      </c>
      <c r="N91" s="1">
        <v>92.579245382864997</v>
      </c>
      <c r="O91" s="1">
        <v>95.667566280361996</v>
      </c>
      <c r="P91" s="1">
        <v>94.938350002645905</v>
      </c>
      <c r="Q91" s="1"/>
      <c r="R91" s="1"/>
      <c r="S91" s="27">
        <v>2000</v>
      </c>
      <c r="T91" s="1">
        <v>95.893681226827198</v>
      </c>
      <c r="U91" s="1">
        <v>95.521850888793793</v>
      </c>
      <c r="V91" s="1">
        <v>92.398774195059701</v>
      </c>
      <c r="W91" s="1">
        <v>93.432414213719397</v>
      </c>
      <c r="X91" s="1">
        <v>94.915417455782702</v>
      </c>
      <c r="Y91" s="1">
        <v>93.795140114916705</v>
      </c>
      <c r="Z91" s="1"/>
      <c r="AA91" s="1"/>
      <c r="AB91" s="27">
        <v>2000</v>
      </c>
      <c r="AC91" s="1">
        <v>94.348097262857195</v>
      </c>
      <c r="AD91" s="1">
        <v>93.454972765874203</v>
      </c>
      <c r="AE91" s="1">
        <v>95.292052952079899</v>
      </c>
      <c r="AF91" s="1">
        <v>97.078420396886997</v>
      </c>
      <c r="AG91" s="1">
        <v>97.9090301728029</v>
      </c>
      <c r="AH91" s="108">
        <v>94.527003846084398</v>
      </c>
      <c r="AI91" s="1"/>
      <c r="AK91" s="110"/>
      <c r="AL91" s="110"/>
      <c r="AM91" s="1"/>
      <c r="AN91" s="1"/>
    </row>
    <row r="92" spans="1:46">
      <c r="A92" s="96">
        <v>666.66669999999999</v>
      </c>
      <c r="B92" s="1">
        <v>93.620744128452202</v>
      </c>
      <c r="C92" s="1">
        <v>93.8185285462704</v>
      </c>
      <c r="D92" s="1">
        <v>93.8185285462704</v>
      </c>
      <c r="E92" s="1">
        <v>93.373140385075303</v>
      </c>
      <c r="F92" s="1">
        <v>92.766179465068603</v>
      </c>
      <c r="G92" s="1">
        <v>92.589656446785895</v>
      </c>
      <c r="H92" s="1"/>
      <c r="I92" s="1"/>
      <c r="J92" s="27">
        <v>666.66669999999999</v>
      </c>
      <c r="K92" s="1">
        <v>83.372397077434002</v>
      </c>
      <c r="L92" s="1">
        <v>84.1450597363295</v>
      </c>
      <c r="M92" s="1">
        <v>85.781544623340395</v>
      </c>
      <c r="N92" s="1">
        <v>88.026670900142904</v>
      </c>
      <c r="O92" s="1">
        <v>94.803407948351605</v>
      </c>
      <c r="P92" s="1">
        <v>91.470603799544904</v>
      </c>
      <c r="Q92" s="1"/>
      <c r="R92" s="1"/>
      <c r="S92" s="27">
        <v>666.66669999999999</v>
      </c>
      <c r="T92" s="1">
        <v>89.944608779540403</v>
      </c>
      <c r="U92" s="1">
        <v>85.630439828864297</v>
      </c>
      <c r="V92" s="1">
        <v>86.8206802408166</v>
      </c>
      <c r="W92" s="1">
        <v>95.162584662793293</v>
      </c>
      <c r="X92" s="1">
        <v>93.737360767823304</v>
      </c>
      <c r="Y92" s="1">
        <v>82.926202933906893</v>
      </c>
      <c r="Z92" s="1"/>
      <c r="AA92" s="1"/>
      <c r="AB92" s="27">
        <v>666.66669999999999</v>
      </c>
      <c r="AC92" s="1">
        <v>89.830255952580899</v>
      </c>
      <c r="AD92" s="1">
        <v>90.391955233494798</v>
      </c>
      <c r="AE92" s="1">
        <v>89.217433346138506</v>
      </c>
      <c r="AF92" s="1">
        <v>95.902926996623407</v>
      </c>
      <c r="AG92" s="1">
        <v>96.3615680468031</v>
      </c>
      <c r="AH92" s="108">
        <v>95.485816435239499</v>
      </c>
      <c r="AI92" s="1"/>
      <c r="AK92" s="27"/>
      <c r="AL92" s="27"/>
      <c r="AM92" s="1"/>
      <c r="AN92" s="1"/>
    </row>
    <row r="93" spans="1:46">
      <c r="A93" s="96">
        <v>222.22219999999999</v>
      </c>
      <c r="B93" s="1">
        <v>87.868844562132793</v>
      </c>
      <c r="C93" s="1">
        <v>88.642555669371305</v>
      </c>
      <c r="D93" s="1">
        <v>91.970887720506198</v>
      </c>
      <c r="E93" s="1">
        <v>90.203697128240094</v>
      </c>
      <c r="F93" s="1">
        <v>90.4567424401626</v>
      </c>
      <c r="G93" s="1">
        <v>92.090377466503398</v>
      </c>
      <c r="H93" s="1"/>
      <c r="I93" s="1"/>
      <c r="J93" s="27">
        <v>222.22219999999999</v>
      </c>
      <c r="K93" s="1">
        <v>73.787577729375997</v>
      </c>
      <c r="L93" s="1">
        <v>76.965585556424401</v>
      </c>
      <c r="M93" s="1">
        <v>73.215271129033198</v>
      </c>
      <c r="N93" s="1">
        <v>90.5963909615283</v>
      </c>
      <c r="O93" s="1">
        <v>90.916547600148206</v>
      </c>
      <c r="P93" s="1">
        <v>86.733343917023902</v>
      </c>
      <c r="Q93" s="1"/>
      <c r="R93" s="1"/>
      <c r="S93" s="27">
        <v>222.22219999999999</v>
      </c>
      <c r="T93" s="1">
        <v>65.756683256347799</v>
      </c>
      <c r="U93" s="1">
        <v>74.095819783674003</v>
      </c>
      <c r="V93" s="1">
        <v>76.180071512386903</v>
      </c>
      <c r="W93" s="1">
        <v>82.682245690623702</v>
      </c>
      <c r="X93" s="1">
        <v>80.078965107694302</v>
      </c>
      <c r="Y93" s="1">
        <v>79.928096812505999</v>
      </c>
      <c r="Z93" s="1"/>
      <c r="AA93" s="1"/>
      <c r="AB93" s="27">
        <v>222.22219999999999</v>
      </c>
      <c r="AC93" s="1">
        <v>78.764173942002799</v>
      </c>
      <c r="AD93" s="1">
        <v>85.3000720108557</v>
      </c>
      <c r="AE93" s="1">
        <v>83.406683133246403</v>
      </c>
      <c r="AF93" s="1">
        <v>91.576533468156995</v>
      </c>
      <c r="AG93" s="1">
        <v>92.3493616944439</v>
      </c>
      <c r="AH93" s="108">
        <v>92.177822718983094</v>
      </c>
      <c r="AI93" s="1"/>
      <c r="AK93" s="27"/>
      <c r="AL93" s="27"/>
      <c r="AM93" s="1"/>
      <c r="AN93" s="1"/>
    </row>
    <row r="94" spans="1:46">
      <c r="A94" s="96">
        <v>74.074070000000006</v>
      </c>
      <c r="B94">
        <v>88.124434167966598</v>
      </c>
      <c r="C94">
        <v>86.559160351308194</v>
      </c>
      <c r="D94">
        <v>91.390710649614107</v>
      </c>
      <c r="E94">
        <v>87.737882158566407</v>
      </c>
      <c r="F94">
        <v>86.592366611352304</v>
      </c>
      <c r="G94">
        <v>89.623982782483907</v>
      </c>
      <c r="J94" s="27">
        <v>74.074070000000006</v>
      </c>
      <c r="K94">
        <v>51.549517683006499</v>
      </c>
      <c r="L94">
        <v>59.250990080668899</v>
      </c>
      <c r="M94">
        <v>54.633148544274299</v>
      </c>
      <c r="N94">
        <v>79.874583267185301</v>
      </c>
      <c r="O94">
        <v>79.657088426734404</v>
      </c>
      <c r="P94">
        <v>79.619516325342602</v>
      </c>
      <c r="S94" s="27">
        <v>74.074070000000006</v>
      </c>
      <c r="T94">
        <v>53.389597694907501</v>
      </c>
      <c r="U94">
        <v>63.373433936226597</v>
      </c>
      <c r="V94">
        <v>52.495373416899298</v>
      </c>
      <c r="W94">
        <v>72.538760312008506</v>
      </c>
      <c r="X94">
        <v>70.603152184380306</v>
      </c>
      <c r="Y94">
        <v>74.1726318492601</v>
      </c>
      <c r="AB94" s="27">
        <v>74.074070000000006</v>
      </c>
      <c r="AC94">
        <v>72.026192670667896</v>
      </c>
      <c r="AD94">
        <v>68.382268093640405</v>
      </c>
      <c r="AE94">
        <v>70.982692563308902</v>
      </c>
      <c r="AF94">
        <v>83.895198714360504</v>
      </c>
      <c r="AG94">
        <v>84.639136165833094</v>
      </c>
      <c r="AH94" s="113">
        <v>84.725808490276407</v>
      </c>
      <c r="AK94" s="27"/>
      <c r="AL94" s="27"/>
    </row>
    <row r="95" spans="1:46">
      <c r="A95" s="96">
        <v>24.69136</v>
      </c>
      <c r="B95">
        <v>75.046718776343496</v>
      </c>
      <c r="C95">
        <v>76.137366661991294</v>
      </c>
      <c r="D95">
        <v>79.439913065531002</v>
      </c>
      <c r="E95">
        <v>78.309552967775105</v>
      </c>
      <c r="F95">
        <v>79.272313567489604</v>
      </c>
      <c r="G95">
        <v>77.853462706251506</v>
      </c>
      <c r="J95" s="27">
        <v>24.69136</v>
      </c>
      <c r="K95">
        <v>36.6146553388309</v>
      </c>
      <c r="L95">
        <v>51.232457876479302</v>
      </c>
      <c r="M95">
        <v>32.932588717272701</v>
      </c>
      <c r="N95">
        <v>64.515531565857003</v>
      </c>
      <c r="O95">
        <v>70.629729586706901</v>
      </c>
      <c r="P95">
        <v>47.982748584431398</v>
      </c>
      <c r="S95" s="27">
        <v>24.69136</v>
      </c>
      <c r="T95">
        <v>36.2406802834088</v>
      </c>
      <c r="U95">
        <v>43.325900985797603</v>
      </c>
      <c r="V95">
        <v>31.540412591120798</v>
      </c>
      <c r="W95">
        <v>54.001219786216403</v>
      </c>
      <c r="X95">
        <v>46.669662632812198</v>
      </c>
      <c r="Y95">
        <v>57.875646005200103</v>
      </c>
      <c r="AB95" s="27">
        <v>24.69136</v>
      </c>
      <c r="AC95">
        <v>61.302929074419502</v>
      </c>
      <c r="AD95">
        <v>52.360802139584202</v>
      </c>
      <c r="AE95">
        <v>50.176886706328602</v>
      </c>
      <c r="AF95">
        <v>72.887813510048602</v>
      </c>
      <c r="AG95">
        <v>70.565717484335806</v>
      </c>
      <c r="AH95" s="113">
        <v>75.379642837796396</v>
      </c>
      <c r="AK95" s="27"/>
      <c r="AL95" s="27"/>
    </row>
    <row r="96" spans="1:46">
      <c r="A96" s="96">
        <v>8.2304530000000007</v>
      </c>
      <c r="B96">
        <v>49.134268133898402</v>
      </c>
      <c r="C96">
        <v>57.982712281760598</v>
      </c>
      <c r="D96">
        <v>58.715336368105703</v>
      </c>
      <c r="E96">
        <v>58.073174443293098</v>
      </c>
      <c r="F96">
        <v>65.431053848216294</v>
      </c>
      <c r="G96">
        <v>55.687215124747297</v>
      </c>
      <c r="J96" s="27">
        <v>8.2304530000000007</v>
      </c>
      <c r="K96">
        <v>24.637652899459301</v>
      </c>
      <c r="L96">
        <v>27.8308702375219</v>
      </c>
      <c r="M96">
        <v>24.223973699245601</v>
      </c>
      <c r="N96">
        <v>32.8163200508017</v>
      </c>
      <c r="O96">
        <v>50.691644176324303</v>
      </c>
      <c r="P96">
        <v>35.776049108324102</v>
      </c>
      <c r="S96" s="27">
        <v>8.2304530000000007</v>
      </c>
      <c r="T96">
        <v>26.092650920312</v>
      </c>
      <c r="U96">
        <v>27.137651761509002</v>
      </c>
      <c r="V96">
        <v>21.0165066262892</v>
      </c>
      <c r="W96">
        <v>44.618495810997302</v>
      </c>
      <c r="X96">
        <v>44.425897987352698</v>
      </c>
      <c r="Y96">
        <v>44.827143453279</v>
      </c>
      <c r="AB96" s="27">
        <v>8.2304530000000007</v>
      </c>
      <c r="AC96">
        <v>34.738737896552699</v>
      </c>
      <c r="AD96">
        <v>47.452305588948001</v>
      </c>
      <c r="AE96">
        <v>40.635521362977101</v>
      </c>
      <c r="AF96">
        <v>61.795561654719101</v>
      </c>
      <c r="AG96">
        <v>52.740109423809599</v>
      </c>
      <c r="AH96" s="113">
        <v>44.284140770300297</v>
      </c>
      <c r="AJ96" s="1"/>
      <c r="AK96" s="1"/>
      <c r="AL96" s="1"/>
    </row>
    <row r="97" spans="1:40">
      <c r="A97" s="96">
        <v>2.743484</v>
      </c>
      <c r="B97">
        <v>34.524573580478801</v>
      </c>
      <c r="C97">
        <v>45.011539785695803</v>
      </c>
      <c r="D97">
        <v>43.670119393215501</v>
      </c>
      <c r="E97">
        <v>44.258581583924503</v>
      </c>
      <c r="F97">
        <v>47.967738896658702</v>
      </c>
      <c r="G97">
        <v>35.260690294857199</v>
      </c>
      <c r="J97" s="27">
        <v>2.743484</v>
      </c>
      <c r="K97">
        <v>15.7380415219651</v>
      </c>
      <c r="L97">
        <v>26.011286237147502</v>
      </c>
      <c r="M97">
        <v>28.036881114272202</v>
      </c>
      <c r="N97">
        <v>8.0213790548764408</v>
      </c>
      <c r="O97">
        <v>22.046356564534101</v>
      </c>
      <c r="P97">
        <v>26.526432767105899</v>
      </c>
      <c r="S97" s="27">
        <v>2.743484</v>
      </c>
      <c r="T97">
        <v>7.4234031633263697</v>
      </c>
      <c r="U97">
        <v>16.237656233695201</v>
      </c>
      <c r="V97">
        <v>20.195328056153599</v>
      </c>
      <c r="W97">
        <v>30.260328058292899</v>
      </c>
      <c r="X97">
        <v>26.495040606041201</v>
      </c>
      <c r="Y97">
        <v>38.920810194844798</v>
      </c>
      <c r="AB97" s="27">
        <v>2.743484</v>
      </c>
      <c r="AC97">
        <v>28.9395269485656</v>
      </c>
      <c r="AD97">
        <v>35.047887949355797</v>
      </c>
      <c r="AE97">
        <v>31.646507035299901</v>
      </c>
      <c r="AF97">
        <v>31.584839565916099</v>
      </c>
      <c r="AG97">
        <v>34.278904317365203</v>
      </c>
      <c r="AH97" s="113">
        <v>34.051389465701199</v>
      </c>
      <c r="AJ97" s="1"/>
      <c r="AK97" s="247"/>
      <c r="AL97" s="247"/>
    </row>
    <row r="98" spans="1:40">
      <c r="A98" s="96">
        <v>0.91449499999999995</v>
      </c>
      <c r="B98">
        <v>31.938641493074002</v>
      </c>
      <c r="C98">
        <v>39.297043576327603</v>
      </c>
      <c r="D98">
        <v>38.748177648944001</v>
      </c>
      <c r="E98">
        <v>29.767172225885702</v>
      </c>
      <c r="F98">
        <v>31.4968949050355</v>
      </c>
      <c r="G98">
        <v>21.4205900042754</v>
      </c>
      <c r="J98" s="27">
        <v>0.91449499999999995</v>
      </c>
      <c r="K98">
        <v>8.5495001335707101</v>
      </c>
      <c r="L98">
        <v>20.8247454844327</v>
      </c>
      <c r="M98">
        <v>20.274960660014798</v>
      </c>
      <c r="N98">
        <v>19.192993596867201</v>
      </c>
      <c r="O98">
        <v>18.7553579933323</v>
      </c>
      <c r="P98">
        <v>12.833783140181</v>
      </c>
      <c r="S98" s="27">
        <v>0.91449499999999995</v>
      </c>
      <c r="T98">
        <v>4.5092414533327396</v>
      </c>
      <c r="U98">
        <v>20.493899725066999</v>
      </c>
      <c r="V98">
        <v>27.510759867027001</v>
      </c>
      <c r="W98">
        <v>23.130998619715601</v>
      </c>
      <c r="X98">
        <v>28.889673546688901</v>
      </c>
      <c r="Y98">
        <v>32.500882740024998</v>
      </c>
      <c r="AB98" s="27">
        <v>0.91449499999999995</v>
      </c>
      <c r="AC98">
        <v>17.660625837144501</v>
      </c>
      <c r="AD98">
        <v>31.466114729506501</v>
      </c>
      <c r="AE98">
        <v>23.031642417169301</v>
      </c>
      <c r="AF98">
        <v>30.728950362037502</v>
      </c>
      <c r="AG98">
        <v>26.572290135606099</v>
      </c>
      <c r="AH98" s="113">
        <v>21.362922301872501</v>
      </c>
      <c r="AK98" s="110"/>
      <c r="AL98" s="110"/>
    </row>
    <row r="99" spans="1:40">
      <c r="A99" s="96">
        <v>0.30483199999999999</v>
      </c>
      <c r="B99">
        <v>24.525976206364501</v>
      </c>
      <c r="C99">
        <v>28.5561879178656</v>
      </c>
      <c r="D99">
        <v>21.947553126226399</v>
      </c>
      <c r="E99">
        <v>31.140805368154801</v>
      </c>
      <c r="F99">
        <v>14.0361886680338</v>
      </c>
      <c r="G99">
        <v>16.633888651366998</v>
      </c>
      <c r="J99" s="27">
        <v>0.30483199999999999</v>
      </c>
      <c r="K99">
        <v>2.28464404869383</v>
      </c>
      <c r="L99">
        <v>14.912925549443599</v>
      </c>
      <c r="M99">
        <v>17.731852420944701</v>
      </c>
      <c r="N99">
        <v>16.9047997036567</v>
      </c>
      <c r="O99">
        <v>4.8748478594485896</v>
      </c>
      <c r="P99">
        <v>9.5020373604275807</v>
      </c>
      <c r="S99" s="27">
        <v>0.30483199999999999</v>
      </c>
      <c r="T99">
        <v>9.6646073314039</v>
      </c>
      <c r="U99">
        <v>19.2991871269185</v>
      </c>
      <c r="V99">
        <v>8.4692558495130594</v>
      </c>
      <c r="W99">
        <v>21.2948993676371</v>
      </c>
      <c r="X99">
        <v>26.896286071967399</v>
      </c>
      <c r="Y99">
        <v>-7.1389593297595697</v>
      </c>
      <c r="AB99" s="27">
        <v>0.30483199999999999</v>
      </c>
      <c r="AC99">
        <v>22.850957978087099</v>
      </c>
      <c r="AD99">
        <v>27.9595658315063</v>
      </c>
      <c r="AE99">
        <v>23.702672581392001</v>
      </c>
      <c r="AF99">
        <v>20.691211787436099</v>
      </c>
      <c r="AG99">
        <v>24.593272060815099</v>
      </c>
      <c r="AH99" s="113">
        <v>13.674364854372399</v>
      </c>
      <c r="AK99" s="27"/>
      <c r="AL99" s="27"/>
    </row>
    <row r="100" spans="1:40">
      <c r="A100" s="96">
        <v>0.10161100000000001</v>
      </c>
      <c r="B100">
        <v>6.5973004410479197</v>
      </c>
      <c r="C100">
        <v>15.5151674862819</v>
      </c>
      <c r="D100">
        <v>9.7865033386746507</v>
      </c>
      <c r="E100">
        <v>7.8704918151580801</v>
      </c>
      <c r="F100">
        <v>12.5077717954478</v>
      </c>
      <c r="G100">
        <v>0.88594844890180402</v>
      </c>
      <c r="J100" s="27">
        <v>0.10161100000000001</v>
      </c>
      <c r="K100">
        <v>11.7833736645367</v>
      </c>
      <c r="L100">
        <v>9.5473805517152606</v>
      </c>
      <c r="M100">
        <v>12.3337434701474</v>
      </c>
      <c r="N100">
        <v>19.310472561782301</v>
      </c>
      <c r="O100">
        <v>20.050801714557899</v>
      </c>
      <c r="P100">
        <v>9.3173519606286703</v>
      </c>
      <c r="S100" s="27">
        <v>0.10161100000000001</v>
      </c>
      <c r="T100">
        <v>11.233492841307701</v>
      </c>
      <c r="U100">
        <v>20.867220791832501</v>
      </c>
      <c r="V100">
        <v>11.0092446477514</v>
      </c>
      <c r="W100">
        <v>-0.92767951722145503</v>
      </c>
      <c r="X100">
        <v>-0.71903187493981302</v>
      </c>
      <c r="Y100">
        <v>5.2836002953166599</v>
      </c>
      <c r="AB100" s="27">
        <v>0.10161100000000001</v>
      </c>
      <c r="AC100">
        <v>17.557356719576902</v>
      </c>
      <c r="AD100">
        <v>17.660625837144501</v>
      </c>
      <c r="AE100">
        <v>18.900512547855101</v>
      </c>
      <c r="AF100">
        <v>7.9395460537007301</v>
      </c>
      <c r="AG100">
        <v>10.7202831295932</v>
      </c>
      <c r="AH100" s="113">
        <v>0.63018002564056297</v>
      </c>
      <c r="AK100" s="27"/>
      <c r="AL100" s="27"/>
    </row>
    <row r="101" spans="1:40">
      <c r="A101" s="114"/>
      <c r="AH101" s="113"/>
      <c r="AK101" s="27"/>
      <c r="AL101" s="27"/>
    </row>
    <row r="102" spans="1:40" s="63" customFormat="1">
      <c r="A102" s="104" t="s">
        <v>78</v>
      </c>
      <c r="B102" s="243" t="s">
        <v>52</v>
      </c>
      <c r="C102" s="243"/>
      <c r="D102" s="243"/>
      <c r="E102" s="243"/>
      <c r="F102" s="243"/>
      <c r="G102" s="243"/>
      <c r="H102" s="1"/>
      <c r="I102" s="1"/>
      <c r="J102" s="243" t="s">
        <v>171</v>
      </c>
      <c r="K102" s="243"/>
      <c r="L102" s="243"/>
      <c r="M102" s="243"/>
      <c r="N102" s="243"/>
      <c r="O102" s="243"/>
      <c r="P102" s="243"/>
      <c r="Q102" s="1"/>
      <c r="R102" s="1"/>
      <c r="S102" s="243" t="s">
        <v>6</v>
      </c>
      <c r="T102" s="243"/>
      <c r="U102" s="243"/>
      <c r="V102" s="243"/>
      <c r="W102" s="243"/>
      <c r="X102" s="243"/>
      <c r="Y102" s="243"/>
      <c r="Z102" s="1"/>
      <c r="AA102" s="1"/>
      <c r="AB102" s="243" t="s">
        <v>172</v>
      </c>
      <c r="AC102" s="243"/>
      <c r="AD102" s="243"/>
      <c r="AE102" s="243"/>
      <c r="AF102" s="243"/>
      <c r="AG102" s="243"/>
      <c r="AH102" s="243"/>
      <c r="AI102" s="1"/>
      <c r="AJ102"/>
      <c r="AK102" s="27"/>
      <c r="AL102" s="27"/>
      <c r="AM102" s="1"/>
      <c r="AN102" s="1"/>
    </row>
    <row r="103" spans="1:40" s="63" customFormat="1">
      <c r="A103" s="95" t="s">
        <v>75</v>
      </c>
      <c r="B103" s="193" t="s">
        <v>147</v>
      </c>
      <c r="C103" s="193"/>
      <c r="D103" s="193"/>
      <c r="E103" s="193" t="s">
        <v>146</v>
      </c>
      <c r="F103" s="193"/>
      <c r="G103" s="193"/>
      <c r="H103" s="1"/>
      <c r="I103" s="58"/>
      <c r="J103" s="58" t="s">
        <v>75</v>
      </c>
      <c r="K103" s="193" t="s">
        <v>147</v>
      </c>
      <c r="L103" s="193"/>
      <c r="M103" s="193"/>
      <c r="N103" s="193" t="s">
        <v>146</v>
      </c>
      <c r="O103" s="193"/>
      <c r="P103" s="193"/>
      <c r="Q103" s="1"/>
      <c r="R103" s="58"/>
      <c r="S103" s="58" t="s">
        <v>75</v>
      </c>
      <c r="T103" s="193" t="s">
        <v>147</v>
      </c>
      <c r="U103" s="193"/>
      <c r="V103" s="193"/>
      <c r="W103" s="193" t="s">
        <v>146</v>
      </c>
      <c r="X103" s="193"/>
      <c r="Y103" s="193"/>
      <c r="Z103" s="1"/>
      <c r="AA103" s="58"/>
      <c r="AB103" s="58" t="s">
        <v>75</v>
      </c>
      <c r="AC103" s="193" t="s">
        <v>147</v>
      </c>
      <c r="AD103" s="193"/>
      <c r="AE103" s="193"/>
      <c r="AF103" s="193" t="s">
        <v>146</v>
      </c>
      <c r="AG103" s="193"/>
      <c r="AH103" s="221"/>
      <c r="AI103" s="1"/>
      <c r="AJ103" s="1"/>
      <c r="AK103" s="1"/>
      <c r="AL103" s="1"/>
      <c r="AM103" s="1"/>
      <c r="AN103" s="1"/>
    </row>
    <row r="104" spans="1:40">
      <c r="A104" s="96">
        <v>2000</v>
      </c>
      <c r="B104">
        <v>96.952690771353005</v>
      </c>
      <c r="C104">
        <v>96.021019334372795</v>
      </c>
      <c r="D104">
        <v>94.345044190926401</v>
      </c>
      <c r="E104">
        <v>99.107386601281803</v>
      </c>
      <c r="F104">
        <v>99.473548438803107</v>
      </c>
      <c r="G104">
        <v>99.282202581165507</v>
      </c>
      <c r="J104" s="27">
        <v>2000</v>
      </c>
      <c r="K104">
        <v>96.828856964397204</v>
      </c>
      <c r="L104">
        <v>94.433687278784106</v>
      </c>
      <c r="M104">
        <v>93.887778471788494</v>
      </c>
      <c r="N104">
        <v>93.466615314589802</v>
      </c>
      <c r="O104">
        <v>88.414271208991295</v>
      </c>
      <c r="P104">
        <v>83.855607296663294</v>
      </c>
      <c r="S104" s="27">
        <v>2000</v>
      </c>
      <c r="T104">
        <v>95.540150143169896</v>
      </c>
      <c r="U104">
        <v>96.431864682127099</v>
      </c>
      <c r="V104">
        <v>90.188841179791197</v>
      </c>
      <c r="W104">
        <v>96.090602647373203</v>
      </c>
      <c r="X104">
        <v>98.577653539422798</v>
      </c>
      <c r="Y104">
        <v>97.327961851516903</v>
      </c>
      <c r="AB104" s="27">
        <v>2000</v>
      </c>
      <c r="AC104">
        <v>94.221384071290302</v>
      </c>
      <c r="AD104">
        <v>92.780047559251898</v>
      </c>
      <c r="AE104">
        <v>95.546400601770102</v>
      </c>
      <c r="AF104">
        <v>92.512867436806602</v>
      </c>
      <c r="AG104">
        <v>95.530138396431397</v>
      </c>
      <c r="AH104" s="113">
        <v>95.749742651263901</v>
      </c>
    </row>
    <row r="105" spans="1:40">
      <c r="A105" s="96">
        <v>666.66669999999999</v>
      </c>
      <c r="B105">
        <v>95.915428407104699</v>
      </c>
      <c r="C105">
        <v>85.7202873870514</v>
      </c>
      <c r="D105">
        <v>97.483566007809202</v>
      </c>
      <c r="E105">
        <v>99.019978611339994</v>
      </c>
      <c r="F105">
        <v>99.107386601281803</v>
      </c>
      <c r="G105">
        <v>97.883424289403095</v>
      </c>
      <c r="J105" s="27">
        <v>666.66669999999999</v>
      </c>
      <c r="K105">
        <v>89.001041016031607</v>
      </c>
      <c r="L105">
        <v>90.487924214032901</v>
      </c>
      <c r="M105">
        <v>90.344368103268806</v>
      </c>
      <c r="N105">
        <v>77.910437309618004</v>
      </c>
      <c r="O105">
        <v>91.022723294002304</v>
      </c>
      <c r="P105">
        <v>81.576275340499294</v>
      </c>
      <c r="S105" s="27">
        <v>666.66669999999999</v>
      </c>
      <c r="T105">
        <v>93.221334736508695</v>
      </c>
      <c r="U105">
        <v>95.718441964479595</v>
      </c>
      <c r="V105">
        <v>94.469888350494102</v>
      </c>
      <c r="W105">
        <v>95.309545342432003</v>
      </c>
      <c r="X105">
        <v>93.414453670969294</v>
      </c>
      <c r="Y105">
        <v>93.023925018498701</v>
      </c>
      <c r="AB105" s="27">
        <v>666.66669999999999</v>
      </c>
      <c r="AC105">
        <v>91.517968176551605</v>
      </c>
      <c r="AD105">
        <v>90.532053965192006</v>
      </c>
      <c r="AE105">
        <v>89.663900465279895</v>
      </c>
      <c r="AF105">
        <v>92.807960654237704</v>
      </c>
      <c r="AG105">
        <v>91.790003431316507</v>
      </c>
      <c r="AH105" s="113">
        <v>93.135079492165204</v>
      </c>
    </row>
    <row r="106" spans="1:40">
      <c r="A106" s="96">
        <v>222.22219999999999</v>
      </c>
      <c r="B106">
        <v>95.356470477226097</v>
      </c>
      <c r="C106">
        <v>92.846327008361897</v>
      </c>
      <c r="D106">
        <v>96.768243640954907</v>
      </c>
      <c r="E106">
        <v>96.572053987582507</v>
      </c>
      <c r="F106">
        <v>98.757754641514495</v>
      </c>
      <c r="G106">
        <v>94.910801273301502</v>
      </c>
      <c r="J106" s="27">
        <v>222.22219999999999</v>
      </c>
      <c r="K106">
        <v>83.858630022902304</v>
      </c>
      <c r="L106">
        <v>82.911409535706895</v>
      </c>
      <c r="M106">
        <v>79.820737039350405</v>
      </c>
      <c r="N106">
        <v>79.528027730121494</v>
      </c>
      <c r="O106">
        <v>78.796260635131802</v>
      </c>
      <c r="P106">
        <v>77.413255838381005</v>
      </c>
      <c r="S106" s="27">
        <v>222.22219999999999</v>
      </c>
      <c r="T106">
        <v>90.8133734191927</v>
      </c>
      <c r="U106">
        <v>94.113304707874704</v>
      </c>
      <c r="V106">
        <v>91.259358404875698</v>
      </c>
      <c r="W106">
        <v>91.128833347036107</v>
      </c>
      <c r="X106">
        <v>91.227493217133897</v>
      </c>
      <c r="Y106">
        <v>89.813368412398205</v>
      </c>
      <c r="AB106" s="27">
        <v>222.22219999999999</v>
      </c>
      <c r="AC106">
        <v>89.121124436598805</v>
      </c>
      <c r="AD106">
        <v>90.058584626957099</v>
      </c>
      <c r="AE106">
        <v>90.270751060073906</v>
      </c>
      <c r="AF106">
        <v>86.526363948301494</v>
      </c>
      <c r="AG106">
        <v>88.269472721034006</v>
      </c>
      <c r="AH106" s="113">
        <v>90.772046208395295</v>
      </c>
    </row>
    <row r="107" spans="1:40">
      <c r="A107" s="96">
        <v>74.074070000000006</v>
      </c>
      <c r="B107">
        <v>85.000022466154704</v>
      </c>
      <c r="C107">
        <v>82.488531028006307</v>
      </c>
      <c r="D107">
        <v>91.041845459814795</v>
      </c>
      <c r="E107">
        <v>87.651930865038594</v>
      </c>
      <c r="F107">
        <v>89.576158907224794</v>
      </c>
      <c r="G107">
        <v>86.2524012151965</v>
      </c>
      <c r="J107" s="27">
        <v>74.074070000000006</v>
      </c>
      <c r="K107">
        <v>76.360816156568802</v>
      </c>
      <c r="L107">
        <v>74.278888194878206</v>
      </c>
      <c r="M107">
        <v>73.467624401415804</v>
      </c>
      <c r="N107">
        <v>68.628549420538505</v>
      </c>
      <c r="O107">
        <v>61.524456426595698</v>
      </c>
      <c r="P107">
        <v>67.305066349217498</v>
      </c>
      <c r="S107" s="27">
        <v>74.074070000000006</v>
      </c>
      <c r="T107">
        <v>84.5688173224042</v>
      </c>
      <c r="U107">
        <v>85.193349561805704</v>
      </c>
      <c r="V107">
        <v>88.583193058368906</v>
      </c>
      <c r="W107">
        <v>92.847159417906795</v>
      </c>
      <c r="X107">
        <v>90.006577324673202</v>
      </c>
      <c r="Y107">
        <v>88.765107292608704</v>
      </c>
      <c r="AB107" s="27">
        <v>74.074070000000006</v>
      </c>
      <c r="AC107">
        <v>81.3251075239464</v>
      </c>
      <c r="AD107">
        <v>80.098288109580395</v>
      </c>
      <c r="AE107">
        <v>81.404878463059703</v>
      </c>
      <c r="AF107">
        <v>79.046094018071599</v>
      </c>
      <c r="AG107">
        <v>75.196156925540393</v>
      </c>
      <c r="AH107" s="113">
        <v>73.0573029852453</v>
      </c>
    </row>
    <row r="108" spans="1:40">
      <c r="A108" s="96">
        <v>24.69136</v>
      </c>
      <c r="B108">
        <v>62.541730882425597</v>
      </c>
      <c r="C108">
        <v>66.627201121510495</v>
      </c>
      <c r="D108">
        <v>77.386017963937306</v>
      </c>
      <c r="E108">
        <v>77.328020396867302</v>
      </c>
      <c r="F108">
        <v>75.0526576787544</v>
      </c>
      <c r="G108">
        <v>73.389651795620594</v>
      </c>
      <c r="J108" s="27">
        <v>24.69136</v>
      </c>
      <c r="K108">
        <v>59.5455965021861</v>
      </c>
      <c r="L108">
        <v>59.179679367062299</v>
      </c>
      <c r="M108">
        <v>64.105038517593201</v>
      </c>
      <c r="N108">
        <v>51.913448408669197</v>
      </c>
      <c r="O108">
        <v>55.974930849760199</v>
      </c>
      <c r="P108">
        <v>52.967333076572999</v>
      </c>
      <c r="S108" s="27">
        <v>24.69136</v>
      </c>
      <c r="T108">
        <v>66.360062632026597</v>
      </c>
      <c r="U108">
        <v>75.823322511513595</v>
      </c>
      <c r="V108">
        <v>77.3405910195074</v>
      </c>
      <c r="W108">
        <v>75.729671955931906</v>
      </c>
      <c r="X108">
        <v>81.472498561210202</v>
      </c>
      <c r="Y108">
        <v>78.796349584806407</v>
      </c>
      <c r="AB108" s="27">
        <v>24.69136</v>
      </c>
      <c r="AC108">
        <v>74.203807166645404</v>
      </c>
      <c r="AD108">
        <v>74.696460960769699</v>
      </c>
      <c r="AE108">
        <v>69.988838134755298</v>
      </c>
      <c r="AF108">
        <v>70.1361088871097</v>
      </c>
      <c r="AG108">
        <v>64.922795379160505</v>
      </c>
      <c r="AH108" s="113">
        <v>59.400663387853101</v>
      </c>
    </row>
    <row r="109" spans="1:40">
      <c r="A109" s="96">
        <v>8.2304530000000007</v>
      </c>
      <c r="B109">
        <v>44.697762820311198</v>
      </c>
      <c r="C109">
        <v>47.450091437249803</v>
      </c>
      <c r="D109">
        <v>56.726591390070901</v>
      </c>
      <c r="E109">
        <v>54.825346814367002</v>
      </c>
      <c r="F109">
        <v>55.175730132213999</v>
      </c>
      <c r="G109">
        <v>50.619745189429899</v>
      </c>
      <c r="J109" s="27">
        <v>8.2304530000000007</v>
      </c>
      <c r="K109">
        <v>52.590776597959596</v>
      </c>
      <c r="L109">
        <v>53.653653966271101</v>
      </c>
      <c r="M109">
        <v>48.121278367686898</v>
      </c>
      <c r="N109">
        <v>50.089282588144698</v>
      </c>
      <c r="O109">
        <v>47.249746157347403</v>
      </c>
      <c r="P109">
        <v>32.2502713490424</v>
      </c>
      <c r="S109" s="27">
        <v>8.2304530000000007</v>
      </c>
      <c r="T109">
        <v>51.263496409897499</v>
      </c>
      <c r="U109">
        <v>46.974019969705701</v>
      </c>
      <c r="V109">
        <v>66.270661288962998</v>
      </c>
      <c r="W109">
        <v>61.962509249362803</v>
      </c>
      <c r="X109">
        <v>62.936775466579</v>
      </c>
      <c r="Y109">
        <v>68.601496341363202</v>
      </c>
      <c r="AB109" s="27">
        <v>8.2304530000000007</v>
      </c>
      <c r="AC109">
        <v>58.081508914326598</v>
      </c>
      <c r="AD109">
        <v>51.562130339041701</v>
      </c>
      <c r="AE109">
        <v>45.946544371447501</v>
      </c>
      <c r="AF109">
        <v>52.165160699988597</v>
      </c>
      <c r="AG109">
        <v>65.540432345876695</v>
      </c>
      <c r="AH109" s="113">
        <v>43.932288688093301</v>
      </c>
    </row>
    <row r="110" spans="1:40">
      <c r="A110" s="96">
        <v>2.743484</v>
      </c>
      <c r="B110">
        <v>37.460965056142904</v>
      </c>
      <c r="C110">
        <v>44.461643534015998</v>
      </c>
      <c r="D110">
        <v>38.719743706106797</v>
      </c>
      <c r="E110">
        <v>31.421544441578199</v>
      </c>
      <c r="F110">
        <v>25.544671994630299</v>
      </c>
      <c r="G110">
        <v>30.8953433330745</v>
      </c>
      <c r="J110" s="27">
        <v>2.743484</v>
      </c>
      <c r="K110">
        <v>40.8650843222986</v>
      </c>
      <c r="L110">
        <v>24.810222777430798</v>
      </c>
      <c r="M110">
        <v>34.722777430772403</v>
      </c>
      <c r="N110">
        <v>29.9709393928784</v>
      </c>
      <c r="O110">
        <v>30.527642589545199</v>
      </c>
      <c r="P110">
        <v>29.1866531283919</v>
      </c>
      <c r="S110" s="27">
        <v>2.743484</v>
      </c>
      <c r="T110">
        <v>34.278773822265002</v>
      </c>
      <c r="U110">
        <v>44.739497257933103</v>
      </c>
      <c r="V110">
        <v>42.594120456815297</v>
      </c>
      <c r="W110">
        <v>45.3958727287676</v>
      </c>
      <c r="X110">
        <v>42.452519937515397</v>
      </c>
      <c r="Y110">
        <v>48.5858751952643</v>
      </c>
      <c r="AB110" s="27">
        <v>2.743484</v>
      </c>
      <c r="AC110">
        <v>25.374362287454399</v>
      </c>
      <c r="AD110">
        <v>34.659183970590902</v>
      </c>
      <c r="AE110">
        <v>38.752221757144497</v>
      </c>
      <c r="AF110">
        <v>42.875443211712202</v>
      </c>
      <c r="AG110">
        <v>52.503717259521899</v>
      </c>
      <c r="AH110" s="113">
        <v>37.9046094018072</v>
      </c>
    </row>
    <row r="111" spans="1:40">
      <c r="A111" s="96">
        <v>0.91449499999999995</v>
      </c>
      <c r="B111">
        <v>20.301990051986699</v>
      </c>
      <c r="C111">
        <v>31.559330868047301</v>
      </c>
      <c r="D111">
        <v>38.945977884317301</v>
      </c>
      <c r="E111">
        <v>21.157993072478501</v>
      </c>
      <c r="F111">
        <v>27.562318891396199</v>
      </c>
      <c r="G111">
        <v>14.400528956088101</v>
      </c>
      <c r="J111" s="27">
        <v>0.91449499999999995</v>
      </c>
      <c r="K111">
        <v>24.6270039558609</v>
      </c>
      <c r="L111">
        <v>7.7159067249635598</v>
      </c>
      <c r="M111">
        <v>9.6617738913179299</v>
      </c>
      <c r="N111">
        <v>21.1862329750359</v>
      </c>
      <c r="O111">
        <v>7.0585763803788399</v>
      </c>
      <c r="P111">
        <v>15.4091243303806</v>
      </c>
      <c r="S111" s="27">
        <v>0.91449499999999995</v>
      </c>
      <c r="T111">
        <v>29.359656494496701</v>
      </c>
      <c r="U111">
        <v>36.424916920609</v>
      </c>
      <c r="V111">
        <v>47.331369909551398</v>
      </c>
      <c r="W111">
        <v>17.787552413056002</v>
      </c>
      <c r="X111">
        <v>30.050152100633099</v>
      </c>
      <c r="Y111">
        <v>23.920907670804901</v>
      </c>
      <c r="AB111" s="27">
        <v>0.91449499999999995</v>
      </c>
      <c r="AC111">
        <v>30.433144066922701</v>
      </c>
      <c r="AD111">
        <v>27.328750295728799</v>
      </c>
      <c r="AE111">
        <v>16.505229091217899</v>
      </c>
      <c r="AF111">
        <v>22.548324373784698</v>
      </c>
      <c r="AG111">
        <v>24.398947729612299</v>
      </c>
      <c r="AH111" s="113">
        <v>20.297380761752301</v>
      </c>
    </row>
    <row r="112" spans="1:40">
      <c r="A112" s="96">
        <v>0.30483199999999999</v>
      </c>
      <c r="B112">
        <v>10.601778420809101</v>
      </c>
      <c r="C112">
        <v>14.4163068337549</v>
      </c>
      <c r="D112">
        <v>13.9081224135839</v>
      </c>
      <c r="E112">
        <v>9.8357781690405393</v>
      </c>
      <c r="F112">
        <v>3.9528948574548499</v>
      </c>
      <c r="G112">
        <v>-11.2448250212259</v>
      </c>
      <c r="J112" s="27">
        <v>0.30483199999999999</v>
      </c>
      <c r="K112">
        <v>14.579637726421</v>
      </c>
      <c r="L112">
        <v>13.148657089319199</v>
      </c>
      <c r="M112">
        <v>3.01478242764939</v>
      </c>
      <c r="N112">
        <v>8.9632715941318608</v>
      </c>
      <c r="O112">
        <v>-15.4861524456427</v>
      </c>
      <c r="P112">
        <v>7.7413255838381003</v>
      </c>
      <c r="S112" s="27">
        <v>0.30483199999999999</v>
      </c>
      <c r="T112">
        <v>4.2991828717244003</v>
      </c>
      <c r="U112">
        <v>20.681340407108198</v>
      </c>
      <c r="V112">
        <v>16.766838742966002</v>
      </c>
      <c r="W112">
        <v>0.28364712653128299</v>
      </c>
      <c r="X112">
        <v>18.178081065526602</v>
      </c>
      <c r="Y112">
        <v>4.3369234563841204</v>
      </c>
      <c r="AB112" s="27">
        <v>0.30483199999999999</v>
      </c>
      <c r="AC112">
        <v>24.0353934254187</v>
      </c>
      <c r="AD112">
        <v>13.903801707037401</v>
      </c>
      <c r="AE112">
        <v>18.060231608703798</v>
      </c>
      <c r="AF112">
        <v>10.529566510351099</v>
      </c>
      <c r="AG112">
        <v>9.1341644744366892</v>
      </c>
      <c r="AH112" s="113">
        <v>12.4899919935949</v>
      </c>
    </row>
    <row r="113" spans="1:34">
      <c r="A113" s="98">
        <v>0.10161100000000001</v>
      </c>
      <c r="B113" s="115">
        <v>-9.2508885364198807</v>
      </c>
      <c r="C113" s="115">
        <v>5.4918515256765703</v>
      </c>
      <c r="D113" s="115">
        <v>-2.8637607444384998</v>
      </c>
      <c r="E113" s="115">
        <v>-9.1357628914262499</v>
      </c>
      <c r="F113" s="115">
        <v>-4.2156197326668003</v>
      </c>
      <c r="G113" s="115">
        <v>-9.9266924966877603</v>
      </c>
      <c r="H113" s="115"/>
      <c r="I113" s="115"/>
      <c r="J113" s="99">
        <v>0.10161100000000001</v>
      </c>
      <c r="K113" s="115">
        <v>11.4971892567146</v>
      </c>
      <c r="L113" s="115">
        <v>9.8086612533833009</v>
      </c>
      <c r="M113" s="115">
        <v>-2.46096189881324</v>
      </c>
      <c r="N113" s="115">
        <v>-14.2642064353489</v>
      </c>
      <c r="O113" s="115">
        <v>8.9632715941318608</v>
      </c>
      <c r="P113" s="115">
        <v>5.29743356325059</v>
      </c>
      <c r="Q113" s="115"/>
      <c r="R113" s="115"/>
      <c r="S113" s="99">
        <v>0.10161100000000001</v>
      </c>
      <c r="T113" s="115">
        <v>4.0304679777160803</v>
      </c>
      <c r="U113" s="115">
        <v>5.0685452868889103</v>
      </c>
      <c r="V113" s="115">
        <v>5.2169515163745004</v>
      </c>
      <c r="W113" s="115">
        <v>-4.2711502096522196</v>
      </c>
      <c r="X113" s="115">
        <v>-10.5278303050234</v>
      </c>
      <c r="Y113" s="115">
        <v>-8.5792978705911391</v>
      </c>
      <c r="Z113" s="115"/>
      <c r="AA113" s="115"/>
      <c r="AB113" s="99">
        <v>0.10161100000000001</v>
      </c>
      <c r="AC113" s="115">
        <v>7.1941709585251798</v>
      </c>
      <c r="AD113" s="115">
        <v>14.172004950044601</v>
      </c>
      <c r="AE113" s="115">
        <v>14.172004950044601</v>
      </c>
      <c r="AF113" s="115">
        <v>6.46002516298753</v>
      </c>
      <c r="AG113" s="115">
        <v>4.8953448473064203</v>
      </c>
      <c r="AH113" s="116">
        <v>7.1897518014411501</v>
      </c>
    </row>
  </sheetData>
  <mergeCells count="132">
    <mergeCell ref="AK97:AL97"/>
    <mergeCell ref="B102:G102"/>
    <mergeCell ref="J102:P102"/>
    <mergeCell ref="S102:Y102"/>
    <mergeCell ref="AB102:AH102"/>
    <mergeCell ref="B103:D103"/>
    <mergeCell ref="E103:G103"/>
    <mergeCell ref="K103:M103"/>
    <mergeCell ref="N103:P103"/>
    <mergeCell ref="T103:V103"/>
    <mergeCell ref="W103:Y103"/>
    <mergeCell ref="AC103:AE103"/>
    <mergeCell ref="AF103:AH103"/>
    <mergeCell ref="AO76:AP76"/>
    <mergeCell ref="AS76:AT76"/>
    <mergeCell ref="B89:G89"/>
    <mergeCell ref="J89:P89"/>
    <mergeCell ref="S89:Y89"/>
    <mergeCell ref="AB89:AH89"/>
    <mergeCell ref="B90:D90"/>
    <mergeCell ref="E90:G90"/>
    <mergeCell ref="K90:M90"/>
    <mergeCell ref="N90:P90"/>
    <mergeCell ref="T90:V90"/>
    <mergeCell ref="W90:Y90"/>
    <mergeCell ref="AC90:AE90"/>
    <mergeCell ref="AF90:AH90"/>
    <mergeCell ref="B76:D76"/>
    <mergeCell ref="E76:G76"/>
    <mergeCell ref="K76:M76"/>
    <mergeCell ref="N76:P76"/>
    <mergeCell ref="T76:V76"/>
    <mergeCell ref="W76:Y76"/>
    <mergeCell ref="AC76:AE76"/>
    <mergeCell ref="AF76:AH76"/>
    <mergeCell ref="AK76:AL76"/>
    <mergeCell ref="AJ68:AL68"/>
    <mergeCell ref="AN68:AP68"/>
    <mergeCell ref="AR68:AT68"/>
    <mergeCell ref="AK69:AL69"/>
    <mergeCell ref="AO69:AP69"/>
    <mergeCell ref="AS69:AT69"/>
    <mergeCell ref="B75:G75"/>
    <mergeCell ref="J75:P75"/>
    <mergeCell ref="S75:Y75"/>
    <mergeCell ref="AB75:AH75"/>
    <mergeCell ref="B55:F55"/>
    <mergeCell ref="G55:K55"/>
    <mergeCell ref="L55:P55"/>
    <mergeCell ref="Q55:U55"/>
    <mergeCell ref="B62:G62"/>
    <mergeCell ref="J62:P62"/>
    <mergeCell ref="S62:Y62"/>
    <mergeCell ref="AB62:AH62"/>
    <mergeCell ref="B63:D63"/>
    <mergeCell ref="E63:G63"/>
    <mergeCell ref="K63:M63"/>
    <mergeCell ref="N63:P63"/>
    <mergeCell ref="T63:V63"/>
    <mergeCell ref="W63:Y63"/>
    <mergeCell ref="AC63:AE63"/>
    <mergeCell ref="AF63:AH63"/>
    <mergeCell ref="B48:G48"/>
    <mergeCell ref="H48:I48"/>
    <mergeCell ref="B49:D49"/>
    <mergeCell ref="E49:G49"/>
    <mergeCell ref="H49:I49"/>
    <mergeCell ref="B50:F50"/>
    <mergeCell ref="G50:K50"/>
    <mergeCell ref="L50:P50"/>
    <mergeCell ref="Q50:U50"/>
    <mergeCell ref="AQ32:AT32"/>
    <mergeCell ref="AV32:AY32"/>
    <mergeCell ref="BA32:BF32"/>
    <mergeCell ref="B37:J37"/>
    <mergeCell ref="L37:T37"/>
    <mergeCell ref="V37:AD37"/>
    <mergeCell ref="AF37:AN37"/>
    <mergeCell ref="B38:D38"/>
    <mergeCell ref="E38:G38"/>
    <mergeCell ref="H38:J38"/>
    <mergeCell ref="L38:N38"/>
    <mergeCell ref="O38:Q38"/>
    <mergeCell ref="R38:T38"/>
    <mergeCell ref="V38:X38"/>
    <mergeCell ref="Y38:AA38"/>
    <mergeCell ref="AB38:AD38"/>
    <mergeCell ref="AF38:AH38"/>
    <mergeCell ref="AI38:AK38"/>
    <mergeCell ref="AL38:AN38"/>
    <mergeCell ref="V26:AD26"/>
    <mergeCell ref="AF26:AN26"/>
    <mergeCell ref="B27:D27"/>
    <mergeCell ref="E27:G27"/>
    <mergeCell ref="H27:J27"/>
    <mergeCell ref="L27:N27"/>
    <mergeCell ref="O27:Q27"/>
    <mergeCell ref="R27:T27"/>
    <mergeCell ref="V27:X27"/>
    <mergeCell ref="Y27:AA27"/>
    <mergeCell ref="AB27:AD27"/>
    <mergeCell ref="AF27:AH27"/>
    <mergeCell ref="AI27:AK27"/>
    <mergeCell ref="AL27:AN27"/>
    <mergeCell ref="B18:C18"/>
    <mergeCell ref="D18:E18"/>
    <mergeCell ref="G18:H18"/>
    <mergeCell ref="I18:J18"/>
    <mergeCell ref="L18:M18"/>
    <mergeCell ref="N18:O18"/>
    <mergeCell ref="Q18:R18"/>
    <mergeCell ref="S18:T18"/>
    <mergeCell ref="B26:J26"/>
    <mergeCell ref="L26:T26"/>
    <mergeCell ref="AC3:AE3"/>
    <mergeCell ref="AF3:AH3"/>
    <mergeCell ref="AI3:AK3"/>
    <mergeCell ref="AL3:AN3"/>
    <mergeCell ref="AO3:AQ3"/>
    <mergeCell ref="B16:E16"/>
    <mergeCell ref="G16:J16"/>
    <mergeCell ref="L16:O16"/>
    <mergeCell ref="Q16:T16"/>
    <mergeCell ref="B3:D3"/>
    <mergeCell ref="E3:G3"/>
    <mergeCell ref="H3:J3"/>
    <mergeCell ref="K3:M3"/>
    <mergeCell ref="N3:P3"/>
    <mergeCell ref="Q3:S3"/>
    <mergeCell ref="T3:V3"/>
    <mergeCell ref="W3:Y3"/>
    <mergeCell ref="Z3:A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E63"/>
  <sheetViews>
    <sheetView zoomScale="55" zoomScaleNormal="55" workbookViewId="0">
      <selection activeCell="H107" sqref="H107"/>
    </sheetView>
  </sheetViews>
  <sheetFormatPr defaultColWidth="9" defaultRowHeight="14.5"/>
  <cols>
    <col min="1" max="1" width="14.6328125" customWidth="1"/>
    <col min="2" max="5" width="9.36328125"/>
    <col min="7" max="8" width="9.36328125"/>
    <col min="9" max="9" width="9.90625" customWidth="1"/>
    <col min="10" max="15" width="9.08984375" customWidth="1"/>
    <col min="17" max="17" width="9.36328125"/>
    <col min="19" max="19" width="9.36328125"/>
  </cols>
  <sheetData>
    <row r="2" spans="1:31">
      <c r="A2" s="29" t="s">
        <v>178</v>
      </c>
    </row>
    <row r="3" spans="1:31">
      <c r="A3" s="29"/>
      <c r="B3" s="248" t="s">
        <v>5</v>
      </c>
      <c r="C3" s="248"/>
      <c r="D3" s="248"/>
      <c r="E3" s="248"/>
      <c r="F3" s="248"/>
      <c r="G3" s="248"/>
      <c r="J3" s="248" t="s">
        <v>8</v>
      </c>
      <c r="K3" s="248"/>
      <c r="L3" s="248"/>
      <c r="M3" s="248"/>
      <c r="N3" s="248"/>
      <c r="O3" s="248"/>
      <c r="R3" s="248" t="s">
        <v>179</v>
      </c>
      <c r="S3" s="248"/>
      <c r="T3" s="248"/>
      <c r="U3" s="248"/>
      <c r="V3" s="248"/>
      <c r="W3" s="248"/>
      <c r="Z3" s="248" t="s">
        <v>180</v>
      </c>
      <c r="AA3" s="248"/>
      <c r="AB3" s="248"/>
      <c r="AC3" s="248"/>
      <c r="AD3" s="248"/>
      <c r="AE3" s="248"/>
    </row>
    <row r="4" spans="1:31">
      <c r="A4" s="58" t="s">
        <v>75</v>
      </c>
      <c r="B4" s="193" t="s">
        <v>144</v>
      </c>
      <c r="C4" s="193"/>
      <c r="D4" s="193"/>
      <c r="E4" s="193" t="s">
        <v>78</v>
      </c>
      <c r="F4" s="193"/>
      <c r="G4" s="193"/>
      <c r="I4" s="58" t="s">
        <v>75</v>
      </c>
      <c r="J4" s="193" t="s">
        <v>144</v>
      </c>
      <c r="K4" s="193"/>
      <c r="L4" s="193"/>
      <c r="M4" s="193" t="s">
        <v>78</v>
      </c>
      <c r="N4" s="193"/>
      <c r="O4" s="193"/>
      <c r="Q4" s="58" t="s">
        <v>75</v>
      </c>
      <c r="R4" s="193" t="s">
        <v>144</v>
      </c>
      <c r="S4" s="193"/>
      <c r="T4" s="193"/>
      <c r="U4" s="193" t="s">
        <v>78</v>
      </c>
      <c r="V4" s="193"/>
      <c r="W4" s="193"/>
      <c r="Y4" s="58" t="s">
        <v>75</v>
      </c>
      <c r="Z4" s="10" t="s">
        <v>144</v>
      </c>
      <c r="AA4" s="10"/>
      <c r="AB4" s="10"/>
      <c r="AC4" s="10" t="s">
        <v>78</v>
      </c>
      <c r="AD4" s="10"/>
      <c r="AE4" s="10"/>
    </row>
    <row r="5" spans="1:31">
      <c r="A5" s="27">
        <v>666.66700000000003</v>
      </c>
      <c r="B5" s="59">
        <v>86.909970000000001</v>
      </c>
      <c r="C5" s="59">
        <v>88.967020000000005</v>
      </c>
      <c r="D5" s="59">
        <v>88.934349999999995</v>
      </c>
      <c r="E5" s="59">
        <v>98.969489999999993</v>
      </c>
      <c r="F5" s="59">
        <v>98.915599999999998</v>
      </c>
      <c r="G5" s="59">
        <v>98.984070000000003</v>
      </c>
      <c r="I5" s="27">
        <v>666.66700000000003</v>
      </c>
      <c r="J5" s="59">
        <v>93.655850000000001</v>
      </c>
      <c r="K5" s="59">
        <v>91.122159999999994</v>
      </c>
      <c r="L5" s="59">
        <v>93.0869</v>
      </c>
      <c r="M5" s="59">
        <v>96.260720000000006</v>
      </c>
      <c r="N5" s="59">
        <v>99.26249</v>
      </c>
      <c r="O5" s="59">
        <v>97.902460000000005</v>
      </c>
      <c r="Q5" s="27">
        <v>666.66700000000003</v>
      </c>
      <c r="R5" s="59">
        <v>79.174009999999996</v>
      </c>
      <c r="S5" s="59">
        <v>80.214550000000003</v>
      </c>
      <c r="T5" s="59">
        <v>86.243539999999996</v>
      </c>
      <c r="U5" s="59">
        <v>93.837770000000006</v>
      </c>
      <c r="V5" s="59">
        <v>95.474819999999994</v>
      </c>
      <c r="W5" s="59">
        <v>91.774119999999996</v>
      </c>
      <c r="Y5" s="27">
        <v>666.66700000000003</v>
      </c>
      <c r="Z5" s="59">
        <v>91.501130000000003</v>
      </c>
      <c r="AA5" s="59">
        <v>92.273859999999999</v>
      </c>
      <c r="AB5" s="59">
        <v>93.171769999999995</v>
      </c>
      <c r="AC5" s="59">
        <v>97.121780000000001</v>
      </c>
      <c r="AD5" s="59">
        <v>97.868870000000001</v>
      </c>
      <c r="AE5" s="59">
        <v>98.424930000000003</v>
      </c>
    </row>
    <row r="6" spans="1:31">
      <c r="A6" s="27">
        <v>222.22200000000001</v>
      </c>
      <c r="B6" s="59">
        <v>66.060699999999997</v>
      </c>
      <c r="C6" s="59">
        <v>74.797129999999996</v>
      </c>
      <c r="D6" s="59">
        <v>69.702089999999998</v>
      </c>
      <c r="E6" s="59">
        <v>96.080759999999998</v>
      </c>
      <c r="F6" s="59">
        <v>96.445400000000006</v>
      </c>
      <c r="G6" s="59">
        <v>96.819580000000002</v>
      </c>
      <c r="I6" s="27">
        <v>222.22200000000001</v>
      </c>
      <c r="J6" s="59">
        <v>84.954459999999997</v>
      </c>
      <c r="K6" s="59">
        <v>82.586749999999995</v>
      </c>
      <c r="L6" s="59">
        <v>79.174310000000006</v>
      </c>
      <c r="M6" s="59">
        <v>95.501930000000002</v>
      </c>
      <c r="N6" s="59">
        <v>97.507390000000001</v>
      </c>
      <c r="O6" s="59">
        <v>96.291709999999995</v>
      </c>
      <c r="Q6" s="27">
        <v>222.22200000000001</v>
      </c>
      <c r="R6" s="59">
        <v>53.387070000000001</v>
      </c>
      <c r="S6" s="59">
        <v>46.352690000000003</v>
      </c>
      <c r="T6" s="59">
        <v>62.752809999999997</v>
      </c>
      <c r="U6" s="59">
        <v>90.873239999999996</v>
      </c>
      <c r="V6" s="59">
        <v>90.27</v>
      </c>
      <c r="W6" s="59">
        <v>89.757829999999998</v>
      </c>
      <c r="Y6" s="27">
        <v>222.22200000000001</v>
      </c>
      <c r="Z6" s="59">
        <v>72.101100000000002</v>
      </c>
      <c r="AA6" s="59">
        <v>77.06711</v>
      </c>
      <c r="AB6" s="59">
        <v>79.243499999999997</v>
      </c>
      <c r="AC6" s="59">
        <v>95.936940000000007</v>
      </c>
      <c r="AD6" s="59">
        <v>94.813019999999995</v>
      </c>
      <c r="AE6" s="59">
        <v>94.266080000000002</v>
      </c>
    </row>
    <row r="7" spans="1:31">
      <c r="A7" s="27">
        <v>74.073999999999998</v>
      </c>
      <c r="B7" s="59">
        <v>47.630519999999997</v>
      </c>
      <c r="C7" s="59">
        <v>53.985469999999999</v>
      </c>
      <c r="D7" s="59">
        <v>53.698540000000001</v>
      </c>
      <c r="E7" s="59">
        <v>88.697339999999997</v>
      </c>
      <c r="F7" s="59">
        <v>89.277829999999994</v>
      </c>
      <c r="G7" s="59">
        <v>89.322590000000005</v>
      </c>
      <c r="I7" s="27">
        <v>74.073999999999998</v>
      </c>
      <c r="J7" s="59">
        <v>64.716800000000006</v>
      </c>
      <c r="K7" s="59">
        <v>71.242159999999998</v>
      </c>
      <c r="L7" s="59">
        <v>70.843040000000002</v>
      </c>
      <c r="M7" s="59">
        <v>93.85266</v>
      </c>
      <c r="N7" s="59">
        <v>92.733279999999993</v>
      </c>
      <c r="O7" s="59">
        <v>91.749989999999997</v>
      </c>
      <c r="Q7" s="27">
        <v>74.073999999999998</v>
      </c>
      <c r="R7" s="59">
        <v>26.59291</v>
      </c>
      <c r="S7" s="59">
        <v>35.365189999999998</v>
      </c>
      <c r="T7" s="59">
        <v>37.142499999999998</v>
      </c>
      <c r="U7" s="59">
        <v>67.042379999999994</v>
      </c>
      <c r="V7" s="59">
        <v>77.610919999999993</v>
      </c>
      <c r="W7" s="59">
        <v>78.784999999999997</v>
      </c>
      <c r="Y7" s="27">
        <v>74.073999999999998</v>
      </c>
      <c r="Z7" s="59">
        <v>55.607610000000001</v>
      </c>
      <c r="AA7" s="59">
        <v>54.803660000000001</v>
      </c>
      <c r="AB7" s="59">
        <v>56.544989999999999</v>
      </c>
      <c r="AC7" s="59">
        <v>89.630870000000002</v>
      </c>
      <c r="AD7" s="59">
        <v>85.997190000000003</v>
      </c>
      <c r="AE7" s="59">
        <v>89.995999999999995</v>
      </c>
    </row>
    <row r="8" spans="1:31">
      <c r="A8" s="27">
        <v>24.690999999999999</v>
      </c>
      <c r="B8" s="59">
        <v>41.029029999999999</v>
      </c>
      <c r="C8" s="59">
        <v>37.231470000000002</v>
      </c>
      <c r="D8" s="59">
        <v>36.097320000000003</v>
      </c>
      <c r="E8" s="59">
        <v>74.143739999999994</v>
      </c>
      <c r="F8" s="59">
        <v>69.24924</v>
      </c>
      <c r="G8" s="59">
        <v>68.985910000000004</v>
      </c>
      <c r="I8" s="27">
        <v>24.690999999999999</v>
      </c>
      <c r="J8" s="59">
        <v>55.451030000000003</v>
      </c>
      <c r="K8" s="59">
        <v>51.03604</v>
      </c>
      <c r="L8" s="59">
        <v>63.373649999999998</v>
      </c>
      <c r="M8" s="59">
        <v>81.243970000000004</v>
      </c>
      <c r="N8" s="59">
        <v>76.968190000000007</v>
      </c>
      <c r="O8" s="59">
        <v>80.25224</v>
      </c>
      <c r="Q8" s="27">
        <v>24.690999999999999</v>
      </c>
      <c r="R8" s="59">
        <v>18.033629999999999</v>
      </c>
      <c r="S8" s="59">
        <v>4.043088</v>
      </c>
      <c r="T8" s="59">
        <v>24.630410000000001</v>
      </c>
      <c r="U8" s="59">
        <v>65.27149</v>
      </c>
      <c r="V8" s="59">
        <v>48.923009999999998</v>
      </c>
      <c r="W8" s="59">
        <v>39.84789</v>
      </c>
      <c r="Y8" s="27">
        <v>24.690999999999999</v>
      </c>
      <c r="Z8" s="59">
        <v>23.729310000000002</v>
      </c>
      <c r="AA8" s="59">
        <v>39.400730000000003</v>
      </c>
      <c r="AB8" s="59">
        <v>43.97222</v>
      </c>
      <c r="AC8" s="59">
        <v>77.362629999999996</v>
      </c>
      <c r="AD8" s="59">
        <v>75.686729999999997</v>
      </c>
      <c r="AE8" s="59">
        <v>78.729600000000005</v>
      </c>
    </row>
    <row r="9" spans="1:31">
      <c r="A9" s="27">
        <v>8.23</v>
      </c>
      <c r="B9" s="59">
        <v>27.215610000000002</v>
      </c>
      <c r="C9" s="59">
        <v>31.189540000000001</v>
      </c>
      <c r="D9" s="59">
        <v>26.27252</v>
      </c>
      <c r="E9" s="59">
        <v>48.07282</v>
      </c>
      <c r="F9" s="59">
        <v>50.923209999999997</v>
      </c>
      <c r="G9" s="59">
        <v>43.484189999999998</v>
      </c>
      <c r="I9" s="27">
        <v>8.23</v>
      </c>
      <c r="J9" s="59">
        <v>40.84366</v>
      </c>
      <c r="K9" s="59">
        <v>34.00741</v>
      </c>
      <c r="L9" s="59">
        <v>46.636279999999999</v>
      </c>
      <c r="M9" s="59">
        <v>61.188070000000003</v>
      </c>
      <c r="N9" s="59">
        <v>49.672170000000001</v>
      </c>
      <c r="O9" s="59">
        <v>58.660609999999998</v>
      </c>
      <c r="Q9" s="27">
        <v>8.23</v>
      </c>
      <c r="R9" s="59">
        <v>0.45270700000000003</v>
      </c>
      <c r="S9" s="59">
        <v>0</v>
      </c>
      <c r="T9" s="59">
        <v>16.243480000000002</v>
      </c>
      <c r="U9" s="59">
        <v>33.344009999999997</v>
      </c>
      <c r="V9" s="59">
        <v>26.28885</v>
      </c>
      <c r="W9" s="59">
        <v>22.33267</v>
      </c>
      <c r="Y9" s="27">
        <v>8.23</v>
      </c>
      <c r="Z9" s="59">
        <v>22.29336</v>
      </c>
      <c r="AA9" s="59">
        <v>18.861329999999999</v>
      </c>
      <c r="AB9" s="59">
        <v>7.5335809999999999</v>
      </c>
      <c r="AC9" s="59">
        <v>56.29871</v>
      </c>
      <c r="AD9" s="59">
        <v>41.729649999999999</v>
      </c>
      <c r="AE9" s="59">
        <v>47.262340000000002</v>
      </c>
    </row>
    <row r="10" spans="1:31">
      <c r="A10" s="27">
        <v>2.7429999999999999</v>
      </c>
      <c r="B10" s="59">
        <v>20.366910000000001</v>
      </c>
      <c r="C10" s="59">
        <v>20.482399999999998</v>
      </c>
      <c r="D10" s="59">
        <v>20.73734</v>
      </c>
      <c r="E10" s="59">
        <v>38.058669999999999</v>
      </c>
      <c r="F10" s="59">
        <v>32.297539999999998</v>
      </c>
      <c r="G10" s="59">
        <v>31.445720000000001</v>
      </c>
      <c r="I10" s="27">
        <v>2.7429999999999999</v>
      </c>
      <c r="J10" s="59">
        <v>42.21763</v>
      </c>
      <c r="K10" s="59">
        <v>36.823390000000003</v>
      </c>
      <c r="L10" s="59">
        <v>32.347140000000003</v>
      </c>
      <c r="M10" s="59">
        <v>38.1614</v>
      </c>
      <c r="N10" s="59">
        <v>37.530819999999999</v>
      </c>
      <c r="O10" s="59">
        <v>34.681469999999997</v>
      </c>
      <c r="Q10" s="27">
        <v>2.7429999999999999</v>
      </c>
      <c r="R10" s="59">
        <v>0</v>
      </c>
      <c r="S10" s="59">
        <v>10.56378</v>
      </c>
      <c r="T10" s="59">
        <v>0</v>
      </c>
      <c r="U10" s="59">
        <v>17.523900000000001</v>
      </c>
      <c r="V10" s="59">
        <v>2.0967829999999998</v>
      </c>
      <c r="W10" s="59">
        <v>1.0632760000000001</v>
      </c>
      <c r="Y10" s="27">
        <v>2.7429999999999999</v>
      </c>
      <c r="Z10" s="59">
        <v>0</v>
      </c>
      <c r="AA10" s="59">
        <v>12.40681</v>
      </c>
      <c r="AB10" s="59">
        <v>0</v>
      </c>
      <c r="AC10" s="59">
        <v>37.012700000000002</v>
      </c>
      <c r="AD10" s="59">
        <v>29.723130000000001</v>
      </c>
      <c r="AE10" s="59">
        <v>43.332709999999999</v>
      </c>
    </row>
    <row r="11" spans="1:31">
      <c r="A11" s="27">
        <v>0.91400000000000003</v>
      </c>
      <c r="B11" s="59">
        <v>12.326980000000001</v>
      </c>
      <c r="C11" s="59">
        <v>15.12393</v>
      </c>
      <c r="D11" s="59">
        <v>18.457630000000002</v>
      </c>
      <c r="E11" s="59">
        <v>16.58942</v>
      </c>
      <c r="F11" s="59">
        <v>21.330249999999999</v>
      </c>
      <c r="G11" s="59">
        <v>22.695340000000002</v>
      </c>
      <c r="I11" s="27">
        <v>0.91400000000000003</v>
      </c>
      <c r="J11" s="59">
        <v>24.12482</v>
      </c>
      <c r="K11" s="59">
        <v>27.913450000000001</v>
      </c>
      <c r="L11" s="59">
        <v>12.45063</v>
      </c>
      <c r="M11" s="59">
        <v>31.877780000000001</v>
      </c>
      <c r="N11" s="59">
        <v>19.29514</v>
      </c>
      <c r="O11" s="59">
        <v>9.5293799999999997</v>
      </c>
      <c r="Q11" s="27">
        <v>0.91400000000000003</v>
      </c>
      <c r="R11" s="59">
        <v>0</v>
      </c>
      <c r="S11" s="59">
        <v>0</v>
      </c>
      <c r="T11" s="59">
        <v>21.76764</v>
      </c>
      <c r="U11" s="59">
        <v>0</v>
      </c>
      <c r="V11" s="59">
        <v>0</v>
      </c>
      <c r="W11" s="59">
        <v>0</v>
      </c>
      <c r="Y11" s="27">
        <v>0.91400000000000003</v>
      </c>
      <c r="Z11" s="59">
        <v>2.2252869999999998</v>
      </c>
      <c r="AA11" s="59">
        <v>9.8719429999999999</v>
      </c>
      <c r="AB11" s="59">
        <v>0</v>
      </c>
      <c r="AC11" s="59">
        <v>14.50029</v>
      </c>
      <c r="AD11" s="59">
        <v>9.0047110000000004</v>
      </c>
      <c r="AE11" s="59">
        <v>21.346</v>
      </c>
    </row>
    <row r="12" spans="1:31">
      <c r="A12" s="27">
        <v>0.30499999999999999</v>
      </c>
      <c r="B12" s="59">
        <v>14.51416</v>
      </c>
      <c r="C12" s="59">
        <v>6.7298520000000002</v>
      </c>
      <c r="D12" s="59">
        <v>15.210660000000001</v>
      </c>
      <c r="E12" s="59">
        <v>19.32658</v>
      </c>
      <c r="F12" s="59">
        <v>16.790520000000001</v>
      </c>
      <c r="G12" s="59">
        <v>11.190390000000001</v>
      </c>
      <c r="I12" s="27">
        <v>0.30499999999999999</v>
      </c>
      <c r="J12" s="59">
        <v>9.2192249999999998</v>
      </c>
      <c r="K12" s="59">
        <v>23.320550000000001</v>
      </c>
      <c r="L12" s="59">
        <v>23.11384</v>
      </c>
      <c r="M12" s="59">
        <v>26.113040000000002</v>
      </c>
      <c r="N12" s="59">
        <v>4.5764370000000003</v>
      </c>
      <c r="O12" s="59">
        <v>25.823250000000002</v>
      </c>
      <c r="Q12" s="27">
        <v>0.30499999999999999</v>
      </c>
      <c r="R12" s="59">
        <v>6.0132300000000001</v>
      </c>
      <c r="S12" s="59">
        <v>0</v>
      </c>
      <c r="T12" s="59">
        <v>8.6840899999999994</v>
      </c>
      <c r="U12" s="59">
        <v>4.4635809999999996</v>
      </c>
      <c r="V12" s="59">
        <v>0</v>
      </c>
      <c r="W12" s="59">
        <v>0</v>
      </c>
      <c r="Y12" s="27">
        <v>0.30499999999999999</v>
      </c>
      <c r="Z12" s="59">
        <v>6.6753600000000004</v>
      </c>
      <c r="AA12" s="59">
        <v>20.199670000000001</v>
      </c>
      <c r="AB12" s="59">
        <v>0</v>
      </c>
      <c r="AC12" s="59">
        <v>10.38402</v>
      </c>
      <c r="AD12" s="59">
        <v>14.46382</v>
      </c>
      <c r="AE12" s="59">
        <v>5.0877410000000003</v>
      </c>
    </row>
    <row r="13" spans="1:31">
      <c r="A13" s="27">
        <v>0.10199999999999999</v>
      </c>
      <c r="B13" s="59">
        <v>10.339650000000001</v>
      </c>
      <c r="C13" s="59">
        <v>11.15692</v>
      </c>
      <c r="D13" s="59">
        <v>2.6571050000000001</v>
      </c>
      <c r="E13" s="59">
        <v>1.162166</v>
      </c>
      <c r="F13" s="59">
        <v>14.48518</v>
      </c>
      <c r="G13" s="59">
        <v>13.74619</v>
      </c>
      <c r="I13" s="27">
        <v>0.10199999999999999</v>
      </c>
      <c r="J13" s="59">
        <v>24.312460000000002</v>
      </c>
      <c r="K13" s="59">
        <v>20.663229999999999</v>
      </c>
      <c r="L13" s="59">
        <v>19.16198</v>
      </c>
      <c r="M13" s="59">
        <v>14.63364</v>
      </c>
      <c r="N13" s="59">
        <v>18.07799</v>
      </c>
      <c r="O13" s="59">
        <v>13.446759999999999</v>
      </c>
      <c r="Q13" s="27">
        <v>0.10199999999999999</v>
      </c>
      <c r="R13" s="59">
        <v>8.3641360000000002</v>
      </c>
      <c r="S13" s="59">
        <v>3.2485529999999998</v>
      </c>
      <c r="T13" s="59">
        <v>22.252610000000001</v>
      </c>
      <c r="U13" s="59">
        <v>0</v>
      </c>
      <c r="V13" s="59">
        <v>0</v>
      </c>
      <c r="W13" s="59">
        <v>0</v>
      </c>
      <c r="Y13" s="27">
        <v>0.10199999999999999</v>
      </c>
      <c r="Z13" s="59">
        <v>16.574670000000001</v>
      </c>
      <c r="AA13" s="59">
        <v>20.159020000000002</v>
      </c>
      <c r="AB13" s="59">
        <v>12.64612</v>
      </c>
      <c r="AC13" s="59">
        <v>12.68924</v>
      </c>
      <c r="AD13" s="59">
        <v>15.24234</v>
      </c>
      <c r="AE13" s="59">
        <v>12.83405</v>
      </c>
    </row>
    <row r="14" spans="1:31">
      <c r="A14" s="27">
        <v>3.39E-2</v>
      </c>
      <c r="B14" s="59">
        <v>-0.85762000000000005</v>
      </c>
      <c r="C14" s="59">
        <v>15.558350000000001</v>
      </c>
      <c r="D14" s="59">
        <v>17.654769999999999</v>
      </c>
      <c r="E14" s="59">
        <v>14.58235</v>
      </c>
      <c r="F14" s="59">
        <v>11.56076</v>
      </c>
      <c r="G14" s="59">
        <v>10.02458</v>
      </c>
      <c r="I14" s="27">
        <v>3.39E-2</v>
      </c>
      <c r="J14" s="59">
        <v>19.902609999999999</v>
      </c>
      <c r="K14" s="59">
        <v>25.170290000000001</v>
      </c>
      <c r="L14" s="59">
        <v>16.014759999999999</v>
      </c>
      <c r="M14" s="59">
        <v>16.396260000000002</v>
      </c>
      <c r="N14" s="59">
        <v>16.776479999999999</v>
      </c>
      <c r="O14" s="59">
        <v>9.2564810000000008</v>
      </c>
      <c r="Q14" s="27">
        <v>3.39E-2</v>
      </c>
      <c r="R14" s="59">
        <v>4.5693149999999996</v>
      </c>
      <c r="S14" s="59">
        <v>0</v>
      </c>
      <c r="T14" s="59">
        <v>5.0185329999999997</v>
      </c>
      <c r="U14" s="59">
        <v>0</v>
      </c>
      <c r="V14" s="59">
        <v>0</v>
      </c>
      <c r="W14" s="59">
        <v>0</v>
      </c>
      <c r="Y14" s="27">
        <v>3.39E-2</v>
      </c>
      <c r="Z14" s="59">
        <v>4.1717040000000001</v>
      </c>
      <c r="AA14" s="59">
        <v>17.40297</v>
      </c>
      <c r="AB14" s="59">
        <v>1.535148</v>
      </c>
      <c r="AC14" s="59">
        <v>8.5783349999999992</v>
      </c>
      <c r="AD14" s="59">
        <v>2.8691939999999998</v>
      </c>
      <c r="AE14" s="59">
        <v>9.9470279999999995</v>
      </c>
    </row>
    <row r="15" spans="1:31">
      <c r="A15" s="27">
        <v>1.1299999999999999E-2</v>
      </c>
      <c r="B15" s="59">
        <v>0</v>
      </c>
      <c r="C15" s="59">
        <v>7.14107</v>
      </c>
      <c r="D15" s="59">
        <v>10.57569</v>
      </c>
      <c r="E15" s="59">
        <v>5.414002</v>
      </c>
      <c r="F15" s="59">
        <v>2.1678869999999999</v>
      </c>
      <c r="G15" s="59">
        <v>4.0410279999999998</v>
      </c>
      <c r="I15" s="27">
        <v>1.1299999999999999E-2</v>
      </c>
      <c r="J15" s="59">
        <v>6.634538</v>
      </c>
      <c r="K15" s="59">
        <v>15.793189999999999</v>
      </c>
      <c r="L15" s="59">
        <v>13.671989999999999</v>
      </c>
      <c r="M15" s="59">
        <v>15.15325</v>
      </c>
      <c r="N15" s="59">
        <v>8.9415340000000008</v>
      </c>
      <c r="O15" s="59">
        <v>0</v>
      </c>
      <c r="Q15" s="27">
        <v>1.1299999999999999E-2</v>
      </c>
      <c r="R15" s="59">
        <v>13.88157</v>
      </c>
      <c r="S15" s="59">
        <v>6.8108199999999997</v>
      </c>
      <c r="T15" s="59">
        <v>0</v>
      </c>
      <c r="U15" s="59">
        <v>0</v>
      </c>
      <c r="V15" s="59">
        <v>0</v>
      </c>
      <c r="W15" s="59">
        <v>0</v>
      </c>
      <c r="Y15" s="27">
        <v>1.1299999999999999E-2</v>
      </c>
      <c r="Z15" s="59">
        <v>1.0754140000000001</v>
      </c>
      <c r="AA15" s="59">
        <v>8.6264970000000005</v>
      </c>
      <c r="AB15" s="59">
        <v>2.985576</v>
      </c>
      <c r="AC15" s="59">
        <v>18.242419999999999</v>
      </c>
      <c r="AD15" s="59">
        <v>9.7671449999999993</v>
      </c>
      <c r="AE15" s="59">
        <v>2.124673</v>
      </c>
    </row>
    <row r="19" spans="1:23">
      <c r="A19" s="29" t="s">
        <v>181</v>
      </c>
    </row>
    <row r="21" spans="1:23">
      <c r="A21" s="29"/>
      <c r="B21" s="248" t="s">
        <v>182</v>
      </c>
      <c r="C21" s="248"/>
      <c r="D21" s="248"/>
      <c r="E21" s="248"/>
      <c r="F21" s="248"/>
      <c r="G21" s="248"/>
      <c r="J21" s="248" t="s">
        <v>183</v>
      </c>
      <c r="K21" s="248"/>
      <c r="L21" s="248"/>
      <c r="M21" s="248"/>
      <c r="N21" s="248"/>
      <c r="O21" s="248"/>
      <c r="R21" s="248"/>
      <c r="S21" s="248"/>
      <c r="T21" s="248"/>
      <c r="U21" s="248"/>
      <c r="V21" s="248"/>
      <c r="W21" s="248"/>
    </row>
    <row r="22" spans="1:23">
      <c r="A22" s="58" t="s">
        <v>75</v>
      </c>
      <c r="B22" s="193" t="s">
        <v>144</v>
      </c>
      <c r="C22" s="193"/>
      <c r="D22" s="193"/>
      <c r="E22" s="193" t="s">
        <v>78</v>
      </c>
      <c r="F22" s="193"/>
      <c r="G22" s="193"/>
      <c r="I22" s="58" t="s">
        <v>75</v>
      </c>
      <c r="J22" s="193" t="s">
        <v>144</v>
      </c>
      <c r="K22" s="193"/>
      <c r="L22" s="193"/>
      <c r="M22" s="193" t="s">
        <v>78</v>
      </c>
      <c r="N22" s="193"/>
      <c r="O22" s="193"/>
      <c r="Q22" s="58"/>
      <c r="R22" s="193"/>
      <c r="S22" s="193"/>
      <c r="T22" s="193"/>
      <c r="U22" s="193"/>
      <c r="V22" s="193"/>
      <c r="W22" s="193"/>
    </row>
    <row r="23" spans="1:23">
      <c r="A23" s="27">
        <v>2000</v>
      </c>
      <c r="B23" s="27">
        <v>86.428370000000001</v>
      </c>
      <c r="C23" s="27">
        <v>85.160839999999993</v>
      </c>
      <c r="D23" s="27">
        <v>87.320369999999997</v>
      </c>
      <c r="E23" s="27">
        <v>97.605080000000001</v>
      </c>
      <c r="F23" s="27">
        <v>97.861459999999994</v>
      </c>
      <c r="G23" s="27">
        <v>98.080910000000003</v>
      </c>
      <c r="I23" s="27">
        <v>2000</v>
      </c>
      <c r="J23" s="27">
        <v>90.311779999999999</v>
      </c>
      <c r="K23" s="27">
        <v>90.385499999999993</v>
      </c>
      <c r="L23" s="27">
        <v>91.761229999999998</v>
      </c>
      <c r="M23" s="27">
        <v>94.806299999999993</v>
      </c>
      <c r="N23" s="27">
        <v>95.150019999999998</v>
      </c>
      <c r="O23" s="27">
        <v>94.536230000000003</v>
      </c>
    </row>
    <row r="24" spans="1:23">
      <c r="A24" s="27">
        <v>666.66669999999999</v>
      </c>
      <c r="B24" s="27">
        <v>79.525639999999996</v>
      </c>
      <c r="C24" s="27">
        <v>79.389769999999999</v>
      </c>
      <c r="D24" s="27">
        <v>75.992829999999998</v>
      </c>
      <c r="E24" s="27">
        <v>88.557969999999997</v>
      </c>
      <c r="F24" s="27">
        <v>88.829520000000002</v>
      </c>
      <c r="G24" s="27">
        <v>89.712190000000007</v>
      </c>
      <c r="I24" s="27">
        <v>666.66669999999999</v>
      </c>
      <c r="J24" s="27">
        <v>82.985550000000003</v>
      </c>
      <c r="K24" s="27">
        <v>84.879419999999996</v>
      </c>
      <c r="L24" s="27">
        <v>81.041849999999997</v>
      </c>
      <c r="M24" s="27">
        <v>87.559340000000006</v>
      </c>
      <c r="N24" s="27">
        <v>86.281009999999995</v>
      </c>
      <c r="O24" s="27">
        <v>86.846459999999993</v>
      </c>
    </row>
    <row r="25" spans="1:23">
      <c r="A25" s="27">
        <v>222.22219999999999</v>
      </c>
      <c r="B25" s="27">
        <v>65.389930000000007</v>
      </c>
      <c r="C25" s="27">
        <v>72.119470000000007</v>
      </c>
      <c r="D25" s="27">
        <v>64.098100000000002</v>
      </c>
      <c r="E25" s="27">
        <v>82.242649999999998</v>
      </c>
      <c r="F25" s="27">
        <v>86.385220000000004</v>
      </c>
      <c r="G25" s="27">
        <v>85.027109999999993</v>
      </c>
      <c r="I25" s="27">
        <v>222.22219999999999</v>
      </c>
      <c r="J25" s="27">
        <v>69.563479999999998</v>
      </c>
      <c r="K25" s="27">
        <v>72.718530000000001</v>
      </c>
      <c r="L25" s="27">
        <v>73.334569999999999</v>
      </c>
      <c r="M25" s="27">
        <v>78.605159999999998</v>
      </c>
      <c r="N25" s="27">
        <v>80.155869999999993</v>
      </c>
      <c r="O25" s="27">
        <v>73.654889999999995</v>
      </c>
    </row>
    <row r="26" spans="1:23">
      <c r="A26" s="27">
        <v>74.074070000000006</v>
      </c>
      <c r="B26" s="27">
        <v>48.111719999999998</v>
      </c>
      <c r="C26" s="27">
        <v>45.729430000000001</v>
      </c>
      <c r="D26" s="27">
        <v>43.687109999999997</v>
      </c>
      <c r="E26" s="27">
        <v>72.527280000000005</v>
      </c>
      <c r="F26" s="27">
        <v>72.935079999999999</v>
      </c>
      <c r="G26" s="27">
        <v>73.546790000000001</v>
      </c>
      <c r="I26" s="27">
        <v>74.074070000000006</v>
      </c>
      <c r="J26" s="27">
        <v>56.259329999999999</v>
      </c>
      <c r="K26" s="27">
        <v>60.33522</v>
      </c>
      <c r="L26" s="27">
        <v>62.532550000000001</v>
      </c>
      <c r="M26" s="27">
        <v>69.982609999999994</v>
      </c>
      <c r="N26" s="27">
        <v>71.338449999999995</v>
      </c>
      <c r="O26" s="27">
        <v>64.210890000000006</v>
      </c>
    </row>
    <row r="27" spans="1:23">
      <c r="A27" s="27">
        <v>24.69136</v>
      </c>
      <c r="B27" s="27">
        <v>45.865490000000001</v>
      </c>
      <c r="C27" s="27">
        <v>38.035580000000003</v>
      </c>
      <c r="D27" s="27">
        <v>40.214750000000002</v>
      </c>
      <c r="E27" s="27">
        <v>55.256450000000001</v>
      </c>
      <c r="F27" s="27">
        <v>60.561979999999998</v>
      </c>
      <c r="G27" s="27">
        <v>55.188420000000001</v>
      </c>
      <c r="I27" s="27">
        <v>24.69136</v>
      </c>
      <c r="J27" s="27">
        <v>49.138449999999999</v>
      </c>
      <c r="K27" s="27">
        <v>55.122540000000001</v>
      </c>
      <c r="L27" s="27">
        <v>54.306919999999998</v>
      </c>
      <c r="M27" s="27">
        <v>59.520290000000003</v>
      </c>
      <c r="N27" s="27">
        <v>62.97683</v>
      </c>
      <c r="O27" s="27">
        <v>45.203470000000003</v>
      </c>
    </row>
    <row r="28" spans="1:23">
      <c r="A28" s="27">
        <v>8.2304530000000007</v>
      </c>
      <c r="B28" s="27">
        <v>33.948990000000002</v>
      </c>
      <c r="C28" s="27">
        <v>34.425800000000002</v>
      </c>
      <c r="D28" s="27">
        <v>39.942230000000002</v>
      </c>
      <c r="E28" s="27">
        <v>39.465620000000001</v>
      </c>
      <c r="F28" s="27">
        <v>42.597819999999999</v>
      </c>
      <c r="G28" s="27">
        <v>41.23601</v>
      </c>
      <c r="I28" s="27">
        <v>8.2304530000000007</v>
      </c>
      <c r="J28" s="27">
        <v>36.631590000000003</v>
      </c>
      <c r="K28" s="27">
        <v>43.668349999999997</v>
      </c>
      <c r="L28" s="27">
        <v>46.144120000000001</v>
      </c>
      <c r="M28" s="27">
        <v>41.563160000000003</v>
      </c>
      <c r="N28" s="27">
        <v>45.599539999999998</v>
      </c>
      <c r="O28" s="27">
        <v>47.63664</v>
      </c>
    </row>
    <row r="29" spans="1:23">
      <c r="A29" s="27">
        <v>2.743484</v>
      </c>
      <c r="B29" s="27">
        <v>22.16</v>
      </c>
      <c r="C29" s="27">
        <v>34.085059999999999</v>
      </c>
      <c r="D29" s="27">
        <v>29.520489999999999</v>
      </c>
      <c r="E29" s="27">
        <v>22.90991</v>
      </c>
      <c r="F29" s="27">
        <v>19.50131</v>
      </c>
      <c r="G29" s="27">
        <v>28.839200000000002</v>
      </c>
      <c r="I29" s="27">
        <v>2.743484</v>
      </c>
      <c r="J29" s="27">
        <v>37.623190000000001</v>
      </c>
      <c r="K29" s="27">
        <v>34.895829999999997</v>
      </c>
      <c r="L29" s="27">
        <v>36.73075</v>
      </c>
      <c r="M29" s="27">
        <v>35.73901</v>
      </c>
      <c r="N29" s="27">
        <v>32.713120000000004</v>
      </c>
      <c r="O29" s="27">
        <v>36.381189999999997</v>
      </c>
    </row>
    <row r="30" spans="1:23">
      <c r="A30" s="27">
        <v>0.91449499999999995</v>
      </c>
      <c r="B30" s="27">
        <v>19.56934</v>
      </c>
      <c r="C30" s="27">
        <v>15.000690000000001</v>
      </c>
      <c r="D30" s="27">
        <v>22.90991</v>
      </c>
      <c r="E30" s="27">
        <v>15.13714</v>
      </c>
      <c r="F30" s="27">
        <v>15.75099</v>
      </c>
      <c r="G30" s="27">
        <v>17.182970000000001</v>
      </c>
      <c r="I30" s="27">
        <v>0.91449499999999995</v>
      </c>
      <c r="J30" s="27">
        <v>26.97963</v>
      </c>
      <c r="K30" s="27">
        <v>26.458110000000001</v>
      </c>
      <c r="L30" s="27">
        <v>31.174769999999999</v>
      </c>
      <c r="M30" s="27">
        <v>29.88429</v>
      </c>
      <c r="N30" s="27">
        <v>21.29034</v>
      </c>
      <c r="O30" s="27">
        <v>32.746220000000001</v>
      </c>
    </row>
    <row r="31" spans="1:23">
      <c r="A31" s="27">
        <v>0.30483199999999999</v>
      </c>
      <c r="B31" s="27">
        <v>18.566490000000002</v>
      </c>
      <c r="C31" s="27">
        <v>10.2262</v>
      </c>
      <c r="D31" s="27">
        <v>14.659750000000001</v>
      </c>
      <c r="E31" s="27">
        <v>8.5207289999999993</v>
      </c>
      <c r="F31" s="27">
        <v>17.251190000000001</v>
      </c>
      <c r="G31" s="27">
        <v>7.4973320000000001</v>
      </c>
      <c r="I31" s="27">
        <v>0.30483199999999999</v>
      </c>
      <c r="J31" s="27">
        <v>28.692830000000001</v>
      </c>
      <c r="K31" s="27">
        <v>24.74428</v>
      </c>
      <c r="L31" s="27">
        <v>28.047339999999998</v>
      </c>
      <c r="M31" s="27">
        <v>25.881630000000001</v>
      </c>
      <c r="N31" s="27">
        <v>29.949439999999999</v>
      </c>
      <c r="O31" s="27">
        <v>25.497150000000001</v>
      </c>
    </row>
    <row r="32" spans="1:23">
      <c r="A32" s="27">
        <v>0.10161100000000001</v>
      </c>
      <c r="B32" s="27">
        <v>8.2740100000000005</v>
      </c>
      <c r="C32" s="27">
        <v>0.67293499999999995</v>
      </c>
      <c r="D32" s="27">
        <v>7.3874500000000003</v>
      </c>
      <c r="E32" s="27">
        <v>16.705570000000002</v>
      </c>
      <c r="F32" s="27">
        <v>0.74116099999999996</v>
      </c>
      <c r="G32" s="27">
        <v>3.4029660000000002</v>
      </c>
      <c r="I32" s="27">
        <v>0.10161100000000001</v>
      </c>
      <c r="J32" s="27">
        <v>11.887449999999999</v>
      </c>
      <c r="K32" s="27">
        <v>23.825140000000001</v>
      </c>
      <c r="L32" s="27">
        <v>13.13204</v>
      </c>
      <c r="M32" s="27">
        <v>12.339180000000001</v>
      </c>
      <c r="N32" s="27">
        <v>12.41023</v>
      </c>
      <c r="O32" s="27">
        <v>14.00874</v>
      </c>
    </row>
    <row r="35" spans="1:15">
      <c r="A35" s="29" t="s">
        <v>184</v>
      </c>
    </row>
    <row r="36" spans="1:15">
      <c r="A36" s="26"/>
    </row>
    <row r="37" spans="1:15">
      <c r="A37" s="29"/>
      <c r="B37" s="248" t="s">
        <v>185</v>
      </c>
      <c r="C37" s="248"/>
      <c r="D37" s="248"/>
      <c r="E37" s="248"/>
      <c r="F37" s="248"/>
      <c r="G37" s="248"/>
      <c r="J37" s="248" t="s">
        <v>186</v>
      </c>
      <c r="K37" s="248"/>
      <c r="L37" s="248"/>
      <c r="M37" s="248"/>
      <c r="N37" s="248"/>
      <c r="O37" s="248"/>
    </row>
    <row r="38" spans="1:15">
      <c r="A38" s="58" t="s">
        <v>75</v>
      </c>
      <c r="B38" s="193" t="s">
        <v>144</v>
      </c>
      <c r="C38" s="193"/>
      <c r="D38" s="193"/>
      <c r="E38" s="193" t="s">
        <v>78</v>
      </c>
      <c r="F38" s="193"/>
      <c r="G38" s="193"/>
      <c r="I38" s="58" t="s">
        <v>75</v>
      </c>
      <c r="J38" s="193" t="s">
        <v>144</v>
      </c>
      <c r="K38" s="193"/>
      <c r="L38" s="193"/>
      <c r="M38" s="193" t="s">
        <v>78</v>
      </c>
      <c r="N38" s="193"/>
      <c r="O38" s="193"/>
    </row>
    <row r="39" spans="1:15">
      <c r="A39" s="27">
        <v>2000</v>
      </c>
      <c r="B39" s="27">
        <v>92.339709999999997</v>
      </c>
      <c r="C39" s="27">
        <v>94.54177</v>
      </c>
      <c r="D39" s="27">
        <v>96.468270000000004</v>
      </c>
      <c r="E39" s="27">
        <v>92.339709999999997</v>
      </c>
      <c r="F39" s="27">
        <v>92.703180000000003</v>
      </c>
      <c r="G39" s="27">
        <v>96.605850000000004</v>
      </c>
      <c r="I39" s="27">
        <v>2000</v>
      </c>
      <c r="J39" s="27">
        <v>90.409099999999995</v>
      </c>
      <c r="K39" s="27">
        <v>87.122730000000004</v>
      </c>
      <c r="L39" s="27">
        <v>82.874499999999998</v>
      </c>
      <c r="M39" s="27">
        <v>89.333169999999996</v>
      </c>
      <c r="N39" s="27">
        <v>93.698549999999997</v>
      </c>
      <c r="O39" s="27">
        <v>89.622960000000006</v>
      </c>
    </row>
    <row r="40" spans="1:15">
      <c r="A40" s="27">
        <v>666.66669999999999</v>
      </c>
      <c r="B40" s="27">
        <v>90.963530000000006</v>
      </c>
      <c r="C40" s="27">
        <v>91.926580000000001</v>
      </c>
      <c r="D40" s="27">
        <v>92.477289999999996</v>
      </c>
      <c r="E40" s="27">
        <v>88.38579</v>
      </c>
      <c r="F40" s="27">
        <v>89.537279999999996</v>
      </c>
      <c r="G40" s="27">
        <v>92.928659999999994</v>
      </c>
      <c r="I40" s="27">
        <v>666.66669999999999</v>
      </c>
      <c r="J40" s="27">
        <v>72.839659999999995</v>
      </c>
      <c r="K40" s="27">
        <v>66.035700000000006</v>
      </c>
      <c r="L40" s="27">
        <v>81.101830000000007</v>
      </c>
      <c r="M40" s="27">
        <v>77.874030000000005</v>
      </c>
      <c r="N40" s="27">
        <v>70.250020000000006</v>
      </c>
      <c r="O40" s="27">
        <v>82.291830000000004</v>
      </c>
    </row>
    <row r="41" spans="1:15">
      <c r="A41" s="27">
        <v>222.22219999999999</v>
      </c>
      <c r="B41" s="27">
        <v>84.081019999999995</v>
      </c>
      <c r="C41" s="27">
        <v>81.603009999999998</v>
      </c>
      <c r="D41" s="27">
        <v>84.081019999999995</v>
      </c>
      <c r="E41" s="27">
        <v>87.885540000000006</v>
      </c>
      <c r="F41" s="27">
        <v>86.008309999999994</v>
      </c>
      <c r="G41" s="27">
        <v>86.044970000000006</v>
      </c>
      <c r="I41" s="27">
        <v>222.22219999999999</v>
      </c>
      <c r="J41" s="27">
        <v>57.135370000000002</v>
      </c>
      <c r="K41" s="27">
        <v>69.263499999999993</v>
      </c>
      <c r="L41" s="27">
        <v>58.504179999999998</v>
      </c>
      <c r="M41" s="27">
        <v>61.731969999999997</v>
      </c>
      <c r="N41" s="27">
        <v>68.187560000000005</v>
      </c>
      <c r="O41" s="27">
        <v>54.197369999999999</v>
      </c>
    </row>
    <row r="42" spans="1:15">
      <c r="A42" s="27">
        <v>74.074070000000006</v>
      </c>
      <c r="B42" s="27">
        <v>71.689030000000002</v>
      </c>
      <c r="C42" s="27">
        <v>66.59308</v>
      </c>
      <c r="D42" s="27">
        <v>64.665000000000006</v>
      </c>
      <c r="E42" s="27">
        <v>80.501589999999993</v>
      </c>
      <c r="F42" s="27">
        <v>73.479140000000001</v>
      </c>
      <c r="G42" s="27">
        <v>73.892269999999996</v>
      </c>
      <c r="I42" s="27">
        <v>74.074070000000006</v>
      </c>
      <c r="J42" s="27">
        <v>50.969569999999997</v>
      </c>
      <c r="K42" s="27">
        <v>48.762219999999999</v>
      </c>
      <c r="L42" s="27">
        <v>59.580109999999998</v>
      </c>
      <c r="M42" s="27">
        <v>57.862929999999999</v>
      </c>
      <c r="N42" s="27">
        <v>48.817709999999998</v>
      </c>
      <c r="O42" s="27">
        <v>68.973699999999994</v>
      </c>
    </row>
    <row r="43" spans="1:15">
      <c r="A43" s="27">
        <v>24.69136</v>
      </c>
      <c r="B43" s="27">
        <v>51.71481</v>
      </c>
      <c r="C43" s="27">
        <v>53.643680000000003</v>
      </c>
      <c r="D43" s="27">
        <v>53.368130000000001</v>
      </c>
      <c r="E43" s="27">
        <v>69.898920000000004</v>
      </c>
      <c r="F43" s="27">
        <v>79.675330000000002</v>
      </c>
      <c r="G43" s="27">
        <v>71.551450000000003</v>
      </c>
      <c r="I43" s="27">
        <v>24.69136</v>
      </c>
      <c r="J43" s="27">
        <v>38.317349999999998</v>
      </c>
      <c r="K43" s="27">
        <v>36.430619999999998</v>
      </c>
      <c r="L43" s="27">
        <v>34.423650000000002</v>
      </c>
      <c r="M43" s="27">
        <v>40.934739999999998</v>
      </c>
      <c r="N43" s="27">
        <v>34.130780000000001</v>
      </c>
      <c r="O43" s="27">
        <v>45.586829999999999</v>
      </c>
    </row>
    <row r="44" spans="1:15">
      <c r="A44" s="27">
        <v>8.2304530000000007</v>
      </c>
      <c r="B44" s="27">
        <v>46.25658</v>
      </c>
      <c r="C44" s="27">
        <v>39.586550000000003</v>
      </c>
      <c r="D44" s="27">
        <v>40.936720000000001</v>
      </c>
      <c r="E44" s="27">
        <v>57.088290000000001</v>
      </c>
      <c r="F44" s="27">
        <v>65.078130000000002</v>
      </c>
      <c r="G44" s="27">
        <v>55.848100000000002</v>
      </c>
      <c r="I44" s="27">
        <v>8.2304530000000007</v>
      </c>
      <c r="J44" s="27">
        <v>26.65166</v>
      </c>
      <c r="K44" s="27">
        <v>26.596170000000001</v>
      </c>
      <c r="L44" s="27">
        <v>28.75112</v>
      </c>
      <c r="M44" s="27">
        <v>29.82705</v>
      </c>
      <c r="N44" s="27">
        <v>27.675190000000001</v>
      </c>
      <c r="O44" s="27">
        <v>34.130780000000001</v>
      </c>
    </row>
    <row r="45" spans="1:15">
      <c r="A45" s="27">
        <v>2.743484</v>
      </c>
      <c r="B45" s="27">
        <v>16.282050000000002</v>
      </c>
      <c r="C45" s="27">
        <v>26.764089999999999</v>
      </c>
      <c r="D45" s="27">
        <v>33.382869999999997</v>
      </c>
      <c r="E45" s="27">
        <v>47.718310000000002</v>
      </c>
      <c r="F45" s="27">
        <v>50.75018</v>
      </c>
      <c r="G45" s="27">
        <v>36.967030000000001</v>
      </c>
      <c r="I45" s="27">
        <v>2.743484</v>
      </c>
      <c r="J45" s="27">
        <v>16.126650000000001</v>
      </c>
      <c r="K45" s="27">
        <v>22.292439999999999</v>
      </c>
      <c r="L45" s="27">
        <v>8.3022500000000008</v>
      </c>
      <c r="M45" s="27">
        <v>18.426490000000001</v>
      </c>
      <c r="N45" s="27">
        <v>19.35444</v>
      </c>
      <c r="O45" s="27">
        <v>16.327030000000001</v>
      </c>
    </row>
    <row r="46" spans="1:15">
      <c r="A46" s="27">
        <v>0.91449499999999995</v>
      </c>
      <c r="B46" s="27">
        <v>10.061809999999999</v>
      </c>
      <c r="C46" s="27">
        <v>13.109450000000001</v>
      </c>
      <c r="D46" s="27">
        <v>14.93779</v>
      </c>
      <c r="E46" s="27">
        <v>30.900929999999999</v>
      </c>
      <c r="F46" s="27">
        <v>35.174950000000003</v>
      </c>
      <c r="G46" s="27">
        <v>29.626049999999999</v>
      </c>
      <c r="I46" s="27">
        <v>0.91449499999999995</v>
      </c>
      <c r="J46" s="27">
        <v>16.271540000000002</v>
      </c>
      <c r="K46" s="27">
        <v>9.8683599999999991</v>
      </c>
      <c r="L46" s="27">
        <v>4.8154899999999996</v>
      </c>
      <c r="M46" s="27">
        <v>10.105740000000001</v>
      </c>
      <c r="N46" s="27">
        <v>7.9538799999999998</v>
      </c>
      <c r="O46" s="27">
        <v>5.3087499999999999</v>
      </c>
    </row>
    <row r="47" spans="1:15">
      <c r="A47" s="27">
        <v>0.30483199999999999</v>
      </c>
      <c r="B47" s="27">
        <v>6.1110410000000002</v>
      </c>
      <c r="C47" s="27">
        <v>0.55307600000000001</v>
      </c>
      <c r="D47" s="27">
        <v>1.7952319999999999</v>
      </c>
      <c r="E47" s="27">
        <v>24.419720000000002</v>
      </c>
      <c r="F47" s="27">
        <v>18.234179999999999</v>
      </c>
      <c r="G47" s="27">
        <v>18.35126</v>
      </c>
      <c r="I47" s="27">
        <v>0.30483199999999999</v>
      </c>
      <c r="J47" s="27">
        <v>6.6405599999999998</v>
      </c>
      <c r="K47" s="27">
        <v>6.1473000000000004</v>
      </c>
      <c r="L47" s="27">
        <v>10.83639</v>
      </c>
      <c r="M47" s="27">
        <v>5.3087499999999999</v>
      </c>
      <c r="N47" s="27">
        <v>9.3781800000000004</v>
      </c>
      <c r="O47" s="27">
        <v>3.15381</v>
      </c>
    </row>
    <row r="48" spans="1:15">
      <c r="A48" s="27">
        <v>0.10161100000000001</v>
      </c>
      <c r="B48" s="27">
        <v>6.4867229999999996</v>
      </c>
      <c r="C48" s="27">
        <v>-2.7594699999999999</v>
      </c>
      <c r="D48" s="27">
        <v>13.385400000000001</v>
      </c>
      <c r="E48" s="27">
        <v>22.76483</v>
      </c>
      <c r="F48" s="27">
        <v>21.52346</v>
      </c>
      <c r="G48" s="27">
        <v>24.833639999999999</v>
      </c>
      <c r="I48" s="27">
        <v>0.10161100000000001</v>
      </c>
      <c r="J48" s="27">
        <v>1.7880799999999999</v>
      </c>
      <c r="K48" s="27">
        <v>0.71214999999999995</v>
      </c>
      <c r="L48" s="27">
        <v>5.8020199999999997</v>
      </c>
      <c r="M48" s="27">
        <v>13.68191</v>
      </c>
      <c r="N48" s="27">
        <v>2.5156499999999999</v>
      </c>
      <c r="O48" s="27">
        <v>6.7299699999999998</v>
      </c>
    </row>
    <row r="52" spans="1:20" s="54" customFormat="1">
      <c r="A52" s="53" t="s">
        <v>187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s="54" customFormat="1">
      <c r="A53" s="53" t="s">
        <v>60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s="55" customFormat="1">
      <c r="A54" s="3"/>
      <c r="B54" s="231" t="s">
        <v>188</v>
      </c>
      <c r="C54" s="231"/>
      <c r="D54" s="231"/>
      <c r="E54" s="231"/>
      <c r="F54" s="4"/>
      <c r="G54" s="231" t="s">
        <v>185</v>
      </c>
      <c r="H54" s="231"/>
      <c r="I54" s="231"/>
      <c r="J54" s="231"/>
      <c r="K54" s="4"/>
      <c r="L54" s="231" t="s">
        <v>189</v>
      </c>
      <c r="M54" s="231"/>
      <c r="N54" s="231"/>
      <c r="O54" s="231"/>
      <c r="P54" s="4"/>
      <c r="Q54" s="231" t="s">
        <v>186</v>
      </c>
      <c r="R54" s="231"/>
      <c r="S54" s="231"/>
      <c r="T54" s="231"/>
    </row>
    <row r="55" spans="1:20" s="56" customFormat="1" ht="14">
      <c r="A55" s="4" t="s">
        <v>92</v>
      </c>
      <c r="B55" s="4" t="s">
        <v>93</v>
      </c>
      <c r="C55" s="4" t="s">
        <v>94</v>
      </c>
      <c r="D55" s="4" t="s">
        <v>93</v>
      </c>
      <c r="E55" s="4" t="s">
        <v>94</v>
      </c>
      <c r="F55" s="4"/>
      <c r="G55" s="4" t="s">
        <v>93</v>
      </c>
      <c r="H55" s="4" t="s">
        <v>94</v>
      </c>
      <c r="I55" s="4" t="s">
        <v>93</v>
      </c>
      <c r="J55" s="4" t="s">
        <v>94</v>
      </c>
      <c r="K55" s="4"/>
      <c r="L55" s="4" t="s">
        <v>93</v>
      </c>
      <c r="M55" s="4" t="s">
        <v>94</v>
      </c>
      <c r="N55" s="4" t="s">
        <v>93</v>
      </c>
      <c r="O55" s="4" t="s">
        <v>94</v>
      </c>
      <c r="P55" s="4"/>
      <c r="Q55" s="4" t="s">
        <v>93</v>
      </c>
      <c r="R55" s="4" t="s">
        <v>94</v>
      </c>
      <c r="S55" s="4" t="s">
        <v>93</v>
      </c>
      <c r="T55" s="4" t="s">
        <v>94</v>
      </c>
    </row>
    <row r="56" spans="1:20" s="56" customFormat="1" ht="14">
      <c r="A56" s="4" t="s">
        <v>63</v>
      </c>
      <c r="B56" s="231" t="s">
        <v>65</v>
      </c>
      <c r="C56" s="231"/>
      <c r="D56" s="231" t="s">
        <v>66</v>
      </c>
      <c r="E56" s="231"/>
      <c r="F56" s="4"/>
      <c r="G56" s="231" t="s">
        <v>65</v>
      </c>
      <c r="H56" s="231"/>
      <c r="I56" s="231" t="s">
        <v>66</v>
      </c>
      <c r="J56" s="231"/>
      <c r="K56" s="4"/>
      <c r="L56" s="231" t="s">
        <v>65</v>
      </c>
      <c r="M56" s="231"/>
      <c r="N56" s="231" t="s">
        <v>66</v>
      </c>
      <c r="O56" s="231"/>
      <c r="P56" s="4"/>
      <c r="Q56" s="231" t="s">
        <v>65</v>
      </c>
      <c r="R56" s="231"/>
      <c r="S56" s="231" t="s">
        <v>66</v>
      </c>
      <c r="T56" s="231"/>
    </row>
    <row r="57" spans="1:20" s="57" customFormat="1" ht="14">
      <c r="A57" s="60" t="s">
        <v>168</v>
      </c>
      <c r="B57" s="61">
        <v>0.208425</v>
      </c>
      <c r="C57" s="61">
        <v>0.733796</v>
      </c>
      <c r="D57" s="61">
        <v>1.153467</v>
      </c>
      <c r="E57" s="61">
        <v>1.644072</v>
      </c>
      <c r="F57" s="61"/>
      <c r="G57" s="61">
        <v>0.54220800000000002</v>
      </c>
      <c r="H57" s="61">
        <v>0.60071399999999997</v>
      </c>
      <c r="I57" s="61">
        <v>1.7105399999999999</v>
      </c>
      <c r="J57" s="61">
        <v>1.751112</v>
      </c>
      <c r="K57" s="61"/>
      <c r="L57" s="61">
        <v>0.120638</v>
      </c>
      <c r="M57" s="61">
        <v>0.66641700000000004</v>
      </c>
      <c r="N57" s="61">
        <v>0.13646800000000001</v>
      </c>
      <c r="O57" s="61">
        <v>0.70093499999999997</v>
      </c>
      <c r="P57" s="61"/>
      <c r="Q57" s="61">
        <v>1.0446150000000001</v>
      </c>
      <c r="R57" s="61">
        <v>1.46753</v>
      </c>
      <c r="S57" s="61">
        <v>1.0205280000000001</v>
      </c>
      <c r="T57" s="61">
        <v>1.3858900000000001</v>
      </c>
    </row>
    <row r="58" spans="1:20" s="56" customFormat="1" ht="13" customHeight="1">
      <c r="A58" s="4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</row>
    <row r="59" spans="1:20" s="56" customFormat="1" ht="15" customHeight="1">
      <c r="A59" s="4" t="s">
        <v>190</v>
      </c>
      <c r="B59" s="27">
        <v>1.1910000000000001</v>
      </c>
      <c r="C59" s="27">
        <v>1.022</v>
      </c>
      <c r="D59" s="27">
        <v>1.071</v>
      </c>
      <c r="E59" s="27">
        <v>1.123</v>
      </c>
      <c r="F59" s="27"/>
      <c r="G59" s="27">
        <v>1.4119999999999999</v>
      </c>
      <c r="H59" s="27">
        <v>1.4510000000000001</v>
      </c>
      <c r="I59" s="27">
        <v>1.462</v>
      </c>
      <c r="J59" s="27">
        <v>1.452</v>
      </c>
      <c r="K59" s="27"/>
      <c r="L59" s="27">
        <v>1.2310000000000001</v>
      </c>
      <c r="M59" s="27">
        <v>1.2410000000000001</v>
      </c>
      <c r="N59" s="27">
        <v>1.252</v>
      </c>
      <c r="O59" s="27">
        <v>1.2450000000000001</v>
      </c>
      <c r="P59" s="27"/>
      <c r="Q59" s="27">
        <v>1.4610000000000001</v>
      </c>
      <c r="R59" s="27">
        <v>1.4530000000000001</v>
      </c>
      <c r="S59" s="27">
        <v>1.492</v>
      </c>
      <c r="T59" s="27">
        <v>1.4650000000000001</v>
      </c>
    </row>
    <row r="60" spans="1:20" s="56" customFormat="1" ht="14">
      <c r="A60" s="4" t="s">
        <v>191</v>
      </c>
      <c r="B60" s="27">
        <v>0.17499999999999999</v>
      </c>
      <c r="C60" s="27">
        <v>0.71799999999999997</v>
      </c>
      <c r="D60" s="27">
        <v>1.077</v>
      </c>
      <c r="E60" s="27">
        <v>1.464</v>
      </c>
      <c r="F60" s="27"/>
      <c r="G60" s="27">
        <v>0.38400000000000001</v>
      </c>
      <c r="H60" s="27">
        <v>0.41399999999999998</v>
      </c>
      <c r="I60" s="27">
        <v>1.17</v>
      </c>
      <c r="J60" s="27">
        <v>1.206</v>
      </c>
      <c r="K60" s="27"/>
      <c r="L60" s="27">
        <v>9.8000000000000004E-2</v>
      </c>
      <c r="M60" s="27">
        <v>0.53700000000000003</v>
      </c>
      <c r="N60" s="27">
        <v>0.109</v>
      </c>
      <c r="O60" s="27">
        <v>0.56299999999999994</v>
      </c>
      <c r="P60" s="27"/>
      <c r="Q60" s="27">
        <v>0.71499999999999997</v>
      </c>
      <c r="R60" s="27">
        <v>1.01</v>
      </c>
      <c r="S60" s="27">
        <v>0.68400000000000005</v>
      </c>
      <c r="T60" s="27">
        <v>0.94599999999999995</v>
      </c>
    </row>
    <row r="63" spans="1:20">
      <c r="C63" s="28"/>
    </row>
  </sheetData>
  <mergeCells count="37">
    <mergeCell ref="B54:E54"/>
    <mergeCell ref="G54:J54"/>
    <mergeCell ref="L54:O54"/>
    <mergeCell ref="Q54:T54"/>
    <mergeCell ref="B56:C56"/>
    <mergeCell ref="D56:E56"/>
    <mergeCell ref="G56:H56"/>
    <mergeCell ref="I56:J56"/>
    <mergeCell ref="L56:M56"/>
    <mergeCell ref="N56:O56"/>
    <mergeCell ref="Q56:R56"/>
    <mergeCell ref="S56:T56"/>
    <mergeCell ref="B37:G37"/>
    <mergeCell ref="J37:O37"/>
    <mergeCell ref="B38:D38"/>
    <mergeCell ref="E38:G38"/>
    <mergeCell ref="J38:L38"/>
    <mergeCell ref="M38:O38"/>
    <mergeCell ref="B21:G21"/>
    <mergeCell ref="J21:O21"/>
    <mergeCell ref="R21:W21"/>
    <mergeCell ref="B22:D22"/>
    <mergeCell ref="E22:G22"/>
    <mergeCell ref="J22:L22"/>
    <mergeCell ref="M22:O22"/>
    <mergeCell ref="R22:T22"/>
    <mergeCell ref="U22:W22"/>
    <mergeCell ref="B3:G3"/>
    <mergeCell ref="J3:O3"/>
    <mergeCell ref="R3:W3"/>
    <mergeCell ref="Z3:AE3"/>
    <mergeCell ref="B4:D4"/>
    <mergeCell ref="E4:G4"/>
    <mergeCell ref="J4:L4"/>
    <mergeCell ref="M4:O4"/>
    <mergeCell ref="R4:T4"/>
    <mergeCell ref="U4:W4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9"/>
  <sheetViews>
    <sheetView topLeftCell="A9" zoomScale="70" zoomScaleNormal="70" workbookViewId="0">
      <selection activeCell="S34" sqref="S34:U34"/>
    </sheetView>
  </sheetViews>
  <sheetFormatPr defaultColWidth="9" defaultRowHeight="14.5"/>
  <cols>
    <col min="1" max="1" width="10.36328125" customWidth="1"/>
    <col min="11" max="16" width="12.6328125"/>
    <col min="19" max="24" width="12.6328125"/>
  </cols>
  <sheetData>
    <row r="1" spans="1:16">
      <c r="A1" s="29" t="s">
        <v>192</v>
      </c>
    </row>
    <row r="2" spans="1:16">
      <c r="B2" s="249" t="s">
        <v>193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</row>
    <row r="3" spans="1:16">
      <c r="A3" s="10" t="s">
        <v>150</v>
      </c>
      <c r="B3" s="193" t="s">
        <v>194</v>
      </c>
      <c r="C3" s="193"/>
      <c r="D3" s="193"/>
      <c r="E3" s="193" t="s">
        <v>195</v>
      </c>
      <c r="F3" s="193"/>
      <c r="G3" s="193"/>
      <c r="H3" s="193" t="s">
        <v>196</v>
      </c>
      <c r="I3" s="193"/>
      <c r="J3" s="193"/>
      <c r="K3" s="193" t="s">
        <v>197</v>
      </c>
      <c r="L3" s="193"/>
      <c r="M3" s="193"/>
      <c r="N3" s="193" t="s">
        <v>198</v>
      </c>
      <c r="O3" s="193"/>
      <c r="P3" s="193"/>
    </row>
    <row r="4" spans="1:16">
      <c r="A4" s="27">
        <v>30</v>
      </c>
      <c r="B4" s="47">
        <v>1.1604000000000001</v>
      </c>
      <c r="C4" s="47">
        <v>1.1660999999999999</v>
      </c>
      <c r="D4" s="47">
        <v>1.1171</v>
      </c>
      <c r="E4" s="47">
        <v>1.1214</v>
      </c>
      <c r="F4" s="47">
        <v>1.1261000000000001</v>
      </c>
      <c r="G4" s="47">
        <v>1.1588000000000001</v>
      </c>
      <c r="H4" s="47">
        <v>1.1307</v>
      </c>
      <c r="I4" s="47">
        <v>1.1498999999999999</v>
      </c>
      <c r="J4" s="47">
        <v>1.1603000000000001</v>
      </c>
      <c r="K4" s="47">
        <v>1.1696</v>
      </c>
      <c r="L4" s="47">
        <v>1.1692</v>
      </c>
      <c r="M4" s="47">
        <v>1.1875</v>
      </c>
      <c r="N4" s="47">
        <v>1.1592</v>
      </c>
      <c r="O4" s="47">
        <v>1.1399999999999999</v>
      </c>
      <c r="P4" s="47">
        <v>1.1787000000000001</v>
      </c>
    </row>
    <row r="5" spans="1:16">
      <c r="A5" s="27">
        <v>10</v>
      </c>
      <c r="B5" s="47">
        <v>1.2001999999999999</v>
      </c>
      <c r="C5" s="47">
        <v>1.1136999999999999</v>
      </c>
      <c r="D5" s="47">
        <v>1.1040000000000001</v>
      </c>
      <c r="E5" s="47">
        <v>1.1657999999999999</v>
      </c>
      <c r="F5" s="47">
        <v>1.1385000000000001</v>
      </c>
      <c r="G5" s="47">
        <v>1.1299999999999999</v>
      </c>
      <c r="H5" s="47">
        <v>1.1344000000000001</v>
      </c>
      <c r="I5" s="47">
        <v>1.1456999999999999</v>
      </c>
      <c r="J5" s="47">
        <v>1.1051</v>
      </c>
      <c r="K5" s="47">
        <v>1.1918</v>
      </c>
      <c r="L5" s="47">
        <v>1.1472</v>
      </c>
      <c r="M5" s="47">
        <v>1.2017</v>
      </c>
      <c r="N5" s="47">
        <v>1.1798</v>
      </c>
      <c r="O5" s="47">
        <v>1.1676</v>
      </c>
      <c r="P5" s="47">
        <v>1.1855</v>
      </c>
    </row>
    <row r="6" spans="1:16">
      <c r="A6" s="27">
        <v>3.3333330000000001</v>
      </c>
      <c r="B6" s="47">
        <v>1.1914</v>
      </c>
      <c r="C6" s="47">
        <v>1.1762999999999999</v>
      </c>
      <c r="D6" s="47">
        <v>1.1092</v>
      </c>
      <c r="E6" s="47">
        <v>1.135</v>
      </c>
      <c r="F6" s="47">
        <v>1.1556</v>
      </c>
      <c r="G6" s="47">
        <v>1.1262000000000001</v>
      </c>
      <c r="H6" s="47">
        <v>1.1802999999999999</v>
      </c>
      <c r="I6" s="47">
        <v>1.1604000000000001</v>
      </c>
      <c r="J6" s="47">
        <v>1.1892</v>
      </c>
      <c r="K6" s="47">
        <v>1.2375</v>
      </c>
      <c r="L6" s="47">
        <v>1.1689000000000001</v>
      </c>
      <c r="M6" s="47">
        <v>1.2108000000000001</v>
      </c>
      <c r="N6" s="47">
        <v>1.1564000000000001</v>
      </c>
      <c r="O6" s="47">
        <v>1.1651</v>
      </c>
      <c r="P6" s="47">
        <v>1.2161</v>
      </c>
    </row>
    <row r="7" spans="1:16">
      <c r="A7" s="27">
        <v>1.111111</v>
      </c>
      <c r="B7" s="47">
        <v>1.1920999999999999</v>
      </c>
      <c r="C7" s="47">
        <v>1.097</v>
      </c>
      <c r="D7" s="47">
        <v>1.1053999999999999</v>
      </c>
      <c r="E7" s="47">
        <v>1.1403000000000001</v>
      </c>
      <c r="F7" s="47">
        <v>1.1012</v>
      </c>
      <c r="G7" s="47">
        <v>1.0741000000000001</v>
      </c>
      <c r="H7" s="47">
        <v>1.1162000000000001</v>
      </c>
      <c r="I7" s="47">
        <v>1.0887</v>
      </c>
      <c r="J7" s="47">
        <v>1.1496999999999999</v>
      </c>
      <c r="K7" s="47">
        <v>1.1465000000000001</v>
      </c>
      <c r="L7" s="47">
        <v>1.1265000000000001</v>
      </c>
      <c r="M7" s="47">
        <v>1.1485000000000001</v>
      </c>
      <c r="N7" s="47">
        <v>1.1366000000000001</v>
      </c>
      <c r="O7" s="47">
        <v>1.1540999999999999</v>
      </c>
      <c r="P7" s="47">
        <v>1.1419999999999999</v>
      </c>
    </row>
    <row r="8" spans="1:16">
      <c r="A8" s="27">
        <v>0.37036999999999998</v>
      </c>
      <c r="B8" s="47">
        <v>1.1002000000000001</v>
      </c>
      <c r="C8" s="47">
        <v>1.0489999999999999</v>
      </c>
      <c r="D8" s="47">
        <v>1.085</v>
      </c>
      <c r="E8" s="47">
        <v>1.0403</v>
      </c>
      <c r="F8" s="47">
        <v>1.1202000000000001</v>
      </c>
      <c r="G8" s="47">
        <v>1.0801000000000001</v>
      </c>
      <c r="H8" s="47">
        <v>1.0899000000000001</v>
      </c>
      <c r="I8" s="47">
        <v>1.0353000000000001</v>
      </c>
      <c r="J8" s="47">
        <v>1.0831999999999999</v>
      </c>
      <c r="K8" s="47">
        <v>1.0909</v>
      </c>
      <c r="L8" s="47">
        <v>1.0794999999999999</v>
      </c>
      <c r="M8" s="47">
        <v>1.1151</v>
      </c>
      <c r="N8" s="47">
        <v>1.1000000000000001</v>
      </c>
      <c r="O8" s="47">
        <v>1.0609999999999999</v>
      </c>
      <c r="P8" s="47">
        <v>1.1052999999999999</v>
      </c>
    </row>
    <row r="9" spans="1:16">
      <c r="A9" s="27">
        <v>0.123457</v>
      </c>
      <c r="B9" s="47">
        <v>0.96619999999999995</v>
      </c>
      <c r="C9" s="47">
        <v>1.0355000000000001</v>
      </c>
      <c r="D9" s="47">
        <v>1.0039</v>
      </c>
      <c r="E9" s="47">
        <v>1.0086999999999999</v>
      </c>
      <c r="F9" s="47">
        <v>1.0029999999999999</v>
      </c>
      <c r="G9" s="47">
        <v>0.99180000000000001</v>
      </c>
      <c r="H9" s="47">
        <v>0.98350000000000004</v>
      </c>
      <c r="I9" s="47">
        <v>0.94920000000000004</v>
      </c>
      <c r="J9" s="47">
        <v>1.0053000000000001</v>
      </c>
      <c r="K9" s="47">
        <v>0.98519999999999996</v>
      </c>
      <c r="L9" s="47">
        <v>0.93889999999999996</v>
      </c>
      <c r="M9" s="47">
        <v>0.94689999999999996</v>
      </c>
      <c r="N9" s="47">
        <v>0.999</v>
      </c>
      <c r="O9" s="47">
        <v>0.97629999999999995</v>
      </c>
      <c r="P9" s="47">
        <v>0.97150000000000003</v>
      </c>
    </row>
    <row r="10" spans="1:16">
      <c r="A10" s="27">
        <v>4.1152000000000001E-2</v>
      </c>
      <c r="B10" s="47">
        <v>0.87319999999999998</v>
      </c>
      <c r="C10" s="47">
        <v>0.82609999999999995</v>
      </c>
      <c r="D10" s="47">
        <v>0.83720000000000006</v>
      </c>
      <c r="E10" s="47">
        <v>0.80989999999999995</v>
      </c>
      <c r="F10" s="47">
        <v>0.81459999999999999</v>
      </c>
      <c r="G10" s="47">
        <v>0.80830000000000002</v>
      </c>
      <c r="H10" s="47">
        <v>0.76239999999999997</v>
      </c>
      <c r="I10" s="47">
        <v>0.74660000000000004</v>
      </c>
      <c r="J10" s="47">
        <v>0.79059999999999997</v>
      </c>
      <c r="K10" s="47">
        <v>0.75460000000000005</v>
      </c>
      <c r="L10" s="47">
        <v>0.76870000000000005</v>
      </c>
      <c r="M10" s="47">
        <v>0.76</v>
      </c>
      <c r="N10" s="47">
        <v>0.82520000000000004</v>
      </c>
      <c r="O10" s="47">
        <v>0.79800000000000004</v>
      </c>
      <c r="P10" s="47">
        <v>0.78359999999999996</v>
      </c>
    </row>
    <row r="11" spans="1:16">
      <c r="A11" s="27">
        <v>1.3717E-2</v>
      </c>
      <c r="B11" s="47">
        <v>0.5403</v>
      </c>
      <c r="C11" s="47">
        <v>0.54610000000000003</v>
      </c>
      <c r="D11" s="47">
        <v>0.55020000000000002</v>
      </c>
      <c r="E11" s="47">
        <v>0.57050000000000001</v>
      </c>
      <c r="F11" s="47">
        <v>0.55479999999999996</v>
      </c>
      <c r="G11" s="47">
        <v>0.5171</v>
      </c>
      <c r="H11" s="47">
        <v>0.5101</v>
      </c>
      <c r="I11" s="47">
        <v>0.47120000000000001</v>
      </c>
      <c r="J11" s="47">
        <v>0.49869999999999998</v>
      </c>
      <c r="K11" s="47">
        <v>0.44600000000000001</v>
      </c>
      <c r="L11" s="47">
        <v>0.45</v>
      </c>
      <c r="M11" s="47">
        <v>0.46389999999999998</v>
      </c>
      <c r="N11" s="47">
        <v>0.5514</v>
      </c>
      <c r="O11" s="47">
        <v>0.5262</v>
      </c>
      <c r="P11" s="47">
        <v>0.53639999999999999</v>
      </c>
    </row>
    <row r="12" spans="1:16">
      <c r="A12" s="27">
        <v>4.5719999999999997E-3</v>
      </c>
      <c r="B12" s="47">
        <v>0.28260000000000002</v>
      </c>
      <c r="C12" s="47">
        <v>0.2898</v>
      </c>
      <c r="D12" s="47">
        <v>0.30509999999999998</v>
      </c>
      <c r="E12" s="47">
        <v>0.28489999999999999</v>
      </c>
      <c r="F12" s="47">
        <v>0.2888</v>
      </c>
      <c r="G12" s="47">
        <v>0.29039999999999999</v>
      </c>
      <c r="H12" s="47">
        <v>0.26069999999999999</v>
      </c>
      <c r="I12" s="47">
        <v>0.24340000000000001</v>
      </c>
      <c r="J12" s="47">
        <v>0.23930000000000001</v>
      </c>
      <c r="K12" s="47">
        <v>0.21049999999999999</v>
      </c>
      <c r="L12" s="47">
        <v>0.2218</v>
      </c>
      <c r="M12" s="47">
        <v>0.2185</v>
      </c>
      <c r="N12" s="47">
        <v>0.31409999999999999</v>
      </c>
      <c r="O12" s="47">
        <v>0.3175</v>
      </c>
      <c r="P12" s="47">
        <v>0.31140000000000001</v>
      </c>
    </row>
    <row r="13" spans="1:16">
      <c r="A13" s="27">
        <v>1.524E-3</v>
      </c>
      <c r="B13" s="47">
        <v>0.13170000000000001</v>
      </c>
      <c r="C13" s="47">
        <v>0.13689999999999999</v>
      </c>
      <c r="D13" s="47">
        <v>0.1268</v>
      </c>
      <c r="E13" s="47">
        <v>0.1414</v>
      </c>
      <c r="F13" s="47">
        <v>0.13100000000000001</v>
      </c>
      <c r="G13" s="47">
        <v>0.14330000000000001</v>
      </c>
      <c r="H13" s="47">
        <v>0.122</v>
      </c>
      <c r="I13" s="47">
        <v>0.1205</v>
      </c>
      <c r="J13" s="47">
        <v>0.12570000000000001</v>
      </c>
      <c r="K13" s="47">
        <v>9.74E-2</v>
      </c>
      <c r="L13" s="47">
        <v>9.8699999999999996E-2</v>
      </c>
      <c r="M13" s="47">
        <v>0.1171</v>
      </c>
      <c r="N13" s="47">
        <v>0.16669999999999999</v>
      </c>
      <c r="O13" s="47">
        <v>0.17599999999999999</v>
      </c>
      <c r="P13" s="47">
        <v>0.17460000000000001</v>
      </c>
    </row>
    <row r="14" spans="1:16">
      <c r="A14" s="27">
        <v>5.0799999999999999E-4</v>
      </c>
      <c r="B14" s="47">
        <v>7.85E-2</v>
      </c>
      <c r="C14" s="47">
        <v>0.1024</v>
      </c>
      <c r="D14" s="47">
        <v>6.5699999999999995E-2</v>
      </c>
      <c r="E14" s="47">
        <v>6.7299999999999999E-2</v>
      </c>
      <c r="F14" s="47">
        <v>6.7199999999999996E-2</v>
      </c>
      <c r="G14" s="47">
        <v>6.8400000000000002E-2</v>
      </c>
      <c r="H14" s="47">
        <v>6.7299999999999999E-2</v>
      </c>
      <c r="I14" s="47">
        <v>6.3600000000000004E-2</v>
      </c>
      <c r="J14" s="47">
        <v>6.4500000000000002E-2</v>
      </c>
      <c r="K14" s="47">
        <v>5.8599999999999999E-2</v>
      </c>
      <c r="L14" s="47">
        <v>5.9799999999999999E-2</v>
      </c>
      <c r="M14" s="47">
        <v>5.8500000000000003E-2</v>
      </c>
      <c r="N14" s="47">
        <v>8.3900000000000002E-2</v>
      </c>
      <c r="O14" s="47">
        <v>8.7599999999999997E-2</v>
      </c>
      <c r="P14" s="47">
        <v>9.2299999999999993E-2</v>
      </c>
    </row>
    <row r="15" spans="1:16">
      <c r="A15" s="27">
        <v>1.6899999999999999E-4</v>
      </c>
      <c r="B15" s="47">
        <v>5.2999999999999999E-2</v>
      </c>
      <c r="C15" s="47">
        <v>5.2999999999999999E-2</v>
      </c>
      <c r="D15" s="47">
        <v>5.1999999999999998E-2</v>
      </c>
      <c r="E15" s="47">
        <v>5.2200000000000003E-2</v>
      </c>
      <c r="F15" s="47">
        <v>7.6899999999999996E-2</v>
      </c>
      <c r="G15" s="47">
        <v>7.9100000000000004E-2</v>
      </c>
      <c r="H15" s="47">
        <v>7.0499999999999993E-2</v>
      </c>
      <c r="I15" s="47">
        <v>5.21E-2</v>
      </c>
      <c r="J15" s="47">
        <v>5.2299999999999999E-2</v>
      </c>
      <c r="K15" s="47">
        <v>5.2299999999999999E-2</v>
      </c>
      <c r="L15" s="47">
        <v>5.1999999999999998E-2</v>
      </c>
      <c r="M15" s="47">
        <v>5.3400000000000003E-2</v>
      </c>
      <c r="N15" s="47">
        <v>6.0699999999999997E-2</v>
      </c>
      <c r="O15" s="47">
        <v>6.25E-2</v>
      </c>
      <c r="P15" s="47">
        <v>6.7900000000000002E-2</v>
      </c>
    </row>
    <row r="17" spans="1:24">
      <c r="B17" s="249" t="s">
        <v>199</v>
      </c>
      <c r="C17" s="249"/>
      <c r="D17" s="249"/>
      <c r="E17" s="249"/>
      <c r="F17" s="249"/>
      <c r="G17" s="249"/>
      <c r="H17" s="249"/>
      <c r="I17" s="249"/>
      <c r="J17" s="249"/>
      <c r="K17" s="249"/>
      <c r="L17" s="249"/>
      <c r="M17" s="249"/>
      <c r="N17" s="249"/>
      <c r="O17" s="249"/>
      <c r="P17" s="249"/>
    </row>
    <row r="18" spans="1:24">
      <c r="A18" s="10" t="s">
        <v>150</v>
      </c>
      <c r="B18" s="193" t="s">
        <v>194</v>
      </c>
      <c r="C18" s="193"/>
      <c r="D18" s="193"/>
      <c r="E18" s="193" t="s">
        <v>195</v>
      </c>
      <c r="F18" s="193"/>
      <c r="G18" s="193"/>
      <c r="H18" s="193" t="s">
        <v>196</v>
      </c>
      <c r="I18" s="193"/>
      <c r="J18" s="193"/>
      <c r="K18" s="193" t="s">
        <v>197</v>
      </c>
      <c r="L18" s="193"/>
      <c r="M18" s="193"/>
      <c r="N18" s="193" t="s">
        <v>198</v>
      </c>
      <c r="O18" s="193"/>
      <c r="P18" s="193"/>
      <c r="Q18" s="10"/>
    </row>
    <row r="19" spans="1:24">
      <c r="A19" s="27">
        <v>30</v>
      </c>
      <c r="B19" s="48">
        <v>1.6813</v>
      </c>
      <c r="C19" s="48">
        <v>1.6308</v>
      </c>
      <c r="D19" s="48">
        <v>1.5893999999999999</v>
      </c>
      <c r="E19" s="48">
        <v>1.6022000000000001</v>
      </c>
      <c r="F19" s="48">
        <v>1.6242000000000001</v>
      </c>
      <c r="G19" s="48">
        <v>1.6269</v>
      </c>
      <c r="H19" s="48">
        <v>1.641</v>
      </c>
      <c r="I19" s="48">
        <v>1.6382000000000001</v>
      </c>
      <c r="J19" s="48">
        <v>1.6651</v>
      </c>
      <c r="K19" s="48">
        <v>1.6493</v>
      </c>
      <c r="L19" s="48">
        <v>1.6087</v>
      </c>
      <c r="M19" s="48">
        <v>1.6093</v>
      </c>
      <c r="N19" s="48">
        <v>1.6574</v>
      </c>
      <c r="O19" s="48">
        <v>1.6316999999999999</v>
      </c>
      <c r="P19" s="48">
        <v>1.6487000000000001</v>
      </c>
      <c r="Q19" s="27"/>
    </row>
    <row r="20" spans="1:24">
      <c r="A20" s="27">
        <v>10</v>
      </c>
      <c r="B20" s="48">
        <v>1.6407</v>
      </c>
      <c r="C20" s="48">
        <v>1.5632999999999999</v>
      </c>
      <c r="D20" s="48">
        <v>1.5303</v>
      </c>
      <c r="E20" s="48">
        <v>1.5705</v>
      </c>
      <c r="F20" s="48">
        <v>1.5205</v>
      </c>
      <c r="G20" s="48">
        <v>1.5843</v>
      </c>
      <c r="H20" s="48">
        <v>1.6125</v>
      </c>
      <c r="I20" s="48">
        <v>1.5807</v>
      </c>
      <c r="J20" s="48">
        <v>1.5945</v>
      </c>
      <c r="K20" s="48">
        <v>1.5807</v>
      </c>
      <c r="L20" s="48">
        <v>1.5779000000000001</v>
      </c>
      <c r="M20" s="48">
        <v>1.5738000000000001</v>
      </c>
      <c r="N20" s="48">
        <v>1.6164000000000001</v>
      </c>
      <c r="O20" s="48">
        <v>1.5965</v>
      </c>
      <c r="P20" s="48">
        <v>1.5598000000000001</v>
      </c>
      <c r="Q20" s="27"/>
    </row>
    <row r="21" spans="1:24">
      <c r="A21" s="27">
        <v>3.3333330000000001</v>
      </c>
      <c r="B21" s="48">
        <v>1.6071</v>
      </c>
      <c r="C21" s="48">
        <v>1.5806</v>
      </c>
      <c r="D21" s="48">
        <v>1.5373000000000001</v>
      </c>
      <c r="E21" s="48">
        <v>1.5192000000000001</v>
      </c>
      <c r="F21" s="48">
        <v>1.5085999999999999</v>
      </c>
      <c r="G21" s="48">
        <v>1.5504</v>
      </c>
      <c r="H21" s="48">
        <v>1.5791999999999999</v>
      </c>
      <c r="I21" s="48">
        <v>1.5723</v>
      </c>
      <c r="J21" s="48">
        <v>1.5551999999999999</v>
      </c>
      <c r="K21" s="48">
        <v>1.5582</v>
      </c>
      <c r="L21" s="48">
        <v>1.5678000000000001</v>
      </c>
      <c r="M21" s="48">
        <v>1.5624</v>
      </c>
      <c r="N21" s="48">
        <v>1.5863</v>
      </c>
      <c r="O21" s="48">
        <v>1.5679000000000001</v>
      </c>
      <c r="P21" s="48">
        <v>1.5246999999999999</v>
      </c>
      <c r="Q21" s="27"/>
    </row>
    <row r="22" spans="1:24">
      <c r="A22" s="27">
        <v>1.111111</v>
      </c>
      <c r="B22" s="48">
        <v>1.5770999999999999</v>
      </c>
      <c r="C22" s="48">
        <v>1.5448999999999999</v>
      </c>
      <c r="D22" s="48">
        <v>1.5389999999999999</v>
      </c>
      <c r="E22" s="48">
        <v>1.5062</v>
      </c>
      <c r="F22" s="48">
        <v>1.4932000000000001</v>
      </c>
      <c r="G22" s="48">
        <v>1.5397000000000001</v>
      </c>
      <c r="H22" s="48">
        <v>1.5419</v>
      </c>
      <c r="I22" s="48">
        <v>1.5401</v>
      </c>
      <c r="J22" s="48">
        <v>1.4986999999999999</v>
      </c>
      <c r="K22" s="48">
        <v>1.5824</v>
      </c>
      <c r="L22" s="48">
        <v>1.4983</v>
      </c>
      <c r="M22" s="48">
        <v>1.5004999999999999</v>
      </c>
      <c r="N22" s="48">
        <v>1.5286999999999999</v>
      </c>
      <c r="O22" s="48">
        <v>1.5475000000000001</v>
      </c>
      <c r="P22" s="48">
        <v>1.4719</v>
      </c>
      <c r="Q22" s="27"/>
    </row>
    <row r="23" spans="1:24">
      <c r="A23" s="27">
        <v>0.37036999999999998</v>
      </c>
      <c r="B23" s="48">
        <v>1.5181</v>
      </c>
      <c r="C23" s="48">
        <v>1.5289999999999999</v>
      </c>
      <c r="D23" s="48">
        <v>1.4876</v>
      </c>
      <c r="E23" s="48">
        <v>1.4581</v>
      </c>
      <c r="F23" s="48">
        <v>1.4601</v>
      </c>
      <c r="G23" s="48">
        <v>1.4856</v>
      </c>
      <c r="H23" s="48">
        <v>1.4919</v>
      </c>
      <c r="I23" s="48">
        <v>1.3349</v>
      </c>
      <c r="J23" s="48">
        <v>1.3778999999999999</v>
      </c>
      <c r="K23" s="48">
        <v>1.3734</v>
      </c>
      <c r="L23" s="48">
        <v>1.3224</v>
      </c>
      <c r="M23" s="48">
        <v>1.3935</v>
      </c>
      <c r="N23" s="48">
        <v>1.4397</v>
      </c>
      <c r="O23" s="48">
        <v>1.4589000000000001</v>
      </c>
      <c r="P23" s="48">
        <v>1.4375</v>
      </c>
      <c r="Q23" s="27"/>
    </row>
    <row r="24" spans="1:24">
      <c r="A24" s="27">
        <v>0.123457</v>
      </c>
      <c r="B24" s="48">
        <v>1.2992999999999999</v>
      </c>
      <c r="C24" s="48">
        <v>1.3794999999999999</v>
      </c>
      <c r="D24" s="48">
        <v>1.3266</v>
      </c>
      <c r="E24" s="48">
        <v>1.3394999999999999</v>
      </c>
      <c r="F24" s="48">
        <v>1.3008</v>
      </c>
      <c r="G24" s="48">
        <v>1.3186</v>
      </c>
      <c r="H24" s="48">
        <v>1.2730999999999999</v>
      </c>
      <c r="I24" s="48">
        <v>1.2225999999999999</v>
      </c>
      <c r="J24" s="48">
        <v>1.2002999999999999</v>
      </c>
      <c r="K24" s="48">
        <v>1.2205999999999999</v>
      </c>
      <c r="L24" s="48">
        <v>1.1934</v>
      </c>
      <c r="M24" s="48">
        <v>1.2181999999999999</v>
      </c>
      <c r="N24" s="48">
        <v>1.2008000000000001</v>
      </c>
      <c r="O24" s="48">
        <v>1.2059</v>
      </c>
      <c r="P24" s="48">
        <v>1.2134</v>
      </c>
      <c r="Q24" s="27"/>
    </row>
    <row r="25" spans="1:24">
      <c r="A25" s="27">
        <v>4.1152000000000001E-2</v>
      </c>
      <c r="B25" s="48">
        <v>1.0583</v>
      </c>
      <c r="C25" s="48">
        <v>1.0642</v>
      </c>
      <c r="D25" s="48">
        <v>1.0183</v>
      </c>
      <c r="E25" s="48">
        <v>1.0374000000000001</v>
      </c>
      <c r="F25" s="48">
        <v>0.99760000000000004</v>
      </c>
      <c r="G25" s="48">
        <v>1.0212000000000001</v>
      </c>
      <c r="H25" s="48">
        <v>0.99970000000000003</v>
      </c>
      <c r="I25" s="48">
        <v>1.0102</v>
      </c>
      <c r="J25" s="48">
        <v>0.87960000000000005</v>
      </c>
      <c r="K25" s="48">
        <v>0.92879999999999996</v>
      </c>
      <c r="L25" s="48">
        <v>0.91669999999999996</v>
      </c>
      <c r="M25" s="48">
        <v>0.92390000000000005</v>
      </c>
      <c r="N25" s="48">
        <v>0.9073</v>
      </c>
      <c r="O25" s="48">
        <v>0.93510000000000004</v>
      </c>
      <c r="P25" s="48">
        <v>0.97970000000000002</v>
      </c>
      <c r="Q25" s="27"/>
    </row>
    <row r="26" spans="1:24">
      <c r="A26" s="27">
        <v>1.3717E-2</v>
      </c>
      <c r="B26" s="48">
        <v>0.76019999999999999</v>
      </c>
      <c r="C26" s="48">
        <v>0.65159999999999996</v>
      </c>
      <c r="D26" s="48">
        <v>0.5554</v>
      </c>
      <c r="E26" s="48">
        <v>0.60560000000000003</v>
      </c>
      <c r="F26" s="48">
        <v>0.59160000000000001</v>
      </c>
      <c r="G26" s="48">
        <v>0.61609999999999998</v>
      </c>
      <c r="H26" s="48">
        <v>0.59719999999999995</v>
      </c>
      <c r="I26" s="48">
        <v>0.61319999999999997</v>
      </c>
      <c r="J26" s="48">
        <v>0.35399999999999998</v>
      </c>
      <c r="K26" s="48">
        <v>0.54869999999999997</v>
      </c>
      <c r="L26" s="48">
        <v>0.50429999999999997</v>
      </c>
      <c r="M26" s="48">
        <v>0.55110000000000003</v>
      </c>
      <c r="N26" s="48">
        <v>0.54549999999999998</v>
      </c>
      <c r="O26" s="48">
        <v>0.54330000000000001</v>
      </c>
      <c r="P26" s="48">
        <v>0.62939999999999996</v>
      </c>
      <c r="Q26" s="27"/>
    </row>
    <row r="27" spans="1:24">
      <c r="A27" s="27">
        <v>4.5719999999999997E-3</v>
      </c>
      <c r="B27" s="48">
        <v>0.3831</v>
      </c>
      <c r="C27" s="48">
        <v>0.29620000000000002</v>
      </c>
      <c r="D27" s="48">
        <v>0.26800000000000002</v>
      </c>
      <c r="E27" s="48">
        <v>0.28160000000000002</v>
      </c>
      <c r="F27" s="48">
        <v>0.31259999999999999</v>
      </c>
      <c r="G27" s="48">
        <v>0.2979</v>
      </c>
      <c r="H27" s="48">
        <v>0.30180000000000001</v>
      </c>
      <c r="I27" s="48">
        <v>0.2979</v>
      </c>
      <c r="J27" s="48">
        <v>0.28039999999999998</v>
      </c>
      <c r="K27" s="48">
        <v>0.253</v>
      </c>
      <c r="L27" s="48">
        <v>0.2329</v>
      </c>
      <c r="M27" s="48">
        <v>0.26269999999999999</v>
      </c>
      <c r="N27" s="48">
        <v>0.25990000000000002</v>
      </c>
      <c r="O27" s="48">
        <v>0.26050000000000001</v>
      </c>
      <c r="P27" s="48">
        <v>0.31690000000000002</v>
      </c>
      <c r="Q27" s="27"/>
    </row>
    <row r="28" spans="1:24">
      <c r="A28" s="27">
        <v>1.524E-3</v>
      </c>
      <c r="B28" s="48">
        <v>0.17699999999999999</v>
      </c>
      <c r="C28" s="48">
        <v>0.13639999999999999</v>
      </c>
      <c r="D28" s="48">
        <v>0.1203</v>
      </c>
      <c r="E28" s="48">
        <v>0.1237</v>
      </c>
      <c r="F28" s="48">
        <v>0.1232</v>
      </c>
      <c r="G28" s="48">
        <v>0.1268</v>
      </c>
      <c r="H28" s="48">
        <v>0.1353</v>
      </c>
      <c r="I28" s="48">
        <v>0.15409999999999999</v>
      </c>
      <c r="J28" s="48">
        <v>0.1361</v>
      </c>
      <c r="K28" s="48">
        <v>0.1181</v>
      </c>
      <c r="L28" s="48">
        <v>0.10979999999999999</v>
      </c>
      <c r="M28" s="48">
        <v>0.1206</v>
      </c>
      <c r="N28" s="48">
        <v>0.1171</v>
      </c>
      <c r="O28" s="48">
        <v>0.12570000000000001</v>
      </c>
      <c r="P28" s="48">
        <v>0.1467</v>
      </c>
      <c r="Q28" s="27"/>
    </row>
    <row r="29" spans="1:24">
      <c r="A29" s="27">
        <v>5.0799999999999999E-4</v>
      </c>
      <c r="B29" s="48">
        <v>9.3600000000000003E-2</v>
      </c>
      <c r="C29" s="48">
        <v>7.3200000000000001E-2</v>
      </c>
      <c r="D29" s="48">
        <v>6.9599999999999995E-2</v>
      </c>
      <c r="E29" s="48">
        <v>7.0800000000000002E-2</v>
      </c>
      <c r="F29" s="48">
        <v>6.8900000000000003E-2</v>
      </c>
      <c r="G29" s="48">
        <v>7.0400000000000004E-2</v>
      </c>
      <c r="H29" s="48">
        <v>7.0199999999999999E-2</v>
      </c>
      <c r="I29" s="48">
        <v>8.2199999999999995E-2</v>
      </c>
      <c r="J29" s="48">
        <v>7.7600000000000002E-2</v>
      </c>
      <c r="K29" s="48">
        <v>6.6900000000000001E-2</v>
      </c>
      <c r="L29" s="48">
        <v>6.88E-2</v>
      </c>
      <c r="M29" s="48">
        <v>6.7299999999999999E-2</v>
      </c>
      <c r="N29" s="48">
        <v>6.9099999999999995E-2</v>
      </c>
      <c r="O29" s="48">
        <v>7.0999999999999994E-2</v>
      </c>
      <c r="P29" s="48">
        <v>8.6099999999999996E-2</v>
      </c>
      <c r="Q29" s="27"/>
    </row>
    <row r="30" spans="1:24">
      <c r="A30" s="27">
        <v>1.6899999999999999E-4</v>
      </c>
      <c r="B30" s="48">
        <v>6.59E-2</v>
      </c>
      <c r="C30" s="48">
        <v>5.9499999999999997E-2</v>
      </c>
      <c r="D30" s="48">
        <v>5.8200000000000002E-2</v>
      </c>
      <c r="E30" s="48">
        <v>5.7700000000000001E-2</v>
      </c>
      <c r="F30" s="48">
        <v>5.5800000000000002E-2</v>
      </c>
      <c r="G30" s="48">
        <v>5.8099999999999999E-2</v>
      </c>
      <c r="H30" s="48">
        <v>6.0199999999999997E-2</v>
      </c>
      <c r="I30" s="48">
        <v>6.1400000000000003E-2</v>
      </c>
      <c r="J30" s="48">
        <v>6.7500000000000004E-2</v>
      </c>
      <c r="K30" s="48">
        <v>5.9499999999999997E-2</v>
      </c>
      <c r="L30" s="48">
        <v>5.7299999999999997E-2</v>
      </c>
      <c r="M30" s="48">
        <v>7.4300000000000005E-2</v>
      </c>
      <c r="N30" s="48">
        <v>5.7000000000000002E-2</v>
      </c>
      <c r="O30" s="48">
        <v>6.0400000000000002E-2</v>
      </c>
      <c r="P30" s="48">
        <v>6.2300000000000001E-2</v>
      </c>
      <c r="Q30" s="27"/>
    </row>
    <row r="32" spans="1:24">
      <c r="A32" s="29" t="s">
        <v>200</v>
      </c>
      <c r="R32" s="48"/>
      <c r="S32" s="48"/>
      <c r="T32" s="48"/>
      <c r="U32" s="48"/>
      <c r="V32" s="48"/>
      <c r="W32" s="48"/>
      <c r="X32" s="48"/>
    </row>
    <row r="33" spans="1:24" s="46" customFormat="1" ht="14">
      <c r="B33" s="49" t="s">
        <v>201</v>
      </c>
      <c r="C33" s="49"/>
      <c r="D33" s="49"/>
      <c r="E33" s="49"/>
      <c r="F33" s="49"/>
      <c r="G33" s="49"/>
      <c r="H33" s="49"/>
      <c r="J33" s="27" t="s">
        <v>202</v>
      </c>
      <c r="K33" s="27"/>
      <c r="L33" s="27"/>
      <c r="M33" s="27"/>
      <c r="N33" s="27"/>
      <c r="O33" s="27"/>
      <c r="P33" s="27"/>
      <c r="R33" s="50" t="s">
        <v>203</v>
      </c>
      <c r="S33" s="50"/>
      <c r="T33" s="50"/>
      <c r="U33" s="50"/>
      <c r="V33" s="50"/>
      <c r="W33" s="50"/>
      <c r="X33" s="50"/>
    </row>
    <row r="34" spans="1:24" s="46" customFormat="1" ht="14">
      <c r="B34" s="10"/>
      <c r="C34" s="232" t="s">
        <v>204</v>
      </c>
      <c r="D34" s="232"/>
      <c r="E34" s="232"/>
      <c r="F34" s="232" t="s">
        <v>6</v>
      </c>
      <c r="G34" s="232"/>
      <c r="H34" s="232"/>
      <c r="J34" s="27"/>
      <c r="K34" s="232" t="s">
        <v>204</v>
      </c>
      <c r="L34" s="232"/>
      <c r="M34" s="232"/>
      <c r="N34" s="232" t="s">
        <v>6</v>
      </c>
      <c r="O34" s="232"/>
      <c r="P34" s="232"/>
      <c r="R34" s="50"/>
      <c r="S34" s="250" t="s">
        <v>204</v>
      </c>
      <c r="T34" s="251"/>
      <c r="U34" s="252"/>
      <c r="V34" s="250" t="s">
        <v>6</v>
      </c>
      <c r="W34" s="251"/>
      <c r="X34" s="252"/>
    </row>
    <row r="35" spans="1:24" s="46" customFormat="1" ht="14">
      <c r="B35" s="52" t="s">
        <v>194</v>
      </c>
      <c r="C35" s="47">
        <v>100.1544</v>
      </c>
      <c r="D35" s="47">
        <v>98.499380000000002</v>
      </c>
      <c r="E35" s="47">
        <v>101.3462</v>
      </c>
      <c r="F35" s="47">
        <v>99.786779999999993</v>
      </c>
      <c r="G35" s="47">
        <v>99.100239999999999</v>
      </c>
      <c r="H35" s="47">
        <v>101.1131</v>
      </c>
      <c r="J35" s="27"/>
      <c r="K35" s="27">
        <v>96.9867928886801</v>
      </c>
      <c r="L35" s="27">
        <v>100.329747387241</v>
      </c>
      <c r="M35" s="27">
        <v>103.099697386817</v>
      </c>
      <c r="N35" s="27">
        <v>96.127760709524097</v>
      </c>
      <c r="O35" s="27">
        <v>98.156628601240499</v>
      </c>
      <c r="P35" s="27">
        <v>105.72140745464</v>
      </c>
      <c r="R35" s="50"/>
      <c r="S35" s="50">
        <v>96.0465707745782</v>
      </c>
      <c r="T35" s="50">
        <v>103.820612089185</v>
      </c>
      <c r="U35" s="50">
        <v>100.132817136236</v>
      </c>
      <c r="V35" s="50">
        <v>102.277756084863</v>
      </c>
      <c r="W35" s="50">
        <v>88.910581803982794</v>
      </c>
      <c r="X35" s="50">
        <v>108.824677860211</v>
      </c>
    </row>
    <row r="36" spans="1:24" s="46" customFormat="1" ht="14">
      <c r="B36" s="52" t="s">
        <v>195</v>
      </c>
      <c r="C36" s="47">
        <v>104.5847</v>
      </c>
      <c r="D36" s="47">
        <v>98.663619999999995</v>
      </c>
      <c r="E36" s="47">
        <v>103.6708</v>
      </c>
      <c r="F36" s="47">
        <v>99.502020000000002</v>
      </c>
      <c r="G36" s="47">
        <v>110.0849</v>
      </c>
      <c r="H36" s="47">
        <v>99.611239999999995</v>
      </c>
      <c r="J36" s="27"/>
      <c r="K36" s="27">
        <v>97.554658333862207</v>
      </c>
      <c r="L36" s="27">
        <v>88.921047945573306</v>
      </c>
      <c r="M36" s="27">
        <v>106.24222878707801</v>
      </c>
      <c r="N36" s="27">
        <v>77.091183119819107</v>
      </c>
      <c r="O36" s="27">
        <v>104.34177728827299</v>
      </c>
      <c r="P36" s="27">
        <v>105.10695032172001</v>
      </c>
      <c r="R36" s="50"/>
      <c r="S36" s="50">
        <v>100.966456608359</v>
      </c>
      <c r="T36" s="50">
        <v>106.372396642835</v>
      </c>
      <c r="U36" s="50">
        <v>110.515160934807</v>
      </c>
      <c r="V36" s="50">
        <v>103.96329558766099</v>
      </c>
      <c r="W36" s="50">
        <v>109.592607054536</v>
      </c>
      <c r="X36" s="50">
        <v>107.32786671872999</v>
      </c>
    </row>
    <row r="37" spans="1:24" s="46" customFormat="1" ht="14">
      <c r="B37" s="52" t="s">
        <v>196</v>
      </c>
      <c r="C37" s="47">
        <v>99.341629999999995</v>
      </c>
      <c r="D37" s="47">
        <v>96.696960000000004</v>
      </c>
      <c r="E37" s="47">
        <v>99.748019999999997</v>
      </c>
      <c r="F37" s="47">
        <v>104.1284</v>
      </c>
      <c r="G37" s="47">
        <v>97.528210000000001</v>
      </c>
      <c r="H37" s="47">
        <v>104.1206</v>
      </c>
      <c r="J37" s="27"/>
      <c r="K37" s="27">
        <v>102.75281125514501</v>
      </c>
      <c r="L37" s="27">
        <v>106.265354529189</v>
      </c>
      <c r="M37" s="27">
        <v>108.261876931481</v>
      </c>
      <c r="N37" s="27">
        <v>99.205843139528099</v>
      </c>
      <c r="O37" s="27">
        <v>102.028867891716</v>
      </c>
      <c r="P37" s="27">
        <v>111.396440786041</v>
      </c>
      <c r="R37" s="50"/>
      <c r="S37" s="50">
        <v>104.11450532681501</v>
      </c>
      <c r="T37" s="50">
        <v>100.678215163761</v>
      </c>
      <c r="U37" s="50">
        <v>104.47339418430499</v>
      </c>
      <c r="V37" s="50">
        <v>87.947416373812302</v>
      </c>
      <c r="W37" s="50">
        <v>80.554470909800898</v>
      </c>
      <c r="X37" s="50">
        <v>103.87869321879499</v>
      </c>
    </row>
    <row r="38" spans="1:24" s="46" customFormat="1" ht="14">
      <c r="B38" s="52" t="s">
        <v>197</v>
      </c>
      <c r="C38" s="47">
        <v>104.054</v>
      </c>
      <c r="D38" s="47">
        <v>98.341459999999998</v>
      </c>
      <c r="E38" s="47">
        <v>100.00069999999999</v>
      </c>
      <c r="F38" s="47">
        <v>109.2736</v>
      </c>
      <c r="G38" s="47">
        <v>104.9008</v>
      </c>
      <c r="H38" s="47">
        <v>109.0278</v>
      </c>
      <c r="J38" s="27"/>
      <c r="K38" s="27">
        <v>103.343802442438</v>
      </c>
      <c r="L38" s="27">
        <v>105.777144417947</v>
      </c>
      <c r="M38" s="27">
        <v>110.947032543315</v>
      </c>
      <c r="N38" s="27">
        <v>99.269607558982102</v>
      </c>
      <c r="O38" s="27">
        <v>97.292910555909799</v>
      </c>
      <c r="P38" s="27">
        <v>100.61445713291999</v>
      </c>
      <c r="R38" s="50"/>
      <c r="S38" s="50">
        <v>107.449063215305</v>
      </c>
      <c r="T38" s="50">
        <v>105.968293441094</v>
      </c>
      <c r="U38" s="50">
        <v>109.15873060728499</v>
      </c>
      <c r="V38" s="50">
        <v>106.735650136665</v>
      </c>
      <c r="W38" s="50">
        <v>80.502407913575396</v>
      </c>
      <c r="X38" s="50">
        <v>109.071977092282</v>
      </c>
    </row>
    <row r="39" spans="1:24" s="46" customFormat="1" ht="14">
      <c r="B39" s="52" t="s">
        <v>198</v>
      </c>
      <c r="C39" s="47">
        <v>96.785390000000007</v>
      </c>
      <c r="D39" s="47">
        <v>100.7145</v>
      </c>
      <c r="E39" s="47">
        <v>105.8796</v>
      </c>
      <c r="F39" s="47">
        <v>101.9088</v>
      </c>
      <c r="G39" s="47">
        <v>101.5031</v>
      </c>
      <c r="H39" s="47">
        <v>108.7938</v>
      </c>
      <c r="J39" s="27"/>
      <c r="K39" s="27">
        <v>109.1046817551</v>
      </c>
      <c r="L39" s="27">
        <v>102.588361533463</v>
      </c>
      <c r="M39" s="27">
        <v>108.544524890622</v>
      </c>
      <c r="N39" s="27">
        <v>96.429192510579099</v>
      </c>
      <c r="O39" s="27">
        <v>98.365312155817094</v>
      </c>
      <c r="P39" s="27">
        <v>100.457944466987</v>
      </c>
      <c r="R39" s="50"/>
      <c r="S39" s="50">
        <v>88.699239833837296</v>
      </c>
      <c r="T39" s="50">
        <v>94.8540424449657</v>
      </c>
      <c r="U39" s="50">
        <v>96.933902280498501</v>
      </c>
      <c r="V39" s="50">
        <v>102.492515944293</v>
      </c>
      <c r="W39" s="50">
        <v>100.956657555642</v>
      </c>
      <c r="X39" s="50">
        <v>103.755043602759</v>
      </c>
    </row>
    <row r="40" spans="1:24" s="46" customFormat="1" ht="14">
      <c r="B40" s="49"/>
      <c r="C40" s="49"/>
      <c r="D40" s="49"/>
      <c r="E40" s="49"/>
      <c r="F40" s="49"/>
      <c r="G40" s="49"/>
      <c r="H40" s="49"/>
      <c r="J40" s="27"/>
      <c r="K40" s="27"/>
      <c r="L40" s="27"/>
      <c r="M40" s="27"/>
      <c r="N40" s="27"/>
      <c r="O40" s="27"/>
      <c r="P40" s="27"/>
      <c r="R40" s="50"/>
      <c r="S40" s="50"/>
      <c r="T40" s="50"/>
      <c r="U40" s="50"/>
      <c r="V40" s="50"/>
      <c r="W40" s="50"/>
      <c r="X40" s="50"/>
    </row>
    <row r="41" spans="1:24" s="46" customFormat="1" ht="14">
      <c r="A41" s="53" t="s">
        <v>205</v>
      </c>
      <c r="B41" s="49"/>
      <c r="C41" s="49"/>
      <c r="D41" s="49"/>
      <c r="E41" s="49"/>
      <c r="F41" s="49"/>
      <c r="G41" s="49"/>
      <c r="H41" s="49"/>
      <c r="J41" s="27"/>
      <c r="K41" s="27"/>
      <c r="L41" s="27"/>
      <c r="M41" s="27"/>
      <c r="N41" s="27"/>
      <c r="O41" s="27"/>
      <c r="P41" s="27"/>
      <c r="R41" s="50"/>
      <c r="S41" s="50"/>
      <c r="T41" s="50"/>
      <c r="U41" s="50"/>
      <c r="V41" s="50"/>
      <c r="W41" s="50"/>
      <c r="X41" s="50"/>
    </row>
    <row r="42" spans="1:24" s="46" customFormat="1" ht="14">
      <c r="B42" s="49"/>
      <c r="C42" s="49"/>
      <c r="D42" s="49"/>
      <c r="E42" s="49"/>
      <c r="F42" s="49"/>
      <c r="G42" s="49"/>
      <c r="H42" s="49"/>
      <c r="J42" s="27"/>
      <c r="K42" s="27"/>
      <c r="L42" s="27"/>
      <c r="M42" s="27"/>
      <c r="N42" s="27"/>
      <c r="O42" s="27"/>
      <c r="P42" s="27"/>
      <c r="R42" s="50"/>
      <c r="S42" s="50"/>
      <c r="T42" s="50"/>
      <c r="U42" s="50"/>
      <c r="V42" s="50"/>
      <c r="W42" s="50"/>
      <c r="X42" s="50"/>
    </row>
    <row r="43" spans="1:24" s="46" customFormat="1" ht="14">
      <c r="B43" s="49" t="s">
        <v>201</v>
      </c>
      <c r="C43" s="49"/>
      <c r="D43" s="49"/>
      <c r="E43" s="49"/>
      <c r="F43" s="49"/>
      <c r="G43" s="49"/>
      <c r="H43" s="49"/>
      <c r="J43" s="27" t="s">
        <v>202</v>
      </c>
      <c r="K43" s="27"/>
      <c r="L43" s="27"/>
      <c r="M43" s="27"/>
      <c r="N43" s="27"/>
      <c r="O43" s="27"/>
      <c r="P43" s="27"/>
      <c r="R43" s="50" t="s">
        <v>203</v>
      </c>
      <c r="S43" s="50"/>
      <c r="T43" s="50"/>
      <c r="U43" s="50"/>
      <c r="V43" s="50"/>
      <c r="W43" s="50"/>
      <c r="X43" s="50"/>
    </row>
    <row r="44" spans="1:24" s="46" customFormat="1" ht="14">
      <c r="B44" s="10"/>
      <c r="C44" s="232" t="s">
        <v>204</v>
      </c>
      <c r="D44" s="232"/>
      <c r="E44" s="232"/>
      <c r="F44" s="232" t="s">
        <v>6</v>
      </c>
      <c r="G44" s="232"/>
      <c r="H44" s="232"/>
      <c r="J44" s="10"/>
      <c r="K44" s="232" t="s">
        <v>204</v>
      </c>
      <c r="L44" s="232"/>
      <c r="M44" s="232"/>
      <c r="N44" s="232" t="s">
        <v>6</v>
      </c>
      <c r="O44" s="232"/>
      <c r="P44" s="232"/>
      <c r="R44" s="50"/>
      <c r="S44" s="250" t="s">
        <v>204</v>
      </c>
      <c r="T44" s="251"/>
      <c r="U44" s="252"/>
      <c r="V44" s="250" t="s">
        <v>6</v>
      </c>
      <c r="W44" s="251"/>
      <c r="X44" s="252"/>
    </row>
    <row r="45" spans="1:24" s="46" customFormat="1" ht="14">
      <c r="B45" s="52" t="s">
        <v>194</v>
      </c>
      <c r="C45" s="47">
        <v>100.14149999999999</v>
      </c>
      <c r="D45" s="47">
        <v>99.531419999999997</v>
      </c>
      <c r="E45" s="47">
        <v>100.3271</v>
      </c>
      <c r="F45" s="47">
        <v>102.10429999999999</v>
      </c>
      <c r="G45" s="47">
        <v>98.811949999999996</v>
      </c>
      <c r="H45" s="47">
        <v>99.083910000000003</v>
      </c>
      <c r="J45" s="27"/>
      <c r="K45" s="27">
        <v>99.580880151681498</v>
      </c>
      <c r="L45" s="27">
        <v>97.229817383494705</v>
      </c>
      <c r="M45" s="27">
        <v>103.19129827362499</v>
      </c>
      <c r="N45" s="27">
        <v>99.665459243707204</v>
      </c>
      <c r="O45" s="27">
        <v>103.795307200701</v>
      </c>
      <c r="P45" s="27">
        <v>96.540387144406296</v>
      </c>
      <c r="R45" s="50"/>
      <c r="S45" s="50">
        <v>95.054965460892802</v>
      </c>
      <c r="T45" s="50">
        <v>98.169055931070304</v>
      </c>
      <c r="U45" s="50">
        <v>106.77597860803699</v>
      </c>
      <c r="V45" s="50">
        <v>101.52512421246701</v>
      </c>
      <c r="W45" s="50">
        <v>104.16047738564799</v>
      </c>
      <c r="X45" s="50">
        <v>94.316959483685906</v>
      </c>
    </row>
    <row r="46" spans="1:24" s="46" customFormat="1" ht="14">
      <c r="B46" s="52" t="s">
        <v>195</v>
      </c>
      <c r="C46" s="47">
        <v>94.843400000000003</v>
      </c>
      <c r="D46" s="47">
        <v>98.459429999999998</v>
      </c>
      <c r="E46" s="47">
        <v>95.055589999999995</v>
      </c>
      <c r="F46" s="47">
        <v>90.523139999999998</v>
      </c>
      <c r="G46" s="47">
        <v>95.835260000000005</v>
      </c>
      <c r="H46" s="47">
        <v>97.571870000000004</v>
      </c>
      <c r="J46" s="27"/>
      <c r="K46" s="27">
        <v>92.469813391877096</v>
      </c>
      <c r="L46" s="27">
        <v>94.351861091707406</v>
      </c>
      <c r="M46" s="27">
        <v>94.954595349765498</v>
      </c>
      <c r="N46" s="27">
        <v>99.265163924970594</v>
      </c>
      <c r="O46" s="27">
        <v>100.07036891770299</v>
      </c>
      <c r="P46" s="27">
        <v>102.176822093533</v>
      </c>
      <c r="R46" s="50"/>
      <c r="S46" s="50">
        <v>88.871351110450902</v>
      </c>
      <c r="T46" s="50">
        <v>92.265839708831606</v>
      </c>
      <c r="U46" s="50">
        <v>95.697467132139906</v>
      </c>
      <c r="V46" s="50">
        <v>105.48583721764101</v>
      </c>
      <c r="W46" s="50">
        <v>106.817599754136</v>
      </c>
      <c r="X46" s="50">
        <v>103.229524151001</v>
      </c>
    </row>
    <row r="47" spans="1:24" s="46" customFormat="1" ht="14">
      <c r="B47" s="52" t="s">
        <v>196</v>
      </c>
      <c r="C47" s="47">
        <v>95.601529999999997</v>
      </c>
      <c r="D47" s="47">
        <v>99.168930000000003</v>
      </c>
      <c r="E47" s="47">
        <v>96.412700000000001</v>
      </c>
      <c r="F47" s="47">
        <v>97.039159999999995</v>
      </c>
      <c r="G47" s="47">
        <v>93.131789999999995</v>
      </c>
      <c r="H47" s="47">
        <v>91.743260000000006</v>
      </c>
      <c r="J47" s="27"/>
      <c r="K47" s="27">
        <v>90.254465622193393</v>
      </c>
      <c r="L47" s="27">
        <v>95.074343877856506</v>
      </c>
      <c r="M47" s="27">
        <v>91.974852809100895</v>
      </c>
      <c r="N47" s="27">
        <v>100.203031631405</v>
      </c>
      <c r="O47" s="27">
        <v>104.086011582032</v>
      </c>
      <c r="P47" s="27">
        <v>97.8923932353552</v>
      </c>
      <c r="R47" s="50"/>
      <c r="S47" s="50">
        <v>87.534353413058</v>
      </c>
      <c r="T47" s="50">
        <v>89.274307360915103</v>
      </c>
      <c r="U47" s="50">
        <v>90.057936566886994</v>
      </c>
      <c r="V47" s="50">
        <v>106.319469343851</v>
      </c>
      <c r="W47" s="50">
        <v>100.98985811606801</v>
      </c>
      <c r="X47" s="50">
        <v>88.852891461353295</v>
      </c>
    </row>
    <row r="48" spans="1:24" s="46" customFormat="1" ht="14">
      <c r="B48" s="52" t="s">
        <v>197</v>
      </c>
      <c r="C48" s="47">
        <v>98.147779999999997</v>
      </c>
      <c r="D48" s="47">
        <v>92.056229999999999</v>
      </c>
      <c r="E48" s="47">
        <v>98.793180000000007</v>
      </c>
      <c r="F48" s="47">
        <v>94.580209999999994</v>
      </c>
      <c r="G48" s="47">
        <v>95.408600000000007</v>
      </c>
      <c r="H48" s="47">
        <v>94.255849999999995</v>
      </c>
      <c r="J48" s="27"/>
      <c r="K48" s="27">
        <v>86.374613312044701</v>
      </c>
      <c r="L48" s="27">
        <v>95.050394172238299</v>
      </c>
      <c r="M48" s="27">
        <v>89.551940924059494</v>
      </c>
      <c r="N48" s="27">
        <v>101.018618923471</v>
      </c>
      <c r="O48" s="27">
        <v>76.9720600789055</v>
      </c>
      <c r="P48" s="27">
        <v>103.488452575964</v>
      </c>
      <c r="R48" s="50"/>
      <c r="S48" s="50">
        <v>82.661739582559605</v>
      </c>
      <c r="T48" s="50">
        <v>87.025551511550205</v>
      </c>
      <c r="U48" s="50">
        <v>87.227958107405499</v>
      </c>
      <c r="V48" s="50">
        <v>98.380115760897397</v>
      </c>
      <c r="W48" s="50">
        <v>79.100291963325304</v>
      </c>
      <c r="X48" s="50">
        <v>69.780515289658396</v>
      </c>
    </row>
    <row r="49" spans="2:24" s="46" customFormat="1" ht="14">
      <c r="B49" s="52" t="s">
        <v>198</v>
      </c>
      <c r="C49" s="47">
        <v>91.46387</v>
      </c>
      <c r="D49" s="47">
        <v>97.464799999999997</v>
      </c>
      <c r="E49" s="47">
        <v>97.747720000000001</v>
      </c>
      <c r="F49" s="47">
        <v>95.236429999999999</v>
      </c>
      <c r="G49" s="47">
        <v>92.493039999999993</v>
      </c>
      <c r="H49" s="47">
        <v>93.915260000000004</v>
      </c>
      <c r="J49" s="27"/>
      <c r="K49" s="27">
        <v>86.642051691448003</v>
      </c>
      <c r="L49" s="27">
        <v>86.851611615607197</v>
      </c>
      <c r="M49" s="27">
        <v>85.915577287695797</v>
      </c>
      <c r="N49" s="27">
        <v>98.707980527420801</v>
      </c>
      <c r="O49" s="27">
        <v>99.224788316452504</v>
      </c>
      <c r="P49" s="27">
        <v>98.735666658976101</v>
      </c>
      <c r="R49" s="50"/>
      <c r="S49" s="50">
        <v>94.980687811037697</v>
      </c>
      <c r="T49" s="50">
        <v>92.748644432890103</v>
      </c>
      <c r="U49" s="50">
        <v>95.898016786748897</v>
      </c>
      <c r="V49" s="50">
        <v>103.18598576038499</v>
      </c>
      <c r="W49" s="50">
        <v>86.962813092250201</v>
      </c>
      <c r="X49" s="50">
        <v>94.123597807714006</v>
      </c>
    </row>
  </sheetData>
  <mergeCells count="24">
    <mergeCell ref="V34:X34"/>
    <mergeCell ref="C44:E44"/>
    <mergeCell ref="F44:H44"/>
    <mergeCell ref="K44:M44"/>
    <mergeCell ref="N44:P44"/>
    <mergeCell ref="S44:U44"/>
    <mergeCell ref="V44:X44"/>
    <mergeCell ref="C34:E34"/>
    <mergeCell ref="F34:H34"/>
    <mergeCell ref="K34:M34"/>
    <mergeCell ref="N34:P34"/>
    <mergeCell ref="S34:U34"/>
    <mergeCell ref="B17:P17"/>
    <mergeCell ref="B18:D18"/>
    <mergeCell ref="E18:G18"/>
    <mergeCell ref="H18:J18"/>
    <mergeCell ref="K18:M18"/>
    <mergeCell ref="N18:P18"/>
    <mergeCell ref="B2:P2"/>
    <mergeCell ref="B3:D3"/>
    <mergeCell ref="E3:G3"/>
    <mergeCell ref="H3:J3"/>
    <mergeCell ref="K3:M3"/>
    <mergeCell ref="N3:P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workbookViewId="0">
      <selection activeCell="B41" sqref="B41"/>
    </sheetView>
  </sheetViews>
  <sheetFormatPr defaultColWidth="9" defaultRowHeight="14.5"/>
  <cols>
    <col min="1" max="1" width="20.26953125" customWidth="1"/>
  </cols>
  <sheetData>
    <row r="1" spans="1:14" ht="15.5">
      <c r="A1" s="45" t="s">
        <v>206</v>
      </c>
    </row>
    <row r="2" spans="1:14">
      <c r="A2" s="28"/>
      <c r="B2" s="26"/>
    </row>
    <row r="4" spans="1:14">
      <c r="A4" s="10" t="s">
        <v>151</v>
      </c>
      <c r="B4" s="10" t="s">
        <v>207</v>
      </c>
      <c r="C4" s="10" t="s">
        <v>152</v>
      </c>
      <c r="D4" s="10" t="s">
        <v>153</v>
      </c>
      <c r="E4" s="10" t="s">
        <v>154</v>
      </c>
      <c r="F4" s="10" t="s">
        <v>155</v>
      </c>
      <c r="G4" s="10" t="s">
        <v>156</v>
      </c>
      <c r="H4" s="10" t="s">
        <v>157</v>
      </c>
      <c r="I4" s="10" t="s">
        <v>158</v>
      </c>
      <c r="J4" s="10" t="s">
        <v>159</v>
      </c>
      <c r="K4" s="10" t="s">
        <v>160</v>
      </c>
      <c r="L4" s="10" t="s">
        <v>161</v>
      </c>
      <c r="M4" s="10" t="s">
        <v>162</v>
      </c>
      <c r="N4" s="10" t="s">
        <v>52</v>
      </c>
    </row>
    <row r="5" spans="1:14">
      <c r="A5" s="10">
        <v>71752</v>
      </c>
      <c r="B5" s="10">
        <v>2979</v>
      </c>
      <c r="C5" s="10">
        <v>46603</v>
      </c>
      <c r="D5" s="10">
        <v>47651</v>
      </c>
      <c r="E5" s="10">
        <v>63312</v>
      </c>
      <c r="F5" s="10">
        <v>86369</v>
      </c>
      <c r="G5" s="10">
        <v>168868</v>
      </c>
      <c r="H5" s="10">
        <v>270354</v>
      </c>
      <c r="I5" s="10">
        <v>45848</v>
      </c>
      <c r="J5" s="10">
        <v>80080</v>
      </c>
      <c r="K5" s="10">
        <v>46198</v>
      </c>
      <c r="L5" s="10">
        <v>14508</v>
      </c>
      <c r="M5" s="10">
        <v>67239</v>
      </c>
      <c r="N5" s="10">
        <v>31965</v>
      </c>
    </row>
    <row r="6" spans="1:14">
      <c r="A6" s="10">
        <v>58129</v>
      </c>
      <c r="B6" s="10">
        <v>5885</v>
      </c>
      <c r="C6" s="10">
        <v>52890</v>
      </c>
      <c r="D6" s="10">
        <v>54636</v>
      </c>
      <c r="E6" s="10">
        <v>52833</v>
      </c>
      <c r="F6" s="10">
        <v>68901</v>
      </c>
      <c r="G6" s="10">
        <v>161524</v>
      </c>
      <c r="H6" s="10">
        <v>232545</v>
      </c>
      <c r="I6" s="10">
        <v>47595</v>
      </c>
      <c r="J6" s="10">
        <v>56326</v>
      </c>
      <c r="K6" s="10">
        <v>54929</v>
      </c>
      <c r="L6" s="10">
        <v>30568</v>
      </c>
      <c r="M6" s="10">
        <v>71431</v>
      </c>
      <c r="N6" s="10">
        <v>41393</v>
      </c>
    </row>
    <row r="7" spans="1:14">
      <c r="A7" s="10">
        <v>59875</v>
      </c>
      <c r="B7" s="10">
        <v>1234</v>
      </c>
      <c r="C7" s="10">
        <v>62670</v>
      </c>
      <c r="D7" s="10">
        <v>54287</v>
      </c>
      <c r="E7" s="10">
        <v>76237</v>
      </c>
      <c r="F7" s="10">
        <v>77285</v>
      </c>
      <c r="G7" s="10">
        <v>180061</v>
      </c>
      <c r="H7" s="10">
        <v>294519</v>
      </c>
      <c r="I7" s="10">
        <v>36769</v>
      </c>
      <c r="J7" s="10">
        <v>76936</v>
      </c>
      <c r="K7" s="10">
        <v>63312</v>
      </c>
      <c r="L7" s="10">
        <v>40345</v>
      </c>
      <c r="M7" s="10">
        <v>75623</v>
      </c>
      <c r="N7" s="10">
        <v>36853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51"/>
  <sheetViews>
    <sheetView topLeftCell="A17" zoomScale="85" zoomScaleNormal="85" workbookViewId="0">
      <selection activeCell="U53" sqref="U53"/>
    </sheetView>
  </sheetViews>
  <sheetFormatPr defaultColWidth="8.6328125" defaultRowHeight="14.5"/>
  <cols>
    <col min="1" max="1" width="28.6328125" style="28" customWidth="1"/>
    <col min="2" max="2" width="12.6328125"/>
    <col min="3" max="4" width="13.81640625"/>
    <col min="5" max="7" width="13.90625"/>
    <col min="8" max="10" width="13.81640625"/>
    <col min="11" max="11" width="12.6328125"/>
    <col min="12" max="13" width="13.81640625"/>
    <col min="14" max="15" width="13.90625"/>
    <col min="16" max="17" width="13.81640625"/>
    <col min="18" max="19" width="12.6328125"/>
    <col min="20" max="22" width="13.90625"/>
    <col min="23" max="23" width="13.81640625"/>
    <col min="24" max="26" width="13.90625"/>
    <col min="27" max="27" width="12.6328125"/>
    <col min="28" max="29" width="13.90625"/>
    <col min="30" max="31" width="12.6328125"/>
    <col min="32" max="33" width="13.90625"/>
    <col min="34" max="51" width="12.6328125"/>
  </cols>
  <sheetData>
    <row r="1" spans="1:56" ht="14.15" customHeight="1"/>
    <row r="3" spans="1:56">
      <c r="A3" s="29" t="s">
        <v>208</v>
      </c>
    </row>
    <row r="5" spans="1:56" s="25" customFormat="1" ht="13">
      <c r="A5" s="30" t="s">
        <v>147</v>
      </c>
      <c r="B5" s="193" t="s">
        <v>52</v>
      </c>
      <c r="C5" s="193"/>
      <c r="D5" s="193"/>
      <c r="E5" s="193"/>
      <c r="F5" s="193"/>
      <c r="G5" s="193" t="s">
        <v>209</v>
      </c>
      <c r="H5" s="193"/>
      <c r="I5" s="193"/>
      <c r="J5" s="193"/>
      <c r="K5" s="193"/>
      <c r="L5" s="193" t="s">
        <v>210</v>
      </c>
      <c r="M5" s="193"/>
      <c r="N5" s="193"/>
      <c r="O5" s="193"/>
      <c r="P5" s="193"/>
      <c r="Q5" s="193" t="s">
        <v>211</v>
      </c>
      <c r="R5" s="193"/>
      <c r="S5" s="193"/>
      <c r="T5" s="193"/>
      <c r="U5" s="193"/>
      <c r="V5" s="193" t="s">
        <v>212</v>
      </c>
      <c r="W5" s="193"/>
      <c r="X5" s="193"/>
      <c r="Y5" s="193"/>
      <c r="Z5" s="193"/>
      <c r="AA5" s="193" t="s">
        <v>213</v>
      </c>
      <c r="AB5" s="193"/>
      <c r="AC5" s="193"/>
      <c r="AD5" s="193"/>
      <c r="AE5" s="193"/>
      <c r="AF5" s="193" t="s">
        <v>214</v>
      </c>
      <c r="AG5" s="193"/>
      <c r="AH5" s="193"/>
      <c r="AI5" s="193"/>
      <c r="AJ5" s="193"/>
      <c r="AK5" s="193" t="s">
        <v>171</v>
      </c>
      <c r="AL5" s="193"/>
      <c r="AM5" s="193"/>
      <c r="AN5" s="193"/>
      <c r="AO5" s="193"/>
      <c r="AP5" s="193" t="s">
        <v>4</v>
      </c>
      <c r="AQ5" s="193"/>
      <c r="AR5" s="193"/>
      <c r="AS5" s="193"/>
      <c r="AT5" s="193"/>
      <c r="AU5" s="193" t="s">
        <v>6</v>
      </c>
      <c r="AV5" s="193"/>
      <c r="AW5" s="193"/>
      <c r="AX5" s="193"/>
      <c r="AY5" s="193"/>
      <c r="AZ5" s="235"/>
      <c r="BA5" s="235"/>
      <c r="BB5" s="235"/>
      <c r="BC5" s="235"/>
      <c r="BD5" s="235"/>
    </row>
    <row r="6" spans="1:56" s="25" customFormat="1" ht="13">
      <c r="A6" s="30" t="s">
        <v>174</v>
      </c>
      <c r="B6" s="27">
        <v>96.891719749999993</v>
      </c>
      <c r="C6" s="27">
        <v>108.3057325</v>
      </c>
      <c r="D6" s="27">
        <v>106.388535</v>
      </c>
      <c r="E6" s="27">
        <v>94.968152869999997</v>
      </c>
      <c r="F6" s="27">
        <v>93.458598730000006</v>
      </c>
      <c r="G6" s="27">
        <v>98.927419349999994</v>
      </c>
      <c r="H6" s="27">
        <v>102.8677419</v>
      </c>
      <c r="I6" s="27">
        <v>101.4048387</v>
      </c>
      <c r="J6" s="27">
        <v>96.751612899999998</v>
      </c>
      <c r="K6" s="27">
        <v>100.05322580000001</v>
      </c>
      <c r="L6" s="27">
        <v>101.5462395</v>
      </c>
      <c r="M6" s="27">
        <v>104.1603688</v>
      </c>
      <c r="N6" s="27">
        <v>102.13462130000001</v>
      </c>
      <c r="O6" s="27">
        <v>93.859633880000004</v>
      </c>
      <c r="P6" s="27">
        <v>98.300873890000005</v>
      </c>
      <c r="Q6" s="27">
        <v>97.692728889999998</v>
      </c>
      <c r="R6" s="27">
        <v>97.692728889999998</v>
      </c>
      <c r="S6" s="27">
        <v>102.8567113</v>
      </c>
      <c r="T6" s="27">
        <v>101.53881010000001</v>
      </c>
      <c r="U6" s="27">
        <v>100.2209089</v>
      </c>
      <c r="V6" s="27">
        <v>94.537308289999999</v>
      </c>
      <c r="W6" s="27">
        <v>99.623606659999993</v>
      </c>
      <c r="X6" s="27">
        <v>107.40723939999999</v>
      </c>
      <c r="Y6" s="27">
        <v>98.716634769999999</v>
      </c>
      <c r="Z6" s="27">
        <v>99.715210830000004</v>
      </c>
      <c r="AA6" s="27">
        <v>100.7485375</v>
      </c>
      <c r="AB6" s="27">
        <v>97.316219369999999</v>
      </c>
      <c r="AC6" s="27">
        <v>98.424340560000005</v>
      </c>
      <c r="AD6" s="27">
        <v>105.2913581</v>
      </c>
      <c r="AE6" s="27">
        <v>98.221925880000001</v>
      </c>
      <c r="AF6" s="27">
        <v>93.967961180000003</v>
      </c>
      <c r="AG6" s="27">
        <v>99.942434109999994</v>
      </c>
      <c r="AH6" s="27">
        <v>101.67002979999999</v>
      </c>
      <c r="AI6" s="27">
        <v>102.750783</v>
      </c>
      <c r="AJ6" s="27">
        <v>101.67002979999999</v>
      </c>
      <c r="AK6" s="27">
        <v>100.8783665</v>
      </c>
      <c r="AL6" s="27">
        <v>101.9900616</v>
      </c>
      <c r="AM6" s="27">
        <v>102.22816829999999</v>
      </c>
      <c r="AN6" s="27">
        <v>94.026629720000003</v>
      </c>
      <c r="AO6" s="27">
        <v>100.8783665</v>
      </c>
      <c r="AP6" s="27">
        <v>96.685537760000003</v>
      </c>
      <c r="AQ6" s="27">
        <v>97.808957419999999</v>
      </c>
      <c r="AR6" s="27">
        <v>104.92780449999999</v>
      </c>
      <c r="AS6" s="27">
        <v>98.489405419999997</v>
      </c>
      <c r="AT6" s="27">
        <v>102.0903363</v>
      </c>
      <c r="AU6" s="27">
        <v>95.319045299999999</v>
      </c>
      <c r="AV6" s="27">
        <v>93.380418899999995</v>
      </c>
      <c r="AW6" s="27">
        <v>106.13736</v>
      </c>
      <c r="AX6" s="27">
        <v>101.5757428</v>
      </c>
      <c r="AY6" s="27">
        <v>103.587433</v>
      </c>
    </row>
    <row r="7" spans="1:56" s="25" customFormat="1" ht="13">
      <c r="A7" s="30" t="s">
        <v>175</v>
      </c>
      <c r="B7" s="27">
        <v>81.624203820000005</v>
      </c>
      <c r="C7" s="27">
        <v>92.745222929999997</v>
      </c>
      <c r="D7" s="27">
        <v>99.414012740000004</v>
      </c>
      <c r="E7" s="27">
        <v>93.649681529999995</v>
      </c>
      <c r="F7" s="27">
        <v>86.968152869999997</v>
      </c>
      <c r="G7" s="27">
        <v>84.487096769999994</v>
      </c>
      <c r="H7" s="27">
        <v>84.485483869999996</v>
      </c>
      <c r="I7" s="27">
        <v>85.05</v>
      </c>
      <c r="J7" s="27">
        <v>87.864516129999998</v>
      </c>
      <c r="K7" s="27">
        <v>93.419354839999997</v>
      </c>
      <c r="L7" s="27">
        <v>94.756105329999997</v>
      </c>
      <c r="M7" s="27">
        <v>84.161179540000006</v>
      </c>
      <c r="N7" s="27">
        <v>84.762301870000002</v>
      </c>
      <c r="O7" s="27">
        <v>86.786891130000001</v>
      </c>
      <c r="P7" s="27">
        <v>84.70844409</v>
      </c>
      <c r="Q7" s="27">
        <v>90.780356100000006</v>
      </c>
      <c r="R7" s="27">
        <v>91.105111120000004</v>
      </c>
      <c r="S7" s="27">
        <v>86.320638939999995</v>
      </c>
      <c r="T7" s="27">
        <v>87.485603159999997</v>
      </c>
      <c r="U7" s="27">
        <v>90.566999600000003</v>
      </c>
      <c r="V7" s="27">
        <v>81.102333639999998</v>
      </c>
      <c r="W7" s="27">
        <v>84.467199359999995</v>
      </c>
      <c r="X7" s="27">
        <v>88.358108779999995</v>
      </c>
      <c r="Y7" s="27">
        <v>89.636939150000003</v>
      </c>
      <c r="Z7" s="27">
        <v>90.463190549999993</v>
      </c>
      <c r="AA7" s="27">
        <v>88.067852579999993</v>
      </c>
      <c r="AB7" s="27">
        <v>96.835980599999999</v>
      </c>
      <c r="AC7" s="27">
        <v>81.792203459999996</v>
      </c>
      <c r="AD7" s="27">
        <v>94.834059640000007</v>
      </c>
      <c r="AE7" s="27">
        <v>82.101778870000004</v>
      </c>
      <c r="AF7" s="27">
        <v>92.539336689999999</v>
      </c>
      <c r="AG7" s="27">
        <v>88.858214590000003</v>
      </c>
      <c r="AH7" s="27">
        <v>96.019287669999997</v>
      </c>
      <c r="AI7" s="27">
        <v>90.154994610000003</v>
      </c>
      <c r="AJ7" s="27">
        <v>87.836265269999998</v>
      </c>
      <c r="AK7" s="27">
        <v>93.192858389999998</v>
      </c>
      <c r="AL7" s="27">
        <v>84.951502700000006</v>
      </c>
      <c r="AM7" s="27">
        <v>92.914934619999997</v>
      </c>
      <c r="AN7" s="27">
        <v>80.210871679999997</v>
      </c>
      <c r="AO7" s="27">
        <v>93.433354039999998</v>
      </c>
      <c r="AP7" s="27">
        <v>84.001986909999999</v>
      </c>
      <c r="AQ7" s="27">
        <v>90.529524640000005</v>
      </c>
      <c r="AR7" s="27">
        <v>84.026483040000002</v>
      </c>
      <c r="AS7" s="27">
        <v>84.328601950000007</v>
      </c>
      <c r="AT7" s="27">
        <v>83.551530330000006</v>
      </c>
      <c r="AU7" s="27">
        <v>95.932781300000002</v>
      </c>
      <c r="AV7" s="27">
        <v>90.674622499999998</v>
      </c>
      <c r="AW7" s="27">
        <v>94.695567460000007</v>
      </c>
      <c r="AX7" s="27">
        <v>83.2513395</v>
      </c>
      <c r="AY7" s="27">
        <v>85.263029709999998</v>
      </c>
    </row>
    <row r="8" spans="1:56" s="25" customFormat="1" ht="13">
      <c r="A8" s="30" t="s">
        <v>215</v>
      </c>
      <c r="B8" s="27">
        <v>51.815286620000002</v>
      </c>
      <c r="C8" s="27">
        <v>50.917197450000003</v>
      </c>
      <c r="D8" s="27">
        <v>43.828025480000001</v>
      </c>
      <c r="E8" s="27">
        <v>40.993630570000001</v>
      </c>
      <c r="F8" s="27">
        <v>43.528662420000003</v>
      </c>
      <c r="G8" s="27">
        <v>46.104838710000003</v>
      </c>
      <c r="H8" s="27">
        <v>53.022580650000002</v>
      </c>
      <c r="I8" s="27">
        <v>47.996774189999996</v>
      </c>
      <c r="J8" s="27">
        <v>46.364516129999998</v>
      </c>
      <c r="K8" s="27">
        <v>47.996774189999996</v>
      </c>
      <c r="L8" s="27">
        <v>51.128407369999998</v>
      </c>
      <c r="M8" s="27">
        <v>40.460512979999997</v>
      </c>
      <c r="N8" s="27">
        <v>45.48028979</v>
      </c>
      <c r="O8" s="27">
        <v>45.724676709999997</v>
      </c>
      <c r="P8" s="27">
        <v>45.989911800000002</v>
      </c>
      <c r="Q8" s="27">
        <v>54.23219984</v>
      </c>
      <c r="R8" s="27">
        <v>50.682551969999999</v>
      </c>
      <c r="S8" s="27">
        <v>46.01891887</v>
      </c>
      <c r="T8" s="27">
        <v>48.00332307</v>
      </c>
      <c r="U8" s="27">
        <v>49.772482680000003</v>
      </c>
      <c r="V8" s="27">
        <v>53.368040120000003</v>
      </c>
      <c r="W8" s="27">
        <v>45.334083100000001</v>
      </c>
      <c r="X8" s="27">
        <v>46.241054990000002</v>
      </c>
      <c r="Y8" s="27">
        <v>52.07923306</v>
      </c>
      <c r="Z8" s="27">
        <v>52.461068230000002</v>
      </c>
      <c r="AA8" s="27">
        <v>43.06193889</v>
      </c>
      <c r="AB8" s="27">
        <v>45.790965159999999</v>
      </c>
      <c r="AC8" s="27">
        <v>51.938021419999998</v>
      </c>
      <c r="AD8" s="27">
        <v>47.53014391</v>
      </c>
      <c r="AE8" s="27">
        <v>47.213424459999999</v>
      </c>
      <c r="AF8" s="27">
        <v>43.584807560000002</v>
      </c>
      <c r="AG8" s="27">
        <v>47.508572979999997</v>
      </c>
      <c r="AH8" s="27">
        <v>52.869628730000002</v>
      </c>
      <c r="AI8" s="27">
        <v>54.942619809999997</v>
      </c>
      <c r="AJ8" s="27">
        <v>49.449719600000002</v>
      </c>
      <c r="AK8" s="27">
        <v>35.352859670000001</v>
      </c>
      <c r="AL8" s="27">
        <v>35.550352779999997</v>
      </c>
      <c r="AM8" s="27">
        <v>33.961648109999999</v>
      </c>
      <c r="AN8" s="27">
        <v>33.346074819999998</v>
      </c>
      <c r="AO8" s="27">
        <v>37.925048179999997</v>
      </c>
      <c r="AP8" s="27">
        <v>30.092132660000001</v>
      </c>
      <c r="AQ8" s="27">
        <v>27.664294170000002</v>
      </c>
      <c r="AR8" s="27">
        <v>32.350539599999998</v>
      </c>
      <c r="AS8" s="27">
        <v>31.057688379999998</v>
      </c>
      <c r="AT8" s="27">
        <v>32.274329420000001</v>
      </c>
      <c r="AU8" s="27">
        <v>31.005845099999998</v>
      </c>
      <c r="AV8" s="27">
        <v>34.405747689999998</v>
      </c>
      <c r="AW8" s="27">
        <v>32.705796399999997</v>
      </c>
      <c r="AX8" s="27">
        <v>29.305893810000001</v>
      </c>
      <c r="AY8" s="27">
        <v>29.191427180000002</v>
      </c>
    </row>
    <row r="11" spans="1:56" s="26" customFormat="1" ht="14">
      <c r="A11" s="29" t="s">
        <v>146</v>
      </c>
      <c r="B11" s="193" t="s">
        <v>52</v>
      </c>
      <c r="C11" s="193"/>
      <c r="D11" s="193"/>
      <c r="E11" s="193"/>
      <c r="F11" s="193"/>
      <c r="G11" s="193" t="s">
        <v>209</v>
      </c>
      <c r="H11" s="193"/>
      <c r="I11" s="193"/>
      <c r="J11" s="193"/>
      <c r="K11" s="193"/>
      <c r="L11" s="193" t="s">
        <v>210</v>
      </c>
      <c r="M11" s="193"/>
      <c r="N11" s="193"/>
      <c r="O11" s="193"/>
      <c r="P11" s="193"/>
      <c r="Q11" s="193" t="s">
        <v>211</v>
      </c>
      <c r="R11" s="193"/>
      <c r="S11" s="193"/>
      <c r="T11" s="193"/>
      <c r="U11" s="193"/>
      <c r="V11" s="193" t="s">
        <v>212</v>
      </c>
      <c r="W11" s="193"/>
      <c r="X11" s="193"/>
      <c r="Y11" s="193"/>
      <c r="Z11" s="193"/>
      <c r="AA11" s="193" t="s">
        <v>213</v>
      </c>
      <c r="AB11" s="193"/>
      <c r="AC11" s="193"/>
      <c r="AD11" s="193"/>
      <c r="AE11" s="193"/>
      <c r="AF11" s="193" t="s">
        <v>214</v>
      </c>
      <c r="AG11" s="193"/>
      <c r="AH11" s="193"/>
      <c r="AI11" s="193"/>
      <c r="AJ11" s="193"/>
      <c r="AK11" s="193" t="s">
        <v>171</v>
      </c>
      <c r="AL11" s="193"/>
      <c r="AM11" s="193"/>
      <c r="AN11" s="193"/>
      <c r="AO11" s="193"/>
      <c r="AP11" s="193" t="s">
        <v>4</v>
      </c>
      <c r="AQ11" s="193"/>
      <c r="AR11" s="193"/>
      <c r="AS11" s="193"/>
      <c r="AT11" s="193"/>
      <c r="AU11" s="193" t="s">
        <v>6</v>
      </c>
      <c r="AV11" s="193"/>
      <c r="AW11" s="193"/>
      <c r="AX11" s="193"/>
      <c r="AY11" s="193"/>
      <c r="AZ11" s="202"/>
      <c r="BA11" s="202"/>
      <c r="BB11" s="202"/>
      <c r="BC11" s="202"/>
      <c r="BD11" s="202"/>
    </row>
    <row r="12" spans="1:56" s="26" customFormat="1" ht="14">
      <c r="A12" s="29" t="s">
        <v>174</v>
      </c>
      <c r="B12" s="27">
        <v>96.880712310000007</v>
      </c>
      <c r="C12" s="27">
        <v>102.0814907</v>
      </c>
      <c r="D12" s="27">
        <v>96.326434340000006</v>
      </c>
      <c r="E12" s="27">
        <v>102.5001474</v>
      </c>
      <c r="F12" s="27">
        <v>102.2230084</v>
      </c>
      <c r="G12" s="27">
        <v>94.145311809999995</v>
      </c>
      <c r="H12" s="27">
        <v>97.555917640000004</v>
      </c>
      <c r="I12" s="27">
        <v>90.401422010000005</v>
      </c>
      <c r="J12" s="27">
        <v>108.9579322</v>
      </c>
      <c r="K12" s="27">
        <v>108.95052579999999</v>
      </c>
      <c r="L12" s="27">
        <v>90.717932200000007</v>
      </c>
      <c r="M12" s="27">
        <v>102.1523097</v>
      </c>
      <c r="N12" s="27">
        <v>104.6193497</v>
      </c>
      <c r="O12" s="27">
        <v>104.01343180000001</v>
      </c>
      <c r="P12" s="27">
        <v>98.500693889999994</v>
      </c>
      <c r="Q12" s="27">
        <v>92.150949900000001</v>
      </c>
      <c r="R12" s="27">
        <v>92.155257829999996</v>
      </c>
      <c r="S12" s="27">
        <v>105.1609012</v>
      </c>
      <c r="T12" s="27">
        <v>118.1708525</v>
      </c>
      <c r="U12" s="27">
        <v>92.366346440000001</v>
      </c>
      <c r="V12" s="27">
        <v>93.348157259999994</v>
      </c>
      <c r="W12" s="27">
        <v>95.12229739</v>
      </c>
      <c r="X12" s="27">
        <v>100.3323556</v>
      </c>
      <c r="Y12" s="27">
        <v>105.777783</v>
      </c>
      <c r="Z12" s="27">
        <v>105.4241378</v>
      </c>
      <c r="AA12" s="27">
        <v>100.324591</v>
      </c>
      <c r="AB12" s="27">
        <v>100.3667878</v>
      </c>
      <c r="AC12" s="27">
        <v>92.316930670000005</v>
      </c>
      <c r="AD12" s="27">
        <v>100.3332468</v>
      </c>
      <c r="AE12" s="27">
        <v>106.65844370000001</v>
      </c>
      <c r="AF12" s="27">
        <v>99.788612659999998</v>
      </c>
      <c r="AG12" s="27">
        <v>100.0252746</v>
      </c>
      <c r="AH12" s="27">
        <v>96.689030829999993</v>
      </c>
      <c r="AI12" s="27">
        <v>109.2183264</v>
      </c>
      <c r="AJ12" s="27">
        <v>94.283350949999999</v>
      </c>
      <c r="AK12" s="27">
        <v>99.556973069999998</v>
      </c>
      <c r="AL12" s="27">
        <v>102.42448520000001</v>
      </c>
      <c r="AM12" s="27">
        <v>99.985748439999995</v>
      </c>
      <c r="AN12" s="27">
        <v>102.4195708</v>
      </c>
      <c r="AO12" s="27">
        <v>95.613222500000006</v>
      </c>
      <c r="AP12" s="27">
        <v>102.62733160000001</v>
      </c>
      <c r="AQ12" s="27">
        <v>102.9362938</v>
      </c>
      <c r="AR12" s="27">
        <v>106.602338</v>
      </c>
      <c r="AS12" s="27">
        <v>90.945562699999996</v>
      </c>
      <c r="AT12" s="27">
        <v>96.893085240000005</v>
      </c>
      <c r="AU12" s="27">
        <v>95.97309722</v>
      </c>
      <c r="AV12" s="27">
        <v>100.9513877</v>
      </c>
      <c r="AW12" s="27">
        <v>91.060786649999997</v>
      </c>
      <c r="AX12" s="27">
        <v>103.27132640000001</v>
      </c>
      <c r="AY12" s="27">
        <v>108.743402</v>
      </c>
    </row>
    <row r="13" spans="1:56" s="26" customFormat="1" ht="14">
      <c r="A13" s="29" t="s">
        <v>175</v>
      </c>
      <c r="B13" s="27">
        <v>35.857067039999997</v>
      </c>
      <c r="C13" s="27">
        <v>37.637832420000002</v>
      </c>
      <c r="D13" s="27">
        <v>31.464119350000001</v>
      </c>
      <c r="E13" s="27">
        <v>31.470015920000002</v>
      </c>
      <c r="F13" s="27">
        <v>28.179727580000002</v>
      </c>
      <c r="G13" s="27">
        <v>31.59531921</v>
      </c>
      <c r="H13" s="27">
        <v>34.97259665</v>
      </c>
      <c r="I13" s="27">
        <v>29.965930969999999</v>
      </c>
      <c r="J13" s="27">
        <v>38.664642280000002</v>
      </c>
      <c r="K13" s="27">
        <v>34.602281140000002</v>
      </c>
      <c r="L13" s="27">
        <v>26.94166336</v>
      </c>
      <c r="M13" s="27">
        <v>36.357553529999997</v>
      </c>
      <c r="N13" s="27">
        <v>38.561905230000001</v>
      </c>
      <c r="O13" s="27">
        <v>39.829500400000001</v>
      </c>
      <c r="P13" s="27">
        <v>35.988302930000003</v>
      </c>
      <c r="Q13" s="27">
        <v>33.35630896</v>
      </c>
      <c r="R13" s="27">
        <v>32.016542450000003</v>
      </c>
      <c r="S13" s="27">
        <v>27.75169086</v>
      </c>
      <c r="T13" s="27">
        <v>34.859776850000003</v>
      </c>
      <c r="U13" s="27">
        <v>36.16077198</v>
      </c>
      <c r="V13" s="27">
        <v>32.423002320000002</v>
      </c>
      <c r="W13" s="27">
        <v>31.648294459999999</v>
      </c>
      <c r="X13" s="27">
        <v>32.696219900000003</v>
      </c>
      <c r="Y13" s="27">
        <v>27.752282730000001</v>
      </c>
      <c r="Z13" s="27">
        <v>32.95760988</v>
      </c>
      <c r="AA13" s="27">
        <v>27.895351860000002</v>
      </c>
      <c r="AB13" s="27">
        <v>43.001817709999997</v>
      </c>
      <c r="AC13" s="27">
        <v>33.192677230000001</v>
      </c>
      <c r="AD13" s="27">
        <v>35.847831730000003</v>
      </c>
      <c r="AE13" s="27">
        <v>38.715052370000002</v>
      </c>
      <c r="AF13" s="27">
        <v>28.34428565</v>
      </c>
      <c r="AG13" s="27">
        <v>37.732640959999998</v>
      </c>
      <c r="AH13" s="27">
        <v>32.9396627</v>
      </c>
      <c r="AI13" s="27">
        <v>32.645558569999999</v>
      </c>
      <c r="AJ13" s="27">
        <v>38.720647030000002</v>
      </c>
      <c r="AK13" s="27">
        <v>48.175186070000002</v>
      </c>
      <c r="AL13" s="27">
        <v>50.671666180000003</v>
      </c>
      <c r="AM13" s="27">
        <v>52.002221280000001</v>
      </c>
      <c r="AN13" s="27">
        <v>47.326235400000002</v>
      </c>
      <c r="AO13" s="27">
        <v>55.09210685</v>
      </c>
      <c r="AP13" s="27">
        <v>62.559083260000001</v>
      </c>
      <c r="AQ13" s="27">
        <v>64.275668069999995</v>
      </c>
      <c r="AR13" s="27">
        <v>68.980424709999994</v>
      </c>
      <c r="AS13" s="27">
        <v>59.919070349999998</v>
      </c>
      <c r="AT13" s="27">
        <v>70.177076850000006</v>
      </c>
      <c r="AU13" s="27">
        <v>63.538651459999997</v>
      </c>
      <c r="AV13" s="27">
        <v>58.383705089999999</v>
      </c>
      <c r="AW13" s="27">
        <v>66.918525459999998</v>
      </c>
      <c r="AX13" s="27">
        <v>68.404137579999997</v>
      </c>
      <c r="AY13" s="27">
        <v>73.241954710000002</v>
      </c>
    </row>
    <row r="14" spans="1:56" s="26" customFormat="1" ht="14">
      <c r="A14" s="29" t="s">
        <v>215</v>
      </c>
      <c r="B14" s="27">
        <v>81.248894390000004</v>
      </c>
      <c r="C14" s="27">
        <v>78.636712070000002</v>
      </c>
      <c r="D14" s="27">
        <v>86.591190519999998</v>
      </c>
      <c r="E14" s="27">
        <v>90.984138220000006</v>
      </c>
      <c r="F14" s="27">
        <v>88.649094880000007</v>
      </c>
      <c r="G14" s="27">
        <v>79.040142200000005</v>
      </c>
      <c r="H14" s="27">
        <v>90.334765219999994</v>
      </c>
      <c r="I14" s="27">
        <v>88.660939119999995</v>
      </c>
      <c r="J14" s="27">
        <v>88.672048590000003</v>
      </c>
      <c r="K14" s="27">
        <v>88.775736929999994</v>
      </c>
      <c r="L14" s="27">
        <v>88.633772800000003</v>
      </c>
      <c r="M14" s="27">
        <v>86.019280330000001</v>
      </c>
      <c r="N14" s="27">
        <v>87.642496030000004</v>
      </c>
      <c r="O14" s="27">
        <v>87.224920699999998</v>
      </c>
      <c r="P14" s="27">
        <v>86.403400079999997</v>
      </c>
      <c r="Q14" s="27">
        <v>83.70740533</v>
      </c>
      <c r="R14" s="27">
        <v>85.262568389999998</v>
      </c>
      <c r="S14" s="27">
        <v>92.155257829999996</v>
      </c>
      <c r="T14" s="27">
        <v>81.816223669999999</v>
      </c>
      <c r="U14" s="27">
        <v>85.253952530000007</v>
      </c>
      <c r="V14" s="27">
        <v>92.888063590000002</v>
      </c>
      <c r="W14" s="27">
        <v>90.058901449999993</v>
      </c>
      <c r="X14" s="27">
        <v>84.510573879999995</v>
      </c>
      <c r="Y14" s="27">
        <v>85.682689120000006</v>
      </c>
      <c r="Z14" s="27">
        <v>85.694516719999996</v>
      </c>
      <c r="AA14" s="27">
        <v>91.277157450000004</v>
      </c>
      <c r="AB14" s="27">
        <v>82.85510257</v>
      </c>
      <c r="AC14" s="27">
        <v>80.305981130000006</v>
      </c>
      <c r="AD14" s="27">
        <v>84.849173370000003</v>
      </c>
      <c r="AE14" s="27">
        <v>81.773132520000004</v>
      </c>
      <c r="AF14" s="27">
        <v>88.741326229999999</v>
      </c>
      <c r="AG14" s="27">
        <v>85.986397679999996</v>
      </c>
      <c r="AH14" s="27">
        <v>86.354027849999994</v>
      </c>
      <c r="AI14" s="27">
        <v>89.166398599999994</v>
      </c>
      <c r="AJ14" s="27">
        <v>88.084187310000004</v>
      </c>
      <c r="AK14" s="27">
        <v>69.213436759999993</v>
      </c>
      <c r="AL14" s="27">
        <v>71.776260339999993</v>
      </c>
      <c r="AM14" s="27">
        <v>79.270615000000006</v>
      </c>
      <c r="AN14" s="27">
        <v>68.089283559999998</v>
      </c>
      <c r="AO14" s="27">
        <v>67.984854029999994</v>
      </c>
      <c r="AP14" s="27">
        <v>65.048073599999995</v>
      </c>
      <c r="AQ14" s="27">
        <v>63.158562170000003</v>
      </c>
      <c r="AR14" s="27">
        <v>67.720366139999996</v>
      </c>
      <c r="AS14" s="27">
        <v>66.685112169999996</v>
      </c>
      <c r="AT14" s="27">
        <v>66.620552900000007</v>
      </c>
      <c r="AU14" s="27">
        <v>58.145326070000003</v>
      </c>
      <c r="AV14" s="27">
        <v>61.174016690000002</v>
      </c>
      <c r="AW14" s="27">
        <v>58.404988930000002</v>
      </c>
      <c r="AX14" s="27">
        <v>67.661331520000005</v>
      </c>
      <c r="AY14" s="27">
        <v>63.515239229999999</v>
      </c>
    </row>
    <row r="19" spans="1:51">
      <c r="A19" s="29" t="s">
        <v>216</v>
      </c>
    </row>
    <row r="21" spans="1:51" s="25" customFormat="1" ht="13">
      <c r="A21" s="30" t="s">
        <v>147</v>
      </c>
      <c r="B21" s="193" t="s">
        <v>52</v>
      </c>
      <c r="C21" s="193"/>
      <c r="D21" s="193"/>
      <c r="E21" s="193"/>
      <c r="F21" s="193"/>
      <c r="G21" s="193" t="s">
        <v>217</v>
      </c>
      <c r="H21" s="193"/>
      <c r="I21" s="193"/>
      <c r="J21" s="193"/>
      <c r="K21" s="193"/>
      <c r="L21" s="193" t="s">
        <v>218</v>
      </c>
      <c r="M21" s="193"/>
      <c r="N21" s="193"/>
      <c r="O21" s="193"/>
      <c r="P21" s="193"/>
      <c r="Q21" s="193" t="s">
        <v>219</v>
      </c>
      <c r="R21" s="193"/>
      <c r="S21" s="193"/>
      <c r="T21" s="193"/>
      <c r="U21" s="193"/>
      <c r="V21" s="193" t="s">
        <v>220</v>
      </c>
      <c r="W21" s="193"/>
      <c r="X21" s="193"/>
      <c r="Y21" s="193"/>
      <c r="Z21" s="193"/>
      <c r="AA21" s="193" t="s">
        <v>221</v>
      </c>
      <c r="AB21" s="193"/>
      <c r="AC21" s="193"/>
      <c r="AD21" s="193"/>
      <c r="AE21" s="193"/>
      <c r="AF21" s="193" t="s">
        <v>222</v>
      </c>
      <c r="AG21" s="193"/>
      <c r="AH21" s="193"/>
      <c r="AI21" s="193"/>
      <c r="AJ21" s="193"/>
      <c r="AK21" s="193" t="s">
        <v>172</v>
      </c>
      <c r="AL21" s="193"/>
      <c r="AM21" s="193"/>
      <c r="AN21" s="193"/>
      <c r="AO21" s="193"/>
      <c r="AP21" s="193" t="s">
        <v>4</v>
      </c>
      <c r="AQ21" s="193"/>
      <c r="AR21" s="193"/>
      <c r="AS21" s="193"/>
      <c r="AT21" s="193"/>
      <c r="AU21" s="193" t="s">
        <v>6</v>
      </c>
      <c r="AV21" s="193"/>
      <c r="AW21" s="193"/>
      <c r="AX21" s="193"/>
      <c r="AY21" s="193"/>
    </row>
    <row r="22" spans="1:51" s="25" customFormat="1" ht="13">
      <c r="A22" s="30" t="s">
        <v>174</v>
      </c>
      <c r="B22" s="27">
        <v>101.0887316</v>
      </c>
      <c r="C22" s="27">
        <v>95.656738469999993</v>
      </c>
      <c r="D22" s="27">
        <v>101.0887316</v>
      </c>
      <c r="E22" s="27">
        <v>97.013764679999994</v>
      </c>
      <c r="F22" s="27">
        <v>105.1598102</v>
      </c>
      <c r="G22" s="27">
        <v>97.447081780000005</v>
      </c>
      <c r="H22" s="27">
        <v>104.3969242</v>
      </c>
      <c r="I22" s="27">
        <v>101.7772848</v>
      </c>
      <c r="J22" s="27">
        <v>94.601424499999993</v>
      </c>
      <c r="K22" s="27">
        <v>101.7772848</v>
      </c>
      <c r="L22" s="27">
        <v>109.01592170000001</v>
      </c>
      <c r="M22" s="27">
        <v>83.872370360000005</v>
      </c>
      <c r="N22" s="27">
        <v>109.78579190000001</v>
      </c>
      <c r="O22" s="27">
        <v>98.615000960000003</v>
      </c>
      <c r="P22" s="27">
        <v>98.710915020000002</v>
      </c>
      <c r="Q22" s="27">
        <v>101.7648363</v>
      </c>
      <c r="R22" s="27">
        <v>94.638161019999998</v>
      </c>
      <c r="S22" s="27">
        <v>102.22980889999999</v>
      </c>
      <c r="T22" s="27">
        <v>101.84484019999999</v>
      </c>
      <c r="U22" s="27">
        <v>99.523937770000003</v>
      </c>
      <c r="V22" s="27">
        <v>101.8540478</v>
      </c>
      <c r="W22" s="27">
        <v>104.6695818</v>
      </c>
      <c r="X22" s="27">
        <v>105.7093802</v>
      </c>
      <c r="Y22" s="27">
        <v>88.210183060000006</v>
      </c>
      <c r="Z22" s="27">
        <v>99.557054280000003</v>
      </c>
      <c r="AA22" s="27">
        <v>97.579617830000004</v>
      </c>
      <c r="AB22" s="27">
        <v>104.61743130000001</v>
      </c>
      <c r="AC22" s="27">
        <v>97.298234300000004</v>
      </c>
      <c r="AD22" s="27">
        <v>97.861001369999997</v>
      </c>
      <c r="AE22" s="27">
        <v>102.6469403</v>
      </c>
      <c r="AF22" s="27">
        <v>95.381188940000001</v>
      </c>
      <c r="AG22" s="27">
        <v>103.81952149999999</v>
      </c>
      <c r="AH22" s="27">
        <v>100.13460259999999</v>
      </c>
      <c r="AI22" s="27">
        <v>100.8554896</v>
      </c>
      <c r="AJ22" s="27">
        <v>99.809197380000001</v>
      </c>
      <c r="AK22" s="27">
        <v>104.9848561</v>
      </c>
      <c r="AL22" s="27">
        <v>97.573826350000004</v>
      </c>
      <c r="AM22" s="27">
        <v>97.305653710000001</v>
      </c>
      <c r="AN22" s="27">
        <v>102.465085</v>
      </c>
      <c r="AO22" s="27">
        <v>97.67268215</v>
      </c>
      <c r="AP22" s="27">
        <v>94.063165690000005</v>
      </c>
      <c r="AQ22" s="27">
        <v>99.787749680000005</v>
      </c>
      <c r="AR22" s="27">
        <v>107.7699052</v>
      </c>
      <c r="AS22" s="27">
        <v>102.4273718</v>
      </c>
      <c r="AT22" s="27">
        <v>95.951807599999995</v>
      </c>
      <c r="AU22" s="27">
        <v>99.898889560000001</v>
      </c>
      <c r="AV22" s="27">
        <v>88.127505589999998</v>
      </c>
      <c r="AW22" s="27">
        <v>109.082201</v>
      </c>
      <c r="AX22" s="27">
        <v>93.702770779999994</v>
      </c>
      <c r="AY22" s="27">
        <v>109.1921808</v>
      </c>
    </row>
    <row r="23" spans="1:51" s="25" customFormat="1" ht="13">
      <c r="A23" s="30" t="s">
        <v>175</v>
      </c>
      <c r="B23" s="27">
        <v>98.370790889999995</v>
      </c>
      <c r="C23" s="27">
        <v>92.94268606</v>
      </c>
      <c r="D23" s="27">
        <v>84.543899210000006</v>
      </c>
      <c r="E23" s="27">
        <v>86.705809160000001</v>
      </c>
      <c r="F23" s="27">
        <v>90.228633639999998</v>
      </c>
      <c r="G23" s="27">
        <v>93.437140330000005</v>
      </c>
      <c r="H23" s="27">
        <v>85.38806692</v>
      </c>
      <c r="I23" s="27">
        <v>87.716635249999996</v>
      </c>
      <c r="J23" s="27">
        <v>88.298777329999993</v>
      </c>
      <c r="K23" s="27">
        <v>94.310353460000002</v>
      </c>
      <c r="L23" s="27">
        <v>94.763092270000001</v>
      </c>
      <c r="M23" s="27">
        <v>97.274761810000001</v>
      </c>
      <c r="N23" s="27">
        <v>90.127245990000006</v>
      </c>
      <c r="O23" s="27">
        <v>91.774410130000007</v>
      </c>
      <c r="P23" s="27">
        <v>86.552848650000001</v>
      </c>
      <c r="Q23" s="27">
        <v>94.93124426</v>
      </c>
      <c r="R23" s="27">
        <v>85.211178349999997</v>
      </c>
      <c r="S23" s="27">
        <v>85.890814610000007</v>
      </c>
      <c r="T23" s="27">
        <v>93.101454329999996</v>
      </c>
      <c r="U23" s="27">
        <v>90.556382880000001</v>
      </c>
      <c r="V23" s="27">
        <v>96.180735690000006</v>
      </c>
      <c r="W23" s="27">
        <v>94.441068209999997</v>
      </c>
      <c r="X23" s="27">
        <v>87.029323849999997</v>
      </c>
      <c r="Y23" s="27">
        <v>93.233281450000007</v>
      </c>
      <c r="Z23" s="27">
        <v>93.140393779999997</v>
      </c>
      <c r="AA23" s="27">
        <v>88.773683790000007</v>
      </c>
      <c r="AB23" s="27">
        <v>93.176650809999998</v>
      </c>
      <c r="AC23" s="27">
        <v>95.991292430000001</v>
      </c>
      <c r="AD23" s="27">
        <v>89.517052329999999</v>
      </c>
      <c r="AE23" s="27">
        <v>93.176650809999998</v>
      </c>
      <c r="AF23" s="27">
        <v>91.059336149999993</v>
      </c>
      <c r="AG23" s="27">
        <v>94.953791069999994</v>
      </c>
      <c r="AH23" s="27">
        <v>88.506744010000006</v>
      </c>
      <c r="AI23" s="27">
        <v>95.446408750000003</v>
      </c>
      <c r="AJ23" s="27">
        <v>90.020676069999993</v>
      </c>
      <c r="AK23" s="27">
        <v>87.425332319999995</v>
      </c>
      <c r="AL23" s="27">
        <v>88.678907960000004</v>
      </c>
      <c r="AM23" s="27">
        <v>86.690223790000005</v>
      </c>
      <c r="AN23" s="27">
        <v>85.376703689999999</v>
      </c>
      <c r="AO23" s="27">
        <v>87.016237590000003</v>
      </c>
      <c r="AP23" s="27">
        <v>92.498687910000001</v>
      </c>
      <c r="AQ23" s="27">
        <v>93.336111880000004</v>
      </c>
      <c r="AR23" s="27">
        <v>87.626964279999996</v>
      </c>
      <c r="AS23" s="27">
        <v>84.454786819999995</v>
      </c>
      <c r="AT23" s="27">
        <v>87.694884380000005</v>
      </c>
      <c r="AU23" s="27">
        <v>92.157732289999998</v>
      </c>
      <c r="AV23" s="27">
        <v>93.931599669999997</v>
      </c>
      <c r="AW23" s="27">
        <v>90.469010539999999</v>
      </c>
      <c r="AX23" s="27">
        <v>99.304643979999994</v>
      </c>
      <c r="AY23" s="27">
        <v>95.306346899999994</v>
      </c>
    </row>
    <row r="24" spans="1:51" s="25" customFormat="1" ht="13">
      <c r="A24" s="30" t="s">
        <v>215</v>
      </c>
      <c r="B24" s="27">
        <v>48.075278019999999</v>
      </c>
      <c r="C24" s="27">
        <v>49.988335020000001</v>
      </c>
      <c r="D24" s="27">
        <v>56.777354379999998</v>
      </c>
      <c r="E24" s="27">
        <v>49.07846644</v>
      </c>
      <c r="F24" s="27">
        <v>51.345361230000002</v>
      </c>
      <c r="G24" s="27">
        <v>34.397257760000002</v>
      </c>
      <c r="H24" s="27">
        <v>31.09789662</v>
      </c>
      <c r="I24" s="27">
        <v>33.22880352</v>
      </c>
      <c r="J24" s="27">
        <v>30.47655585</v>
      </c>
      <c r="K24" s="27">
        <v>29.897749829999999</v>
      </c>
      <c r="L24" s="27">
        <v>31.301234090000001</v>
      </c>
      <c r="M24" s="27">
        <v>33.532834579999999</v>
      </c>
      <c r="N24" s="27">
        <v>28.09258904</v>
      </c>
      <c r="O24" s="27">
        <v>26.692243749999999</v>
      </c>
      <c r="P24" s="27">
        <v>32.193874289999997</v>
      </c>
      <c r="Q24" s="27">
        <v>35.471784800000002</v>
      </c>
      <c r="R24" s="27">
        <v>29.121383990000002</v>
      </c>
      <c r="S24" s="27">
        <v>35.453566109999997</v>
      </c>
      <c r="T24" s="27">
        <v>31.569025060000001</v>
      </c>
      <c r="U24" s="27">
        <v>28.321345959999999</v>
      </c>
      <c r="V24" s="27">
        <v>26.116010769999999</v>
      </c>
      <c r="W24" s="27">
        <v>32.114182659999997</v>
      </c>
      <c r="X24" s="27">
        <v>30.59314706</v>
      </c>
      <c r="Y24" s="27">
        <v>29.557548359999998</v>
      </c>
      <c r="Z24" s="27">
        <v>35.706415669999998</v>
      </c>
      <c r="AA24" s="27">
        <v>30.083850680000001</v>
      </c>
      <c r="AB24" s="27">
        <v>33.442715470000003</v>
      </c>
      <c r="AC24" s="27">
        <v>27.91260179</v>
      </c>
      <c r="AD24" s="27">
        <v>34.568249620000003</v>
      </c>
      <c r="AE24" s="27">
        <v>34.865758280000001</v>
      </c>
      <c r="AF24" s="27">
        <v>30.67551066</v>
      </c>
      <c r="AG24" s="27">
        <v>26.745670520000001</v>
      </c>
      <c r="AH24" s="27">
        <v>28.923595689999999</v>
      </c>
      <c r="AI24" s="27">
        <v>31.621891649999998</v>
      </c>
      <c r="AJ24" s="27">
        <v>33.749167409999998</v>
      </c>
      <c r="AK24" s="27">
        <v>41.825466939999998</v>
      </c>
      <c r="AL24" s="27">
        <v>40.258497390000002</v>
      </c>
      <c r="AM24" s="27">
        <v>43.720553590000002</v>
      </c>
      <c r="AN24" s="27">
        <v>42.351295639999996</v>
      </c>
      <c r="AO24" s="27">
        <v>41.567810870000002</v>
      </c>
      <c r="AP24" s="27">
        <v>34.973449410000001</v>
      </c>
      <c r="AQ24" s="27">
        <v>32.988330089999998</v>
      </c>
      <c r="AR24" s="27">
        <v>34.39612855</v>
      </c>
      <c r="AS24" s="27">
        <v>30.799450459999999</v>
      </c>
      <c r="AT24" s="27">
        <v>32.165570680000002</v>
      </c>
      <c r="AU24" s="27">
        <v>27.207577959999998</v>
      </c>
      <c r="AV24" s="27">
        <v>24.729485220000001</v>
      </c>
      <c r="AW24" s="27">
        <v>30.922056269999999</v>
      </c>
      <c r="AX24" s="27">
        <v>28.445737399999999</v>
      </c>
      <c r="AY24" s="27">
        <v>29.06481711</v>
      </c>
    </row>
    <row r="25" spans="1:51" s="25" customFormat="1" ht="13">
      <c r="A25" s="30"/>
    </row>
    <row r="26" spans="1:51" s="25" customFormat="1" ht="13">
      <c r="A26" s="30" t="s">
        <v>146</v>
      </c>
      <c r="B26" s="193" t="s">
        <v>52</v>
      </c>
      <c r="C26" s="193"/>
      <c r="D26" s="193"/>
      <c r="E26" s="193"/>
      <c r="F26" s="193"/>
      <c r="G26" s="193" t="s">
        <v>217</v>
      </c>
      <c r="H26" s="193"/>
      <c r="I26" s="193"/>
      <c r="J26" s="193"/>
      <c r="K26" s="193"/>
      <c r="L26" s="193" t="s">
        <v>218</v>
      </c>
      <c r="M26" s="193"/>
      <c r="N26" s="193"/>
      <c r="O26" s="193"/>
      <c r="P26" s="193"/>
      <c r="Q26" s="193" t="s">
        <v>219</v>
      </c>
      <c r="R26" s="193"/>
      <c r="S26" s="193"/>
      <c r="T26" s="193"/>
      <c r="U26" s="193"/>
      <c r="V26" s="193" t="s">
        <v>220</v>
      </c>
      <c r="W26" s="193"/>
      <c r="X26" s="193"/>
      <c r="Y26" s="193"/>
      <c r="Z26" s="193"/>
      <c r="AA26" s="193" t="s">
        <v>221</v>
      </c>
      <c r="AB26" s="193"/>
      <c r="AC26" s="193"/>
      <c r="AD26" s="193"/>
      <c r="AE26" s="193"/>
      <c r="AF26" s="193" t="s">
        <v>222</v>
      </c>
      <c r="AG26" s="193"/>
      <c r="AH26" s="193"/>
      <c r="AI26" s="193"/>
      <c r="AJ26" s="193"/>
      <c r="AK26" s="193" t="s">
        <v>172</v>
      </c>
      <c r="AL26" s="193"/>
      <c r="AM26" s="193"/>
      <c r="AN26" s="193"/>
      <c r="AO26" s="193"/>
      <c r="AP26" s="193" t="s">
        <v>4</v>
      </c>
      <c r="AQ26" s="193"/>
      <c r="AR26" s="193"/>
      <c r="AS26" s="193"/>
      <c r="AT26" s="193"/>
      <c r="AU26" s="193" t="s">
        <v>6</v>
      </c>
      <c r="AV26" s="193"/>
      <c r="AW26" s="193"/>
      <c r="AX26" s="193"/>
      <c r="AY26" s="193"/>
    </row>
    <row r="27" spans="1:51" s="27" customFormat="1" ht="13">
      <c r="A27" s="31" t="s">
        <v>174</v>
      </c>
      <c r="B27" s="27">
        <v>104.91179749491801</v>
      </c>
      <c r="C27" s="27">
        <v>95.750541019083201</v>
      </c>
      <c r="D27" s="27">
        <v>104.88556626664</v>
      </c>
      <c r="E27" s="27">
        <v>98.039215686274503</v>
      </c>
      <c r="F27" s="27">
        <v>96.425995147222807</v>
      </c>
      <c r="G27" s="27">
        <v>95.641403164364704</v>
      </c>
      <c r="H27" s="27">
        <v>96.010656944541793</v>
      </c>
      <c r="I27" s="27">
        <v>103.727593540396</v>
      </c>
      <c r="J27" s="27">
        <v>96.012993993783496</v>
      </c>
      <c r="K27" s="27">
        <v>108.60968940615599</v>
      </c>
      <c r="L27" s="27">
        <v>92.476010545753397</v>
      </c>
      <c r="M27" s="27">
        <v>104.25459241943901</v>
      </c>
      <c r="N27" s="27">
        <v>105.289954849659</v>
      </c>
      <c r="O27" s="27">
        <v>97.817199824949</v>
      </c>
      <c r="P27" s="27">
        <v>100.165444512045</v>
      </c>
      <c r="Q27" s="27">
        <v>100.122149230609</v>
      </c>
      <c r="R27" s="27">
        <v>102.626208458089</v>
      </c>
      <c r="S27" s="27">
        <v>92.270337102084</v>
      </c>
      <c r="T27" s="27">
        <v>99.241780995367293</v>
      </c>
      <c r="U27" s="27">
        <v>105.739524213851</v>
      </c>
      <c r="V27" s="27">
        <v>98.354422489559298</v>
      </c>
      <c r="W27" s="27">
        <v>99.640549356936603</v>
      </c>
      <c r="X27" s="27">
        <v>91.096843898688903</v>
      </c>
      <c r="Y27" s="27">
        <v>106.76307423798499</v>
      </c>
      <c r="Z27" s="27">
        <v>104.14511001683</v>
      </c>
      <c r="AA27" s="27">
        <v>96.526236156412395</v>
      </c>
      <c r="AB27" s="27">
        <v>97.451415673483595</v>
      </c>
      <c r="AC27" s="27">
        <v>99.032654124241901</v>
      </c>
      <c r="AD27" s="27">
        <v>107.05790433197301</v>
      </c>
      <c r="AE27" s="27">
        <v>99.931789713888804</v>
      </c>
      <c r="AF27" s="27">
        <v>105.757696921232</v>
      </c>
      <c r="AG27" s="27">
        <v>103.903804331926</v>
      </c>
      <c r="AH27" s="27">
        <v>97.367882115446506</v>
      </c>
      <c r="AI27" s="27">
        <v>96.770072458821403</v>
      </c>
      <c r="AJ27" s="27">
        <v>96.2015193922431</v>
      </c>
      <c r="AK27" s="27">
        <v>96.511402317501194</v>
      </c>
      <c r="AL27" s="27">
        <v>92.232667242808503</v>
      </c>
      <c r="AM27" s="27">
        <v>103.58912855605899</v>
      </c>
      <c r="AN27" s="27">
        <v>105.562708337008</v>
      </c>
      <c r="AO27" s="27">
        <v>102.111148344768</v>
      </c>
      <c r="AP27" s="27">
        <v>95.146028226023503</v>
      </c>
      <c r="AQ27" s="27">
        <v>97.460519091858401</v>
      </c>
      <c r="AR27" s="27">
        <v>103.80114755686699</v>
      </c>
      <c r="AS27" s="27">
        <v>99.452057743855804</v>
      </c>
      <c r="AT27" s="27">
        <v>104.14347690353399</v>
      </c>
      <c r="AU27" s="27">
        <v>102.425755819139</v>
      </c>
      <c r="AV27" s="27">
        <v>102.26166057255</v>
      </c>
      <c r="AW27" s="27">
        <v>101.19682511370701</v>
      </c>
      <c r="AX27" s="27">
        <v>102.935877998751</v>
      </c>
      <c r="AY27" s="27">
        <v>91.179880495852998</v>
      </c>
    </row>
    <row r="28" spans="1:51" s="27" customFormat="1" ht="13">
      <c r="A28" s="31" t="s">
        <v>175</v>
      </c>
      <c r="B28" s="27">
        <v>34.749819660305597</v>
      </c>
      <c r="C28" s="27">
        <v>38.710735130172502</v>
      </c>
      <c r="D28" s="27">
        <v>31.103678929765898</v>
      </c>
      <c r="E28" s="27">
        <v>34.749819660305597</v>
      </c>
      <c r="F28" s="27">
        <v>34.133385795789899</v>
      </c>
      <c r="G28" s="27">
        <v>62.027623922036</v>
      </c>
      <c r="H28" s="27">
        <v>60.239781252191001</v>
      </c>
      <c r="I28" s="27">
        <v>64.3670102129052</v>
      </c>
      <c r="J28" s="27">
        <v>57.877024468905603</v>
      </c>
      <c r="K28" s="27">
        <v>67.949706700320206</v>
      </c>
      <c r="L28" s="27">
        <v>57.982430860204701</v>
      </c>
      <c r="M28" s="27">
        <v>69.746069358609006</v>
      </c>
      <c r="N28" s="27">
        <v>65.593945798243098</v>
      </c>
      <c r="O28" s="27">
        <v>64.825429355193293</v>
      </c>
      <c r="P28" s="27">
        <v>69.789832100504896</v>
      </c>
      <c r="Q28" s="27">
        <v>66.021659144061601</v>
      </c>
      <c r="R28" s="27">
        <v>66.400023833996201</v>
      </c>
      <c r="S28" s="27">
        <v>61.913274046267702</v>
      </c>
      <c r="T28" s="27">
        <v>59.233439096691498</v>
      </c>
      <c r="U28" s="27">
        <v>70.977640732299506</v>
      </c>
      <c r="V28" s="27">
        <v>56.791123854640702</v>
      </c>
      <c r="W28" s="27">
        <v>62.5880446300567</v>
      </c>
      <c r="X28" s="27">
        <v>64.079868686239095</v>
      </c>
      <c r="Y28" s="27">
        <v>60.341997548255698</v>
      </c>
      <c r="Z28" s="27">
        <v>62.783353071952497</v>
      </c>
      <c r="AA28" s="27">
        <v>69.145387124378402</v>
      </c>
      <c r="AB28" s="27">
        <v>63.230935225031899</v>
      </c>
      <c r="AC28" s="27">
        <v>63.042426797961099</v>
      </c>
      <c r="AD28" s="27">
        <v>60.846055585182199</v>
      </c>
      <c r="AE28" s="27">
        <v>68.070144977862697</v>
      </c>
      <c r="AF28" s="27">
        <v>65.979461873787102</v>
      </c>
      <c r="AG28" s="27">
        <v>65.563043075452697</v>
      </c>
      <c r="AH28" s="27">
        <v>67.513482411913301</v>
      </c>
      <c r="AI28" s="27">
        <v>66.538262743683006</v>
      </c>
      <c r="AJ28" s="27">
        <v>59.0768570620532</v>
      </c>
      <c r="AK28" s="27">
        <v>42.718566465016998</v>
      </c>
      <c r="AL28" s="27">
        <v>44.910844988447799</v>
      </c>
      <c r="AM28" s="27">
        <v>38.416903296354398</v>
      </c>
      <c r="AN28" s="27">
        <v>40.431048166634298</v>
      </c>
      <c r="AO28" s="27">
        <v>43.815587576500498</v>
      </c>
      <c r="AP28" s="27">
        <v>60.511556306718497</v>
      </c>
      <c r="AQ28" s="27">
        <v>57.964539846920701</v>
      </c>
      <c r="AR28" s="27">
        <v>66.0017439419547</v>
      </c>
      <c r="AS28" s="27">
        <v>67.769369059024896</v>
      </c>
      <c r="AT28" s="27">
        <v>66.456030056086007</v>
      </c>
      <c r="AU28" s="27">
        <v>62.843128511549097</v>
      </c>
      <c r="AV28" s="27">
        <v>61.0416480870418</v>
      </c>
      <c r="AW28" s="27">
        <v>55.507000802639801</v>
      </c>
      <c r="AX28" s="27">
        <v>65.020957816819802</v>
      </c>
      <c r="AY28" s="27">
        <v>66.570944439489907</v>
      </c>
    </row>
    <row r="29" spans="1:51" s="27" customFormat="1" ht="13">
      <c r="A29" s="31" t="s">
        <v>215</v>
      </c>
      <c r="B29" s="27">
        <v>86.982752967407706</v>
      </c>
      <c r="C29" s="27">
        <v>84.307167683126806</v>
      </c>
      <c r="D29" s="27">
        <v>93.514328808446507</v>
      </c>
      <c r="E29" s="27">
        <v>96.806347957243105</v>
      </c>
      <c r="F29" s="27">
        <v>86.595842350318094</v>
      </c>
      <c r="G29" s="27">
        <v>60.753932085349</v>
      </c>
      <c r="H29" s="27">
        <v>65.170955152025101</v>
      </c>
      <c r="I29" s="27">
        <v>70.003972983710796</v>
      </c>
      <c r="J29" s="27">
        <v>61.660707191100499</v>
      </c>
      <c r="K29" s="27">
        <v>61.8243006380144</v>
      </c>
      <c r="L29" s="27">
        <v>59.1682944271884</v>
      </c>
      <c r="M29" s="27">
        <v>64.825429355193293</v>
      </c>
      <c r="N29" s="27">
        <v>65.570463351372098</v>
      </c>
      <c r="O29" s="27">
        <v>63.019415714026501</v>
      </c>
      <c r="P29" s="27">
        <v>62.808073692187797</v>
      </c>
      <c r="Q29" s="27">
        <v>64.978921809596201</v>
      </c>
      <c r="R29" s="27">
        <v>63.685927514859003</v>
      </c>
      <c r="S29" s="27">
        <v>65.074257794461602</v>
      </c>
      <c r="T29" s="27">
        <v>67.444250793225194</v>
      </c>
      <c r="U29" s="27">
        <v>61.035885060553298</v>
      </c>
      <c r="V29" s="27">
        <v>64.792536724220298</v>
      </c>
      <c r="W29" s="27">
        <v>63.855471752997097</v>
      </c>
      <c r="X29" s="27">
        <v>62.317937210413703</v>
      </c>
      <c r="Y29" s="27">
        <v>65.933221134866699</v>
      </c>
      <c r="Z29" s="27">
        <v>65.561303995512105</v>
      </c>
      <c r="AA29" s="27">
        <v>71.751020053824107</v>
      </c>
      <c r="AB29" s="27">
        <v>71.737377996601893</v>
      </c>
      <c r="AC29" s="27">
        <v>59.005618047201501</v>
      </c>
      <c r="AD29" s="27">
        <v>67.254101918569305</v>
      </c>
      <c r="AE29" s="27">
        <v>66.717100938821602</v>
      </c>
      <c r="AF29" s="27">
        <v>63.224466311036601</v>
      </c>
      <c r="AG29" s="27">
        <v>65.070557142996407</v>
      </c>
      <c r="AH29" s="27">
        <v>61.821125208453203</v>
      </c>
      <c r="AI29" s="27">
        <v>63.952955403204598</v>
      </c>
      <c r="AJ29" s="27">
        <v>66.152075755063805</v>
      </c>
      <c r="AK29" s="27">
        <v>81.892096862378494</v>
      </c>
      <c r="AL29" s="27">
        <v>80.750983262491403</v>
      </c>
      <c r="AM29" s="27">
        <v>87.925712975537493</v>
      </c>
      <c r="AN29" s="27">
        <v>86.825164464981697</v>
      </c>
      <c r="AO29" s="27">
        <v>86.006807880209493</v>
      </c>
      <c r="AP29" s="27">
        <v>65.166374215495296</v>
      </c>
      <c r="AQ29" s="27">
        <v>64.444037763878896</v>
      </c>
      <c r="AR29" s="27">
        <v>63.225431410332298</v>
      </c>
      <c r="AS29" s="27">
        <v>62.291023004962703</v>
      </c>
      <c r="AT29" s="27">
        <v>60.971224957747097</v>
      </c>
      <c r="AU29" s="27">
        <v>55.507000802639801</v>
      </c>
      <c r="AV29" s="27">
        <v>61.0416480870418</v>
      </c>
      <c r="AW29" s="27">
        <v>67.266565593507494</v>
      </c>
      <c r="AX29" s="27">
        <v>57.563542316953502</v>
      </c>
      <c r="AY29" s="27">
        <v>56.668153036653898</v>
      </c>
    </row>
    <row r="31" spans="1:51">
      <c r="A31" s="32"/>
    </row>
    <row r="33" spans="1:54">
      <c r="AR33" s="193"/>
      <c r="AS33" s="193"/>
      <c r="AT33" s="193"/>
      <c r="AU33" s="193"/>
      <c r="AV33" s="193"/>
      <c r="AX33" s="193"/>
      <c r="AY33" s="193"/>
      <c r="AZ33" s="193"/>
      <c r="BA33" s="193"/>
      <c r="BB33" s="193"/>
    </row>
    <row r="34" spans="1:54">
      <c r="AR34" s="33"/>
      <c r="AS34" s="33"/>
      <c r="AT34" s="33"/>
      <c r="AU34" s="33"/>
      <c r="AV34" s="33"/>
      <c r="AX34" s="27"/>
      <c r="AY34" s="27"/>
      <c r="AZ34" s="27"/>
      <c r="BA34" s="27"/>
      <c r="BB34" s="27"/>
    </row>
    <row r="35" spans="1:54">
      <c r="AR35" s="33"/>
      <c r="AS35" s="33"/>
      <c r="AT35" s="33"/>
      <c r="AU35" s="33"/>
      <c r="AV35" s="33"/>
      <c r="AX35" s="27"/>
      <c r="AY35" s="27"/>
      <c r="AZ35" s="27"/>
      <c r="BA35" s="27"/>
      <c r="BB35" s="27"/>
    </row>
    <row r="36" spans="1:54">
      <c r="AR36" s="33"/>
      <c r="AS36" s="33"/>
      <c r="AT36" s="33"/>
      <c r="AU36" s="33"/>
      <c r="AV36" s="33"/>
      <c r="AX36" s="27"/>
      <c r="AY36" s="27"/>
      <c r="AZ36" s="27"/>
      <c r="BA36" s="27"/>
      <c r="BB36" s="27"/>
    </row>
    <row r="38" spans="1:54">
      <c r="A38" s="29" t="s">
        <v>223</v>
      </c>
      <c r="AF38" s="34"/>
      <c r="AG38" s="34"/>
      <c r="AH38" s="34"/>
      <c r="AI38" s="34"/>
      <c r="AJ38" s="34"/>
      <c r="AK38" s="34"/>
      <c r="AL38" s="34"/>
      <c r="AM38" s="34"/>
      <c r="AN38" s="34"/>
    </row>
    <row r="40" spans="1:54">
      <c r="A40" s="35"/>
      <c r="B40" s="36" t="s">
        <v>224</v>
      </c>
      <c r="C40" s="253" t="s">
        <v>52</v>
      </c>
      <c r="D40" s="254"/>
      <c r="E40" s="255"/>
      <c r="F40" s="253" t="s">
        <v>209</v>
      </c>
      <c r="G40" s="254"/>
      <c r="H40" s="255"/>
      <c r="I40" s="253" t="s">
        <v>210</v>
      </c>
      <c r="J40" s="254"/>
      <c r="K40" s="255"/>
      <c r="L40" s="253" t="s">
        <v>211</v>
      </c>
      <c r="M40" s="254"/>
      <c r="N40" s="255"/>
      <c r="O40" s="253" t="s">
        <v>212</v>
      </c>
      <c r="P40" s="254"/>
      <c r="Q40" s="255"/>
      <c r="R40" s="253" t="s">
        <v>171</v>
      </c>
      <c r="S40" s="254"/>
      <c r="T40" s="255"/>
      <c r="U40" s="253" t="s">
        <v>213</v>
      </c>
      <c r="V40" s="254"/>
      <c r="W40" s="255"/>
      <c r="X40" s="253" t="s">
        <v>214</v>
      </c>
      <c r="Y40" s="254"/>
      <c r="Z40" s="255"/>
      <c r="AA40" s="253" t="s">
        <v>6</v>
      </c>
      <c r="AB40" s="254"/>
      <c r="AC40" s="255"/>
      <c r="AE40" s="21"/>
      <c r="AF40" s="37"/>
      <c r="AG40" s="37"/>
      <c r="AH40" s="37"/>
      <c r="AI40" s="37"/>
      <c r="AJ40" s="37"/>
      <c r="AK40" s="37"/>
      <c r="AL40" s="37"/>
      <c r="AM40" s="37"/>
      <c r="AN40" s="37"/>
    </row>
    <row r="41" spans="1:54">
      <c r="A41" s="38"/>
      <c r="B41" s="14">
        <v>100</v>
      </c>
      <c r="C41" s="39">
        <v>92.744130264311096</v>
      </c>
      <c r="D41" s="23">
        <v>88.569583467872107</v>
      </c>
      <c r="E41" s="24">
        <v>82.130172055906598</v>
      </c>
      <c r="F41" s="39">
        <v>88.400876232201497</v>
      </c>
      <c r="G41" s="23">
        <v>89.818494758253806</v>
      </c>
      <c r="H41" s="24">
        <v>90.394304490690004</v>
      </c>
      <c r="I41" s="39">
        <v>90.988736733327698</v>
      </c>
      <c r="J41" s="23">
        <v>88.266184852758599</v>
      </c>
      <c r="K41" s="24">
        <v>86.108421127886501</v>
      </c>
      <c r="L41" s="39">
        <v>97.507199631378896</v>
      </c>
      <c r="M41" s="23">
        <v>95.203317590139406</v>
      </c>
      <c r="N41" s="24">
        <v>91.888031332795805</v>
      </c>
      <c r="O41" s="39">
        <v>86.910455145118704</v>
      </c>
      <c r="P41" s="23">
        <v>89.399186455584896</v>
      </c>
      <c r="Q41" s="24">
        <v>85.8110708003518</v>
      </c>
      <c r="R41" s="39">
        <v>85.157300869969106</v>
      </c>
      <c r="S41" s="23">
        <v>85.157300869969106</v>
      </c>
      <c r="T41" s="24">
        <v>90.808713239207606</v>
      </c>
      <c r="U41" s="39">
        <v>87.648860156515795</v>
      </c>
      <c r="V41" s="23">
        <v>80.280862383618398</v>
      </c>
      <c r="W41" s="24">
        <v>84.453586563147596</v>
      </c>
      <c r="X41" s="39">
        <v>92.460529753536505</v>
      </c>
      <c r="Y41" s="23">
        <v>92.2434278462744</v>
      </c>
      <c r="Z41" s="24">
        <v>91.375020217226293</v>
      </c>
      <c r="AA41" s="39">
        <v>85.044720155714501</v>
      </c>
      <c r="AB41" s="23">
        <v>90.879237667626001</v>
      </c>
      <c r="AC41" s="24">
        <v>88.603226538337495</v>
      </c>
    </row>
    <row r="42" spans="1:54">
      <c r="A42" s="38"/>
      <c r="B42" s="14">
        <f t="shared" ref="B42:B49" si="0">B41/3</f>
        <v>33.3333333333333</v>
      </c>
      <c r="C42" s="39">
        <v>93.399142026846306</v>
      </c>
      <c r="D42" s="23">
        <v>85.349877761889402</v>
      </c>
      <c r="E42" s="24">
        <v>70.856589326075905</v>
      </c>
      <c r="F42" s="39">
        <v>79.884212173368795</v>
      </c>
      <c r="G42" s="23">
        <v>85.050852761696106</v>
      </c>
      <c r="H42" s="24">
        <v>85.596933187294596</v>
      </c>
      <c r="I42" s="39">
        <v>90.535086408038296</v>
      </c>
      <c r="J42" s="23">
        <v>83.582147754820895</v>
      </c>
      <c r="K42" s="24">
        <v>75.494433359547102</v>
      </c>
      <c r="L42" s="39">
        <v>85.437161617325202</v>
      </c>
      <c r="M42" s="23">
        <v>82.9028913719618</v>
      </c>
      <c r="N42" s="24">
        <v>83.110240755673303</v>
      </c>
      <c r="O42" s="39">
        <v>85.470261653474097</v>
      </c>
      <c r="P42" s="23">
        <v>79.804309586631504</v>
      </c>
      <c r="Q42" s="24">
        <v>81.893139841688694</v>
      </c>
      <c r="R42" s="39">
        <v>74.193173790607403</v>
      </c>
      <c r="S42" s="23">
        <v>68.953037150294705</v>
      </c>
      <c r="T42" s="24">
        <v>73.791575137656395</v>
      </c>
      <c r="U42" s="39">
        <v>83.986513656469398</v>
      </c>
      <c r="V42" s="23">
        <v>73.6583253425717</v>
      </c>
      <c r="W42" s="24">
        <v>75.421448235330502</v>
      </c>
      <c r="X42" s="39">
        <v>79.010786667827901</v>
      </c>
      <c r="Y42" s="23">
        <v>82.761859735994094</v>
      </c>
      <c r="Z42" s="24">
        <v>84.903019520509602</v>
      </c>
      <c r="AA42" s="39">
        <v>82.2719510884492</v>
      </c>
      <c r="AB42" s="23">
        <v>72.537406111555597</v>
      </c>
      <c r="AC42" s="24">
        <v>77.270936078239401</v>
      </c>
    </row>
    <row r="43" spans="1:54">
      <c r="A43" s="38"/>
      <c r="B43" s="14">
        <f t="shared" si="0"/>
        <v>11.1111111111111</v>
      </c>
      <c r="C43" s="39">
        <v>80.515706444024204</v>
      </c>
      <c r="D43" s="23">
        <v>80.515706444024204</v>
      </c>
      <c r="E43" s="24">
        <v>74.076295032058695</v>
      </c>
      <c r="F43" s="39">
        <v>61.506806446565498</v>
      </c>
      <c r="G43" s="23">
        <v>76.061649194179296</v>
      </c>
      <c r="H43" s="24">
        <v>76.6077296197778</v>
      </c>
      <c r="I43" s="39">
        <v>76.856034264248095</v>
      </c>
      <c r="J43" s="23">
        <v>68.995145031619003</v>
      </c>
      <c r="K43" s="24">
        <v>71.037221424254</v>
      </c>
      <c r="L43" s="39">
        <v>70.556387512959304</v>
      </c>
      <c r="M43" s="23">
        <v>68.111968667204195</v>
      </c>
      <c r="N43" s="24">
        <v>58.986291901854599</v>
      </c>
      <c r="O43" s="39">
        <v>74.218062884784501</v>
      </c>
      <c r="P43" s="23">
        <v>68.289632805628898</v>
      </c>
      <c r="Q43" s="24">
        <v>73.786554529463501</v>
      </c>
      <c r="R43" s="39">
        <v>64.549967581795499</v>
      </c>
      <c r="S43" s="23">
        <v>54.0996932366916</v>
      </c>
      <c r="T43" s="24">
        <v>50.045966110879903</v>
      </c>
      <c r="U43" s="39">
        <v>72.475177085588797</v>
      </c>
      <c r="V43" s="23">
        <v>60.2632311546908</v>
      </c>
      <c r="W43" s="24">
        <v>63.195582913173901</v>
      </c>
      <c r="X43" s="39">
        <v>72.959304278587197</v>
      </c>
      <c r="Y43" s="23">
        <v>76.979733008198906</v>
      </c>
      <c r="Z43" s="24">
        <v>72.061659429936398</v>
      </c>
      <c r="AA43" s="39">
        <v>57.826922847282802</v>
      </c>
      <c r="AB43" s="23">
        <v>52.258696249238703</v>
      </c>
      <c r="AC43" s="24">
        <v>34.749173065211401</v>
      </c>
    </row>
    <row r="44" spans="1:54">
      <c r="A44" s="38"/>
      <c r="B44" s="14">
        <f t="shared" si="0"/>
        <v>3.7037037037037002</v>
      </c>
      <c r="C44" s="39">
        <v>78.905853591032795</v>
      </c>
      <c r="D44" s="23">
        <v>59.587619355136297</v>
      </c>
      <c r="E44" s="24">
        <v>57.973153743253803</v>
      </c>
      <c r="F44" s="39">
        <v>49.136285401345603</v>
      </c>
      <c r="G44" s="23">
        <v>58.7748396182131</v>
      </c>
      <c r="H44" s="24">
        <v>67.867313409482094</v>
      </c>
      <c r="I44" s="39">
        <v>72.171347237477505</v>
      </c>
      <c r="J44" s="23">
        <v>56.677693792529702</v>
      </c>
      <c r="K44" s="24">
        <v>54.8624425625394</v>
      </c>
      <c r="L44" s="39">
        <v>54.288676419767299</v>
      </c>
      <c r="M44" s="23">
        <v>57.859693583688497</v>
      </c>
      <c r="N44" s="24">
        <v>51.4295588065891</v>
      </c>
      <c r="O44" s="39">
        <v>57.905947669305199</v>
      </c>
      <c r="P44" s="23">
        <v>61.2645668425682</v>
      </c>
      <c r="Q44" s="24">
        <v>72.169085312225107</v>
      </c>
      <c r="R44" s="39">
        <v>50.818196773662898</v>
      </c>
      <c r="S44" s="23">
        <v>43.384267009880297</v>
      </c>
      <c r="T44" s="24">
        <v>26.732922380173601</v>
      </c>
      <c r="U44" s="39">
        <v>56.177116520770802</v>
      </c>
      <c r="V44" s="23">
        <v>48.618887067338903</v>
      </c>
      <c r="W44" s="24">
        <v>53.4767546165981</v>
      </c>
      <c r="X44" s="39">
        <v>66.492280129887902</v>
      </c>
      <c r="Y44" s="23">
        <v>73.364270873508602</v>
      </c>
      <c r="Z44" s="24">
        <v>57.014444430620699</v>
      </c>
      <c r="AA44" s="39">
        <v>37.814503898833301</v>
      </c>
      <c r="AB44" s="23">
        <v>38.650394659852203</v>
      </c>
      <c r="AC44" s="24">
        <v>16.969776578340898</v>
      </c>
    </row>
    <row r="45" spans="1:54">
      <c r="A45" s="38"/>
      <c r="B45" s="14">
        <f t="shared" si="0"/>
        <v>1.2345679012345701</v>
      </c>
      <c r="C45" s="39">
        <v>35.430601042483502</v>
      </c>
      <c r="D45" s="23">
        <v>77.2960007380414</v>
      </c>
      <c r="E45" s="24">
        <v>66.027030767101806</v>
      </c>
      <c r="F45" s="39">
        <v>37.194492254733198</v>
      </c>
      <c r="G45" s="23">
        <v>40.397433891409797</v>
      </c>
      <c r="H45" s="24">
        <v>45.8598028477547</v>
      </c>
      <c r="I45" s="39">
        <v>49.3075008286593</v>
      </c>
      <c r="J45" s="23">
        <v>45.867427516686902</v>
      </c>
      <c r="K45" s="24">
        <v>48.1363290719666</v>
      </c>
      <c r="L45" s="39">
        <v>36.041930653150601</v>
      </c>
      <c r="M45" s="23">
        <v>32.516991130054102</v>
      </c>
      <c r="N45" s="24">
        <v>34.866950812118397</v>
      </c>
      <c r="O45" s="39">
        <v>51.840094547053702</v>
      </c>
      <c r="P45" s="23">
        <v>24.355485927880402</v>
      </c>
      <c r="Q45" s="24">
        <v>56.946734828495998</v>
      </c>
      <c r="R45" s="39">
        <v>33.333655902532499</v>
      </c>
      <c r="S45" s="23">
        <v>25.558125356842201</v>
      </c>
      <c r="T45" s="24">
        <v>18.836428384799301</v>
      </c>
      <c r="U45" s="39">
        <v>36.931238207182403</v>
      </c>
      <c r="V45" s="23">
        <v>30.452534875808102</v>
      </c>
      <c r="W45" s="24">
        <v>33.1528967799808</v>
      </c>
      <c r="X45" s="39">
        <v>75.025193774338405</v>
      </c>
      <c r="Y45" s="23">
        <v>44.790176294213502</v>
      </c>
      <c r="Z45" s="24">
        <v>45.371188275252898</v>
      </c>
      <c r="AA45" s="39">
        <v>20.572465758332001</v>
      </c>
      <c r="AB45" s="23">
        <v>16.1362740766392</v>
      </c>
      <c r="AC45" s="24">
        <v>10.8653857635862</v>
      </c>
    </row>
    <row r="46" spans="1:54">
      <c r="A46" s="38"/>
      <c r="B46" s="14">
        <f t="shared" si="0"/>
        <v>0.41152263374485598</v>
      </c>
      <c r="C46" s="39">
        <v>41.874625213340103</v>
      </c>
      <c r="D46" s="23">
        <v>35.430601042483502</v>
      </c>
      <c r="E46" s="24">
        <v>54.753448037271099</v>
      </c>
      <c r="F46" s="39">
        <v>20.4553278047254</v>
      </c>
      <c r="G46" s="23">
        <v>25.945861367548101</v>
      </c>
      <c r="H46" s="24">
        <v>28.130183069942099</v>
      </c>
      <c r="I46" s="39">
        <v>39.141314026114102</v>
      </c>
      <c r="J46" s="23">
        <v>24.354133222412099</v>
      </c>
      <c r="K46" s="24">
        <v>31.776320492905999</v>
      </c>
      <c r="L46" s="39">
        <v>24.739085358829598</v>
      </c>
      <c r="M46" s="23">
        <v>22.2647160465384</v>
      </c>
      <c r="N46" s="24">
        <v>19.175210229236299</v>
      </c>
      <c r="O46" s="39">
        <v>56.662269129287601</v>
      </c>
      <c r="P46" s="23">
        <v>2.1479221635883898</v>
      </c>
      <c r="Q46" s="24">
        <v>13.011213720316601</v>
      </c>
      <c r="R46" s="39">
        <v>8.3135759698849405</v>
      </c>
      <c r="S46" s="23">
        <v>6.9607207486186002</v>
      </c>
      <c r="T46" s="24">
        <v>18.584824409456399</v>
      </c>
      <c r="U46" s="39">
        <v>22.892758823347499</v>
      </c>
      <c r="V46" s="23">
        <v>22.352995762318699</v>
      </c>
      <c r="W46" s="24">
        <v>21.6199078226979</v>
      </c>
      <c r="X46" s="39">
        <v>30.048396929469899</v>
      </c>
      <c r="Y46" s="23">
        <v>23.1353496647051</v>
      </c>
      <c r="Z46" s="24">
        <v>22.889010537840399</v>
      </c>
      <c r="AA46" s="39">
        <v>25.574674898200399</v>
      </c>
      <c r="AB46" s="23">
        <v>-1.11054058249645</v>
      </c>
      <c r="AC46" s="24">
        <v>2.2258576836272899</v>
      </c>
    </row>
    <row r="47" spans="1:54">
      <c r="A47" s="38"/>
      <c r="B47" s="14">
        <f t="shared" si="0"/>
        <v>0.13717421124828499</v>
      </c>
      <c r="C47" s="39">
        <v>41.874625213340103</v>
      </c>
      <c r="D47" s="23">
        <v>35.130771714562499</v>
      </c>
      <c r="E47" s="24">
        <v>27.0768946907145</v>
      </c>
      <c r="F47" s="39">
        <v>2.0028164606477898</v>
      </c>
      <c r="G47" s="23">
        <v>19.788765451416101</v>
      </c>
      <c r="H47" s="24">
        <v>18.195900485057098</v>
      </c>
      <c r="I47" s="39">
        <v>10.501550080266201</v>
      </c>
      <c r="J47" s="23">
        <v>0.73376965222308199</v>
      </c>
      <c r="K47" s="24">
        <v>21.004400018198002</v>
      </c>
      <c r="L47" s="39">
        <v>2.93975348462159</v>
      </c>
      <c r="M47" s="23">
        <v>1.5459048496717001</v>
      </c>
      <c r="N47" s="24">
        <v>-1.0805206773413201</v>
      </c>
      <c r="O47" s="39">
        <v>35.868788478452103</v>
      </c>
      <c r="P47" s="23">
        <v>2.9367304309586602</v>
      </c>
      <c r="Q47" s="24">
        <v>25.623900615655199</v>
      </c>
      <c r="R47" s="39">
        <v>10.3428588017845</v>
      </c>
      <c r="S47" s="23">
        <v>27.924170432662098</v>
      </c>
      <c r="T47" s="24">
        <v>22.514684962791598</v>
      </c>
      <c r="U47" s="39">
        <v>15.526307649478801</v>
      </c>
      <c r="V47" s="23">
        <v>2.02759132667265</v>
      </c>
      <c r="W47" s="24">
        <v>9.0476043181044901</v>
      </c>
      <c r="X47" s="39">
        <v>17.1610037697351</v>
      </c>
      <c r="Y47" s="23">
        <v>14.198713562337501</v>
      </c>
      <c r="Z47" s="24">
        <v>21.861975440735499</v>
      </c>
      <c r="AA47" s="39">
        <v>8.8950718268989704</v>
      </c>
      <c r="AB47" s="23">
        <v>28.912267293982801</v>
      </c>
      <c r="AC47" s="24">
        <v>9.7309625879177997</v>
      </c>
    </row>
    <row r="48" spans="1:54">
      <c r="A48" s="38"/>
      <c r="B48" s="14">
        <f t="shared" si="0"/>
        <v>4.5724737082761799E-2</v>
      </c>
      <c r="C48" s="39">
        <v>17.417777572766301</v>
      </c>
      <c r="D48" s="23">
        <v>24.812030075188002</v>
      </c>
      <c r="E48" s="24">
        <v>20.798929839937301</v>
      </c>
      <c r="F48" s="39">
        <v>-8.7278986074166802</v>
      </c>
      <c r="G48" s="23">
        <v>4.1871381630417801</v>
      </c>
      <c r="H48" s="24">
        <v>2.54889688624628</v>
      </c>
      <c r="I48" s="39">
        <v>2.6413107764699801</v>
      </c>
      <c r="J48" s="23">
        <v>-2.57696782202349</v>
      </c>
      <c r="K48" s="24">
        <v>15.866712594970799</v>
      </c>
      <c r="L48" s="39">
        <v>-1.0805206773413201</v>
      </c>
      <c r="M48" s="23">
        <v>-0.27646584494873899</v>
      </c>
      <c r="N48" s="24">
        <v>-13.4062895979726</v>
      </c>
      <c r="O48" s="39">
        <v>11.4006156552331</v>
      </c>
      <c r="P48" s="23">
        <v>-6.4877418645558498</v>
      </c>
      <c r="Q48" s="24">
        <v>-1.3811015831134601</v>
      </c>
      <c r="R48" s="39">
        <v>5.9465631864675803</v>
      </c>
      <c r="S48" s="23">
        <v>32.994958243417202</v>
      </c>
      <c r="T48" s="24">
        <v>15.414614320137</v>
      </c>
      <c r="U48" s="39">
        <v>-6.9581490302824101</v>
      </c>
      <c r="V48" s="23">
        <v>-4.7990967861672198</v>
      </c>
      <c r="W48" s="24">
        <v>-4.2593337251384202</v>
      </c>
      <c r="X48" s="39">
        <v>7.0555009517648104</v>
      </c>
      <c r="Y48" s="23">
        <v>5.0648817447777397</v>
      </c>
      <c r="Z48" s="24">
        <v>-5.19240578772534</v>
      </c>
      <c r="AA48" s="39">
        <v>19.737769126971799</v>
      </c>
      <c r="AB48" s="23">
        <v>2.2246635539686901</v>
      </c>
      <c r="AC48" s="24">
        <v>-17.790143653797902</v>
      </c>
    </row>
    <row r="49" spans="1:29">
      <c r="A49" s="40"/>
      <c r="B49" s="41">
        <f t="shared" si="0"/>
        <v>1.52415790275873E-2</v>
      </c>
      <c r="C49" s="42">
        <v>10.756953734028301</v>
      </c>
      <c r="D49" s="43">
        <v>10.318741639374499</v>
      </c>
      <c r="E49" s="44">
        <v>11.0567830619494</v>
      </c>
      <c r="F49" s="42">
        <v>0.16898763886715701</v>
      </c>
      <c r="G49" s="43">
        <v>-0.92317321232983895</v>
      </c>
      <c r="H49" s="44">
        <v>-1.8213112189015801</v>
      </c>
      <c r="I49" s="42">
        <v>-2.8044429135009699</v>
      </c>
      <c r="J49" s="43">
        <v>-3.4849184014350398</v>
      </c>
      <c r="K49" s="44">
        <v>20.016508192352902</v>
      </c>
      <c r="L49" s="42">
        <v>-5.6882847598203004</v>
      </c>
      <c r="M49" s="43">
        <v>3.0480359405598398</v>
      </c>
      <c r="N49" s="44">
        <v>4.5478631494067496</v>
      </c>
      <c r="O49" s="42">
        <v>5.7717678100263903E-2</v>
      </c>
      <c r="P49" s="43">
        <v>-3.30090149516271</v>
      </c>
      <c r="Q49" s="44">
        <v>-5.3938544415127501</v>
      </c>
      <c r="R49" s="42">
        <v>8.9900035805181098</v>
      </c>
      <c r="S49" s="43">
        <v>29.276057946330901</v>
      </c>
      <c r="T49" s="44">
        <v>6.0443016538122798</v>
      </c>
      <c r="U49" s="42">
        <v>-1.7522966995576701</v>
      </c>
      <c r="V49" s="43">
        <v>6.88700547496056</v>
      </c>
      <c r="W49" s="44">
        <v>4.1881901698165702</v>
      </c>
      <c r="X49" s="42">
        <v>7.64708809734128</v>
      </c>
      <c r="Y49" s="43">
        <v>0.72346566803936496</v>
      </c>
      <c r="Z49" s="44">
        <v>2.8938626721574598</v>
      </c>
      <c r="AA49" s="42">
        <v>4.72517105907359</v>
      </c>
      <c r="AB49" s="43">
        <v>12.2314700930227</v>
      </c>
      <c r="AC49" s="44">
        <v>-6.9510287427008803</v>
      </c>
    </row>
    <row r="50" spans="1:29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</sheetData>
  <mergeCells count="53">
    <mergeCell ref="AR33:AV33"/>
    <mergeCell ref="AX33:BB33"/>
    <mergeCell ref="C40:E40"/>
    <mergeCell ref="F40:H40"/>
    <mergeCell ref="I40:K40"/>
    <mergeCell ref="L40:N40"/>
    <mergeCell ref="O40:Q40"/>
    <mergeCell ref="R40:T40"/>
    <mergeCell ref="U40:W40"/>
    <mergeCell ref="X40:Z40"/>
    <mergeCell ref="AA40:AC40"/>
    <mergeCell ref="AA26:AE26"/>
    <mergeCell ref="AF26:AJ26"/>
    <mergeCell ref="AK26:AO26"/>
    <mergeCell ref="AP26:AT26"/>
    <mergeCell ref="AU26:AY26"/>
    <mergeCell ref="B26:F26"/>
    <mergeCell ref="G26:K26"/>
    <mergeCell ref="L26:P26"/>
    <mergeCell ref="Q26:U26"/>
    <mergeCell ref="V26:Z26"/>
    <mergeCell ref="AA21:AE21"/>
    <mergeCell ref="AF21:AJ21"/>
    <mergeCell ref="AK21:AO21"/>
    <mergeCell ref="AP21:AT21"/>
    <mergeCell ref="AU21:AY21"/>
    <mergeCell ref="B21:F21"/>
    <mergeCell ref="G21:K21"/>
    <mergeCell ref="L21:P21"/>
    <mergeCell ref="Q21:U21"/>
    <mergeCell ref="V21:Z21"/>
    <mergeCell ref="AZ5:BD5"/>
    <mergeCell ref="B11:F11"/>
    <mergeCell ref="G11:K11"/>
    <mergeCell ref="L11:P11"/>
    <mergeCell ref="Q11:U11"/>
    <mergeCell ref="V11:Z11"/>
    <mergeCell ref="AA11:AE11"/>
    <mergeCell ref="AF11:AJ11"/>
    <mergeCell ref="AK11:AO11"/>
    <mergeCell ref="AP11:AT11"/>
    <mergeCell ref="AU11:AY11"/>
    <mergeCell ref="AZ11:BD11"/>
    <mergeCell ref="AA5:AE5"/>
    <mergeCell ref="AF5:AJ5"/>
    <mergeCell ref="AK5:AO5"/>
    <mergeCell ref="AP5:AT5"/>
    <mergeCell ref="AU5:AY5"/>
    <mergeCell ref="B5:F5"/>
    <mergeCell ref="G5:K5"/>
    <mergeCell ref="L5:P5"/>
    <mergeCell ref="Q5:U5"/>
    <mergeCell ref="V5:Z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7"/>
  <sheetViews>
    <sheetView zoomScale="40" zoomScaleNormal="40" workbookViewId="0">
      <selection activeCell="E30" sqref="E30"/>
    </sheetView>
  </sheetViews>
  <sheetFormatPr defaultColWidth="8.6328125" defaultRowHeight="14.5"/>
  <cols>
    <col min="1" max="1" width="36.453125" customWidth="1"/>
    <col min="3" max="3" width="12" customWidth="1"/>
    <col min="4" max="5" width="12.6328125"/>
    <col min="6" max="6" width="14.36328125" customWidth="1"/>
    <col min="7" max="7" width="14.08984375" customWidth="1"/>
    <col min="8" max="8" width="17.08984375" customWidth="1"/>
    <col min="10" max="10" width="9.6328125" customWidth="1"/>
    <col min="11" max="11" width="12.36328125" customWidth="1"/>
    <col min="12" max="12" width="11.36328125" customWidth="1"/>
    <col min="13" max="13" width="13.90625" customWidth="1"/>
    <col min="14" max="14" width="11.90625" customWidth="1"/>
    <col min="15" max="15" width="12.7265625" customWidth="1"/>
  </cols>
  <sheetData>
    <row r="1" spans="1:15">
      <c r="A1" s="2"/>
      <c r="B1" s="2"/>
      <c r="C1" s="2"/>
      <c r="D1" s="2"/>
      <c r="E1" s="2"/>
      <c r="F1" s="2"/>
      <c r="G1" s="2"/>
      <c r="H1" s="2"/>
    </row>
    <row r="2" spans="1:15">
      <c r="A2" s="2"/>
      <c r="B2" s="2"/>
      <c r="C2" s="2"/>
      <c r="D2" s="2"/>
      <c r="E2" s="2"/>
      <c r="F2" s="2"/>
      <c r="G2" s="2"/>
      <c r="H2" s="2"/>
    </row>
    <row r="3" spans="1:15">
      <c r="A3" s="3" t="s">
        <v>225</v>
      </c>
      <c r="B3" s="4"/>
      <c r="C3" s="4"/>
      <c r="D3" s="4"/>
      <c r="E3" s="4"/>
      <c r="F3" s="4"/>
      <c r="G3" s="4"/>
      <c r="H3" s="4"/>
    </row>
    <row r="4" spans="1:15">
      <c r="A4" s="3" t="s">
        <v>60</v>
      </c>
      <c r="B4" s="220" t="s">
        <v>90</v>
      </c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</row>
    <row r="5" spans="1:15">
      <c r="A5" s="6"/>
      <c r="B5" s="231" t="s">
        <v>105</v>
      </c>
      <c r="C5" s="231"/>
      <c r="D5" s="231"/>
      <c r="E5" s="231"/>
      <c r="F5" s="231"/>
      <c r="G5" s="231"/>
      <c r="H5" s="231"/>
      <c r="I5" s="231" t="s">
        <v>226</v>
      </c>
      <c r="J5" s="231"/>
      <c r="K5" s="231"/>
      <c r="L5" s="231"/>
      <c r="M5" s="231"/>
      <c r="N5" s="231"/>
      <c r="O5" s="231"/>
    </row>
    <row r="6" spans="1:15">
      <c r="A6" s="8" t="s">
        <v>92</v>
      </c>
      <c r="B6" s="9" t="s">
        <v>93</v>
      </c>
      <c r="C6" s="10" t="s">
        <v>94</v>
      </c>
      <c r="D6" s="10" t="s">
        <v>94</v>
      </c>
      <c r="E6" s="10" t="s">
        <v>94</v>
      </c>
      <c r="F6" s="10" t="s">
        <v>94</v>
      </c>
      <c r="G6" s="10" t="s">
        <v>94</v>
      </c>
      <c r="H6" s="11" t="s">
        <v>94</v>
      </c>
      <c r="I6" s="9" t="s">
        <v>93</v>
      </c>
      <c r="J6" s="10" t="s">
        <v>94</v>
      </c>
      <c r="K6" s="10" t="s">
        <v>94</v>
      </c>
      <c r="L6" s="10" t="s">
        <v>94</v>
      </c>
      <c r="M6" s="10" t="s">
        <v>94</v>
      </c>
      <c r="N6" s="10" t="s">
        <v>94</v>
      </c>
      <c r="O6" s="11" t="s">
        <v>94</v>
      </c>
    </row>
    <row r="7" spans="1:15" s="1" customFormat="1">
      <c r="A7" s="8" t="s">
        <v>227</v>
      </c>
      <c r="B7" s="9" t="s">
        <v>93</v>
      </c>
      <c r="C7" s="10" t="s">
        <v>93</v>
      </c>
      <c r="D7" s="4">
        <f t="shared" ref="D7:G7" si="0">E7/2</f>
        <v>5.4056249999999997</v>
      </c>
      <c r="E7" s="4">
        <f t="shared" si="0"/>
        <v>10.811249999999999</v>
      </c>
      <c r="F7" s="4">
        <f t="shared" si="0"/>
        <v>21.622499999999999</v>
      </c>
      <c r="G7" s="4">
        <f t="shared" si="0"/>
        <v>43.244999999999997</v>
      </c>
      <c r="H7" s="12">
        <v>86.49</v>
      </c>
      <c r="I7" s="9" t="s">
        <v>93</v>
      </c>
      <c r="J7" s="10" t="s">
        <v>93</v>
      </c>
      <c r="K7" s="4">
        <f t="shared" ref="K7:N7" si="1">L7/2</f>
        <v>5.4056249999999997</v>
      </c>
      <c r="L7" s="4">
        <f t="shared" si="1"/>
        <v>10.811249999999999</v>
      </c>
      <c r="M7" s="4">
        <f t="shared" si="1"/>
        <v>21.622499999999999</v>
      </c>
      <c r="N7" s="4">
        <f t="shared" si="1"/>
        <v>43.244999999999997</v>
      </c>
      <c r="O7" s="12">
        <v>86.49</v>
      </c>
    </row>
    <row r="8" spans="1:15">
      <c r="A8" s="8" t="s">
        <v>101</v>
      </c>
      <c r="B8" s="13">
        <v>3.2839999999999998</v>
      </c>
      <c r="C8" s="14">
        <v>3.5680000000000001</v>
      </c>
      <c r="D8" s="14">
        <v>3.2869999999999999</v>
      </c>
      <c r="E8" s="14">
        <v>3.2810000000000001</v>
      </c>
      <c r="F8" s="14">
        <v>3.181</v>
      </c>
      <c r="G8" s="14">
        <v>2.7669999999999999</v>
      </c>
      <c r="H8" s="15">
        <v>2.734</v>
      </c>
      <c r="I8" s="13">
        <v>2.7010000000000001</v>
      </c>
      <c r="J8" s="14">
        <v>3.0819999999999999</v>
      </c>
      <c r="K8" s="14">
        <v>2.9529999999999998</v>
      </c>
      <c r="L8" s="14">
        <v>3.11</v>
      </c>
      <c r="M8" s="14">
        <v>3.2450000000000001</v>
      </c>
      <c r="N8" s="14">
        <v>3.141</v>
      </c>
      <c r="O8" s="15">
        <v>3.3069999999999999</v>
      </c>
    </row>
    <row r="9" spans="1:15">
      <c r="A9" s="8" t="s">
        <v>102</v>
      </c>
      <c r="B9" s="9">
        <v>1.31</v>
      </c>
      <c r="C9" s="10" t="s">
        <v>228</v>
      </c>
      <c r="D9" s="14">
        <v>1.619</v>
      </c>
      <c r="E9" s="14">
        <v>1.8320000000000001</v>
      </c>
      <c r="F9" s="14">
        <v>2.641</v>
      </c>
      <c r="G9" s="14">
        <v>2.5539999999999998</v>
      </c>
      <c r="H9" s="15">
        <v>3.1179999999999999</v>
      </c>
      <c r="I9" s="16">
        <v>1.1850000000000001</v>
      </c>
      <c r="J9" s="14" t="s">
        <v>229</v>
      </c>
      <c r="K9" s="14">
        <v>1.3660000000000001</v>
      </c>
      <c r="L9" s="14">
        <v>1.415</v>
      </c>
      <c r="M9" s="14">
        <v>1.3979999999999999</v>
      </c>
      <c r="N9" s="14">
        <v>1.369</v>
      </c>
      <c r="O9" s="15">
        <v>1.4139999999999999</v>
      </c>
    </row>
    <row r="10" spans="1:15">
      <c r="A10" s="8" t="s">
        <v>230</v>
      </c>
      <c r="B10" s="9"/>
      <c r="C10" s="10"/>
      <c r="D10" s="14">
        <f t="shared" ref="D10:H10" si="2">D9-1.453</f>
        <v>0.16600000000000001</v>
      </c>
      <c r="E10" s="14">
        <f t="shared" si="2"/>
        <v>0.379</v>
      </c>
      <c r="F10" s="14">
        <f t="shared" si="2"/>
        <v>1.1879999999999999</v>
      </c>
      <c r="G10" s="14">
        <f t="shared" si="2"/>
        <v>1.101</v>
      </c>
      <c r="H10" s="15">
        <f t="shared" si="2"/>
        <v>1.665</v>
      </c>
      <c r="I10" s="9"/>
      <c r="J10" s="10"/>
      <c r="K10" s="14">
        <v>-8.0000000000000106E-3</v>
      </c>
      <c r="L10" s="14">
        <v>4.0999999999999898E-2</v>
      </c>
      <c r="M10" s="14">
        <v>2.3999999999999799E-2</v>
      </c>
      <c r="N10" s="14">
        <v>-5.0000000000001198E-3</v>
      </c>
      <c r="O10" s="15">
        <v>3.99999999999998E-2</v>
      </c>
    </row>
    <row r="11" spans="1:15">
      <c r="A11" s="8" t="s">
        <v>231</v>
      </c>
      <c r="B11" s="17"/>
      <c r="C11" s="18"/>
      <c r="D11" s="19">
        <v>4.8074138430350404</v>
      </c>
      <c r="E11" s="19">
        <v>10.355191256830601</v>
      </c>
      <c r="F11" s="19">
        <v>27.191577019913002</v>
      </c>
      <c r="G11" s="19">
        <v>28.464322647363002</v>
      </c>
      <c r="H11" s="20">
        <v>37.849511252557399</v>
      </c>
      <c r="I11" s="17"/>
      <c r="J11" s="18"/>
      <c r="K11" s="19">
        <v>-0.27164685908319203</v>
      </c>
      <c r="L11" s="19">
        <v>1.30117423040304</v>
      </c>
      <c r="M11" s="19">
        <v>0.73416947078616701</v>
      </c>
      <c r="N11" s="19">
        <v>-0.15943877551020799</v>
      </c>
      <c r="O11" s="20">
        <v>1.1951000896324999</v>
      </c>
    </row>
    <row r="12" spans="1:15">
      <c r="A12" s="2"/>
      <c r="B12" s="2"/>
      <c r="C12" s="2"/>
      <c r="D12" s="2"/>
      <c r="E12" s="2"/>
      <c r="F12" s="2"/>
      <c r="G12" s="2"/>
      <c r="H12" s="2"/>
    </row>
    <row r="13" spans="1:15">
      <c r="A13" s="2"/>
      <c r="B13" s="2"/>
      <c r="C13" s="2"/>
      <c r="D13" s="2"/>
      <c r="E13" s="2"/>
      <c r="F13" s="2"/>
      <c r="G13" s="2"/>
      <c r="H13" s="2"/>
    </row>
    <row r="14" spans="1:15">
      <c r="A14" s="2"/>
      <c r="B14" s="2"/>
      <c r="C14" s="2"/>
      <c r="D14" s="2"/>
      <c r="E14" s="2"/>
      <c r="F14" s="2"/>
      <c r="G14" s="2"/>
      <c r="H14" s="2"/>
    </row>
    <row r="16" spans="1:15">
      <c r="A16" s="6"/>
      <c r="B16" s="220" t="s">
        <v>91</v>
      </c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</row>
    <row r="17" spans="1:15">
      <c r="A17" s="6"/>
      <c r="B17" s="231" t="s">
        <v>105</v>
      </c>
      <c r="C17" s="231"/>
      <c r="D17" s="231"/>
      <c r="E17" s="231"/>
      <c r="F17" s="231"/>
      <c r="G17" s="231"/>
      <c r="H17" s="231"/>
      <c r="I17" s="231" t="s">
        <v>226</v>
      </c>
      <c r="J17" s="231"/>
      <c r="K17" s="231"/>
      <c r="L17" s="231"/>
      <c r="M17" s="231"/>
      <c r="N17" s="231"/>
      <c r="O17" s="231"/>
    </row>
    <row r="18" spans="1:15">
      <c r="A18" s="8" t="s">
        <v>92</v>
      </c>
      <c r="B18" s="9" t="s">
        <v>93</v>
      </c>
      <c r="C18" s="10" t="s">
        <v>94</v>
      </c>
      <c r="D18" s="10" t="s">
        <v>94</v>
      </c>
      <c r="E18" s="10" t="s">
        <v>94</v>
      </c>
      <c r="F18" s="10" t="s">
        <v>94</v>
      </c>
      <c r="G18" s="10" t="s">
        <v>94</v>
      </c>
      <c r="H18" s="11" t="s">
        <v>94</v>
      </c>
      <c r="I18" s="9" t="s">
        <v>93</v>
      </c>
      <c r="J18" s="10" t="s">
        <v>94</v>
      </c>
      <c r="K18" s="10" t="s">
        <v>94</v>
      </c>
      <c r="L18" s="10" t="s">
        <v>94</v>
      </c>
      <c r="M18" s="10" t="s">
        <v>94</v>
      </c>
      <c r="N18" s="10" t="s">
        <v>94</v>
      </c>
      <c r="O18" s="11" t="s">
        <v>94</v>
      </c>
    </row>
    <row r="19" spans="1:15">
      <c r="A19" s="8" t="s">
        <v>227</v>
      </c>
      <c r="B19" s="9" t="s">
        <v>93</v>
      </c>
      <c r="C19" s="10" t="s">
        <v>93</v>
      </c>
      <c r="D19" s="21">
        <f t="shared" ref="D19:G19" si="3">E19/2</f>
        <v>5.4056249999999997</v>
      </c>
      <c r="E19" s="21">
        <f t="shared" si="3"/>
        <v>10.811249999999999</v>
      </c>
      <c r="F19" s="21">
        <f t="shared" si="3"/>
        <v>21.622499999999999</v>
      </c>
      <c r="G19" s="21">
        <f t="shared" si="3"/>
        <v>43.244999999999997</v>
      </c>
      <c r="H19" s="21">
        <v>86.49</v>
      </c>
      <c r="I19" s="9" t="s">
        <v>93</v>
      </c>
      <c r="J19" s="10" t="s">
        <v>93</v>
      </c>
      <c r="K19" s="21">
        <f t="shared" ref="K19:N19" si="4">L19/2</f>
        <v>5.4056249999999997</v>
      </c>
      <c r="L19" s="21">
        <f t="shared" si="4"/>
        <v>10.811249999999999</v>
      </c>
      <c r="M19" s="21">
        <f t="shared" si="4"/>
        <v>21.622499999999999</v>
      </c>
      <c r="N19" s="21">
        <f t="shared" si="4"/>
        <v>43.244999999999997</v>
      </c>
      <c r="O19" s="22">
        <v>86.49</v>
      </c>
    </row>
    <row r="20" spans="1:15">
      <c r="A20" s="8" t="s">
        <v>101</v>
      </c>
      <c r="B20" s="13">
        <v>4.92</v>
      </c>
      <c r="C20" s="14">
        <v>4.681</v>
      </c>
      <c r="D20" s="14">
        <v>4.2809999999999997</v>
      </c>
      <c r="E20" s="14">
        <v>3.3679999999999999</v>
      </c>
      <c r="F20" s="14">
        <v>2.9689999999999999</v>
      </c>
      <c r="G20" s="14">
        <v>2.625</v>
      </c>
      <c r="H20" s="15">
        <v>2.3820000000000001</v>
      </c>
      <c r="I20" s="13">
        <v>5.0030000000000001</v>
      </c>
      <c r="J20" s="14">
        <v>4.8239999999999998</v>
      </c>
      <c r="K20" s="14">
        <v>5.0419999999999998</v>
      </c>
      <c r="L20" s="14">
        <v>5.2969999999999997</v>
      </c>
      <c r="M20" s="14">
        <v>5.7380000000000004</v>
      </c>
      <c r="N20" s="14">
        <v>5.8529999999999998</v>
      </c>
      <c r="O20" s="15">
        <v>5.8230000000000004</v>
      </c>
    </row>
    <row r="21" spans="1:15">
      <c r="A21" s="8" t="s">
        <v>102</v>
      </c>
      <c r="B21" s="9">
        <v>1.0189999999999999</v>
      </c>
      <c r="C21" s="10" t="s">
        <v>232</v>
      </c>
      <c r="D21" s="14">
        <v>1.304</v>
      </c>
      <c r="E21" s="14">
        <v>1.492</v>
      </c>
      <c r="F21" s="14">
        <v>1.8043</v>
      </c>
      <c r="G21" s="14">
        <v>2.1360000000000001</v>
      </c>
      <c r="H21" s="15">
        <v>2.5299999999999998</v>
      </c>
      <c r="I21" s="16">
        <v>1.0980000000000001</v>
      </c>
      <c r="J21" s="14" t="s">
        <v>233</v>
      </c>
      <c r="K21" s="14">
        <v>1.288</v>
      </c>
      <c r="L21" s="14">
        <v>1.3959999999999999</v>
      </c>
      <c r="M21" s="14">
        <v>1.5640000000000001</v>
      </c>
      <c r="N21" s="14">
        <v>1.504</v>
      </c>
      <c r="O21" s="15">
        <v>1.4890000000000001</v>
      </c>
    </row>
    <row r="22" spans="1:15">
      <c r="A22" s="8" t="s">
        <v>230</v>
      </c>
      <c r="B22" s="9"/>
      <c r="C22" s="10"/>
      <c r="D22" s="23">
        <f t="shared" ref="D22:H22" si="5">D21-1.244</f>
        <v>6.0000000000000102E-2</v>
      </c>
      <c r="E22" s="23">
        <f t="shared" si="5"/>
        <v>0.248</v>
      </c>
      <c r="F22" s="23">
        <f t="shared" si="5"/>
        <v>0.56030000000000002</v>
      </c>
      <c r="G22" s="23">
        <f t="shared" si="5"/>
        <v>0.89200000000000002</v>
      </c>
      <c r="H22" s="24">
        <f t="shared" si="5"/>
        <v>1.286</v>
      </c>
      <c r="I22" s="23"/>
      <c r="J22" s="23"/>
      <c r="K22" s="23">
        <f t="shared" ref="K22:O22" si="6">K21-1.245</f>
        <v>4.2999999999999899E-2</v>
      </c>
      <c r="L22" s="23">
        <f t="shared" si="6"/>
        <v>0.151</v>
      </c>
      <c r="M22" s="23">
        <f t="shared" si="6"/>
        <v>0.31900000000000001</v>
      </c>
      <c r="N22" s="23">
        <f t="shared" si="6"/>
        <v>0.25900000000000001</v>
      </c>
      <c r="O22" s="24">
        <f t="shared" si="6"/>
        <v>0.24399999999999999</v>
      </c>
    </row>
    <row r="23" spans="1:15">
      <c r="A23" s="8" t="s">
        <v>231</v>
      </c>
      <c r="B23" s="17"/>
      <c r="C23" s="18"/>
      <c r="D23" s="19">
        <v>1.38217000691085</v>
      </c>
      <c r="E23" s="19">
        <v>6.8584070796460201</v>
      </c>
      <c r="F23" s="19">
        <v>15.8756693961975</v>
      </c>
      <c r="G23" s="19">
        <v>25.3625248791584</v>
      </c>
      <c r="H23" s="20">
        <v>35.059978189749202</v>
      </c>
      <c r="I23" s="17"/>
      <c r="J23" s="18"/>
      <c r="K23" s="19">
        <v>0.84562438544739305</v>
      </c>
      <c r="L23" s="19">
        <v>2.7716593245227599</v>
      </c>
      <c r="M23" s="19">
        <v>5.2666336470199804</v>
      </c>
      <c r="N23" s="19">
        <v>4.2375654450261804</v>
      </c>
      <c r="O23" s="20">
        <v>4.0217570463161403</v>
      </c>
    </row>
    <row r="26" spans="1:15">
      <c r="L26" s="257"/>
    </row>
    <row r="27" spans="1:15">
      <c r="L27" s="257"/>
    </row>
  </sheetData>
  <mergeCells count="7">
    <mergeCell ref="L26:L27"/>
    <mergeCell ref="B4:O4"/>
    <mergeCell ref="B5:H5"/>
    <mergeCell ref="I5:O5"/>
    <mergeCell ref="B16:O16"/>
    <mergeCell ref="B17:H17"/>
    <mergeCell ref="I17:O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Figure 1b-e</vt:lpstr>
      <vt:lpstr>Figure 1f </vt:lpstr>
      <vt:lpstr>Figure 3e-g</vt:lpstr>
      <vt:lpstr>Figure 4b-f&amp;Extended Data Fig 9</vt:lpstr>
      <vt:lpstr>Figure 5</vt:lpstr>
      <vt:lpstr> Extended Data Fig 8</vt:lpstr>
      <vt:lpstr>Supplementary Fig  6 </vt:lpstr>
      <vt:lpstr>Supplementary Fig 7  </vt:lpstr>
      <vt:lpstr> Extended Data Fig 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Laura Weatherdon</cp:lastModifiedBy>
  <dcterms:created xsi:type="dcterms:W3CDTF">2015-06-05T18:19:00Z</dcterms:created>
  <dcterms:modified xsi:type="dcterms:W3CDTF">2026-04-22T08:38:58Z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30BE1EFA339C4396A31DE739E25A8467_13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