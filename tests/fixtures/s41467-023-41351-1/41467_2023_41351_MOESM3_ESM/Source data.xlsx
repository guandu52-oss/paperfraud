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uxiali\Desktop\Kaiko final\"/>
    </mc:Choice>
  </mc:AlternateContent>
  <xr:revisionPtr revIDLastSave="0" documentId="13_ncr:1_{89D6AF19-69B4-4DF4-8F18-4F9B250FC35E}" xr6:coauthVersionLast="47" xr6:coauthVersionMax="47" xr10:uidLastSave="{00000000-0000-0000-0000-000000000000}"/>
  <bookViews>
    <workbookView xWindow="-110" yWindow="-110" windowWidth="38620" windowHeight="21220" tabRatio="858" firstSheet="20" activeTab="38" xr2:uid="{AD6FCE6B-1E5C-4F3F-B535-2A7F818421C4}"/>
  </bookViews>
  <sheets>
    <sheet name="Figure 1a" sheetId="1" r:id="rId1"/>
    <sheet name="Figure 1b" sheetId="3" r:id="rId2"/>
    <sheet name="Figure 1c" sheetId="4" r:id="rId3"/>
    <sheet name="Figure 1d" sheetId="2" r:id="rId4"/>
    <sheet name="Figure 1e" sheetId="5" r:id="rId5"/>
    <sheet name="Figure 1f" sheetId="6" r:id="rId6"/>
    <sheet name="Figure 1g" sheetId="53" r:id="rId7"/>
    <sheet name="Figure 1h RER" sheetId="54" r:id="rId8"/>
    <sheet name="Figure 2a HFD" sheetId="25" r:id="rId9"/>
    <sheet name="Figure 2b " sheetId="60" r:id="rId10"/>
    <sheet name="Figure 2c " sheetId="61" r:id="rId11"/>
    <sheet name="Figure 2d" sheetId="62" r:id="rId12"/>
    <sheet name="Figure 2e" sheetId="63" r:id="rId13"/>
    <sheet name=" Figure 2f RER HFD" sheetId="29" r:id="rId14"/>
    <sheet name="Figure 2g HFD " sheetId="26" r:id="rId15"/>
    <sheet name="Figure 2h" sheetId="64" r:id="rId16"/>
    <sheet name=" Figure 3a" sheetId="7" r:id="rId17"/>
    <sheet name="Figure 3b" sheetId="65" r:id="rId18"/>
    <sheet name="Figure 3c " sheetId="8" r:id="rId19"/>
    <sheet name="Figure 3d CM co culture" sheetId="9" r:id="rId20"/>
    <sheet name=" Figure 3f CM-co cultuure" sheetId="10" r:id="rId21"/>
    <sheet name="Figure 4a" sheetId="11" r:id="rId22"/>
    <sheet name="Figure 4b" sheetId="12" r:id="rId23"/>
    <sheet name="Figure 4d " sheetId="46" r:id="rId24"/>
    <sheet name="Figure 4e" sheetId="18" r:id="rId25"/>
    <sheet name="Figure 4h " sheetId="13" r:id="rId26"/>
    <sheet name="Figure 4i" sheetId="66" r:id="rId27"/>
    <sheet name=" Figure 4k" sheetId="19" r:id="rId28"/>
    <sheet name="Figure 4l" sheetId="67" r:id="rId29"/>
    <sheet name="Figure 4m" sheetId="68" r:id="rId30"/>
    <sheet name=" Figure 5b " sheetId="14" r:id="rId31"/>
    <sheet name="Figure 5c" sheetId="15" r:id="rId32"/>
    <sheet name="Figure 5e" sheetId="16" r:id="rId33"/>
    <sheet name="Figure 5f " sheetId="17" r:id="rId34"/>
    <sheet name="Figure 5g ILK density" sheetId="55" r:id="rId35"/>
    <sheet name="Figure 5h ILK in Gasroc" sheetId="56" r:id="rId36"/>
    <sheet name="Figure 6a" sheetId="20" r:id="rId37"/>
    <sheet name="Figure 6b" sheetId="21" r:id="rId38"/>
    <sheet name="Figure 6d" sheetId="69" r:id="rId39"/>
    <sheet name="Figure 6f" sheetId="70" r:id="rId40"/>
    <sheet name="Figure 6g" sheetId="22" r:id="rId41"/>
    <sheet name="Figure 6h" sheetId="71" r:id="rId42"/>
    <sheet name="Figure  6j" sheetId="23" r:id="rId43"/>
    <sheet name="Figure 6k" sheetId="72" r:id="rId44"/>
    <sheet name=" Supplementary Fig 1e" sheetId="30" r:id="rId45"/>
    <sheet name="Supplementary Fig 1g" sheetId="73" r:id="rId46"/>
    <sheet name="Suplementary Fig 2" sheetId="57" r:id="rId47"/>
    <sheet name="Supplementary Fig 3a" sheetId="58" r:id="rId48"/>
    <sheet name="Supplementary Fig 3b" sheetId="51" r:id="rId49"/>
    <sheet name=" Supplemenatary Fig 4a" sheetId="32" r:id="rId50"/>
    <sheet name="Supplementary Fig 4b" sheetId="74" r:id="rId51"/>
    <sheet name="Supplementary fig 4c" sheetId="75" r:id="rId52"/>
    <sheet name="Supplementary fig 4d" sheetId="76" r:id="rId53"/>
    <sheet name="Supplementary Fig 4e" sheetId="77" r:id="rId54"/>
    <sheet name="supplemetary Fig 4f activity" sheetId="33" r:id="rId55"/>
    <sheet name="Supplementary Fig 5b " sheetId="38" r:id="rId56"/>
    <sheet name="Supplementary Fig 5d" sheetId="78" r:id="rId57"/>
    <sheet name="Supplementary Fig 6a" sheetId="84" r:id="rId58"/>
    <sheet name="Supplementary Fig 7a" sheetId="37" r:id="rId59"/>
    <sheet name="Supplementary Fig 7b" sheetId="79" r:id="rId60"/>
    <sheet name="Supplementary Fig 7c" sheetId="80" r:id="rId61"/>
    <sheet name="Supplementary Fig 8a " sheetId="36" r:id="rId62"/>
    <sheet name="Supplementary Fig 8b" sheetId="81" r:id="rId63"/>
    <sheet name="Supplementary Fig 8c" sheetId="82" r:id="rId64"/>
    <sheet name="Supplementary Fig 9a " sheetId="49" r:id="rId65"/>
    <sheet name="Supplementary Fig 9b" sheetId="50" r:id="rId66"/>
    <sheet name="Supplementary Fig 10a" sheetId="59" r:id="rId67"/>
    <sheet name="Supplementary Fig 10b" sheetId="83" r:id="rId68"/>
    <sheet name="Supplementary Fig 11b" sheetId="45" r:id="rId6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84" l="1"/>
  <c r="D20" i="84"/>
  <c r="E20" i="84"/>
  <c r="F20" i="84"/>
  <c r="G20" i="84"/>
  <c r="H20" i="84"/>
  <c r="J20" i="84"/>
  <c r="K20" i="84"/>
  <c r="L20" i="84"/>
  <c r="M20" i="84"/>
  <c r="N20" i="84"/>
  <c r="O20" i="84"/>
  <c r="C21" i="84"/>
  <c r="D21" i="84"/>
  <c r="E21" i="84"/>
  <c r="F21" i="84"/>
  <c r="G21" i="84"/>
  <c r="H21" i="84"/>
  <c r="J21" i="84"/>
  <c r="K21" i="84"/>
  <c r="L21" i="84"/>
  <c r="M21" i="84"/>
  <c r="N21" i="84"/>
  <c r="O21" i="84"/>
  <c r="C22" i="84"/>
  <c r="D22" i="84"/>
  <c r="E22" i="84"/>
  <c r="F22" i="84"/>
  <c r="G22" i="84"/>
  <c r="H22" i="84"/>
  <c r="J22" i="84"/>
  <c r="K22" i="84"/>
  <c r="L22" i="84"/>
  <c r="M22" i="84"/>
  <c r="N22" i="84"/>
  <c r="O22" i="84"/>
  <c r="C23" i="84"/>
  <c r="D23" i="84"/>
  <c r="E23" i="84"/>
  <c r="F23" i="84"/>
  <c r="G23" i="84"/>
  <c r="H23" i="84"/>
  <c r="J23" i="84"/>
  <c r="K23" i="84"/>
  <c r="L23" i="84"/>
  <c r="M23" i="84"/>
  <c r="N23" i="84"/>
  <c r="O23" i="84"/>
  <c r="C24" i="84"/>
  <c r="D24" i="84"/>
  <c r="P24" i="84" s="1"/>
  <c r="E24" i="84"/>
  <c r="F24" i="84"/>
  <c r="G24" i="84"/>
  <c r="H24" i="84"/>
  <c r="J24" i="84"/>
  <c r="K24" i="84"/>
  <c r="L24" i="84"/>
  <c r="M24" i="84"/>
  <c r="N24" i="84"/>
  <c r="O24" i="84"/>
  <c r="C25" i="84"/>
  <c r="D25" i="84"/>
  <c r="E25" i="84"/>
  <c r="F25" i="84"/>
  <c r="G25" i="84"/>
  <c r="H25" i="84"/>
  <c r="J25" i="84"/>
  <c r="K25" i="84"/>
  <c r="L25" i="84"/>
  <c r="M25" i="84"/>
  <c r="N25" i="84"/>
  <c r="O25" i="84"/>
  <c r="C26" i="84"/>
  <c r="D26" i="84"/>
  <c r="E26" i="84"/>
  <c r="F26" i="84"/>
  <c r="G26" i="84"/>
  <c r="H26" i="84"/>
  <c r="J26" i="84"/>
  <c r="K26" i="84"/>
  <c r="L26" i="84"/>
  <c r="M26" i="84"/>
  <c r="N26" i="84"/>
  <c r="O26" i="84"/>
  <c r="J19" i="84"/>
  <c r="K19" i="84"/>
  <c r="L19" i="84"/>
  <c r="M19" i="84"/>
  <c r="N19" i="84"/>
  <c r="O19" i="84"/>
  <c r="D19" i="84"/>
  <c r="E19" i="84"/>
  <c r="F19" i="84"/>
  <c r="G19" i="84"/>
  <c r="H19" i="84"/>
  <c r="C19" i="84"/>
  <c r="P20" i="84"/>
  <c r="P21" i="84"/>
  <c r="P22" i="84"/>
  <c r="P23" i="84"/>
  <c r="P25" i="84"/>
  <c r="P26" i="84"/>
  <c r="J18" i="84"/>
  <c r="K18" i="84"/>
  <c r="L18" i="84"/>
  <c r="M18" i="84"/>
  <c r="N18" i="84"/>
  <c r="O18" i="84"/>
  <c r="D18" i="84"/>
  <c r="E18" i="84"/>
  <c r="F18" i="84"/>
  <c r="G18" i="84"/>
  <c r="H18" i="84"/>
  <c r="C18" i="84"/>
  <c r="P6" i="84"/>
  <c r="P7" i="84"/>
  <c r="P8" i="84"/>
  <c r="P9" i="84"/>
  <c r="P10" i="84"/>
  <c r="P11" i="84"/>
  <c r="P12" i="84"/>
  <c r="P13" i="84"/>
  <c r="P5" i="84"/>
  <c r="I7" i="45"/>
  <c r="I6" i="45"/>
  <c r="G7" i="45"/>
  <c r="G6" i="45"/>
  <c r="F7" i="45"/>
  <c r="F6" i="45"/>
  <c r="E7" i="45"/>
  <c r="E6" i="45"/>
  <c r="B12" i="83"/>
  <c r="B8" i="59"/>
  <c r="D11" i="82"/>
  <c r="B11" i="82"/>
  <c r="B9" i="81"/>
  <c r="B7" i="36"/>
  <c r="B25" i="7"/>
  <c r="H12" i="7"/>
  <c r="H13" i="7"/>
  <c r="H14" i="7"/>
  <c r="H15" i="7"/>
  <c r="H11" i="7"/>
  <c r="C13" i="70"/>
  <c r="B13" i="70"/>
  <c r="I22" i="79"/>
  <c r="I21" i="79"/>
  <c r="I20" i="79"/>
  <c r="I19" i="79"/>
  <c r="I18" i="79"/>
  <c r="I13" i="79"/>
  <c r="I14" i="79"/>
  <c r="I15" i="79"/>
  <c r="I12" i="79"/>
  <c r="I11" i="79"/>
  <c r="D7" i="79"/>
  <c r="K20" i="80"/>
  <c r="K19" i="80"/>
  <c r="K18" i="80"/>
  <c r="K17" i="80"/>
  <c r="K16" i="80"/>
  <c r="K11" i="80"/>
  <c r="K12" i="80"/>
  <c r="K13" i="80"/>
  <c r="K14" i="80"/>
  <c r="K10" i="80"/>
  <c r="D7" i="80"/>
  <c r="I10" i="37"/>
  <c r="I11" i="37"/>
  <c r="I12" i="37"/>
  <c r="I9" i="37"/>
  <c r="E3" i="37"/>
  <c r="H14" i="78"/>
  <c r="H5" i="78"/>
  <c r="H6" i="78"/>
  <c r="H7" i="78"/>
  <c r="H8" i="78"/>
  <c r="H9" i="78"/>
  <c r="H10" i="78"/>
  <c r="H11" i="78"/>
  <c r="H12" i="78"/>
  <c r="H13" i="78"/>
  <c r="H15" i="78"/>
  <c r="H16" i="78"/>
  <c r="H4" i="78"/>
  <c r="R4" i="38"/>
  <c r="R5" i="38"/>
  <c r="R6" i="38"/>
  <c r="R7" i="38"/>
  <c r="R8" i="38"/>
  <c r="R9" i="38"/>
  <c r="R10" i="38"/>
  <c r="R11" i="38"/>
  <c r="R12" i="38"/>
  <c r="R13" i="38"/>
  <c r="R14" i="38"/>
  <c r="R15" i="38"/>
  <c r="R16" i="38"/>
  <c r="R17" i="38"/>
  <c r="R3" i="38"/>
  <c r="AC4" i="33"/>
  <c r="AC5" i="33"/>
  <c r="AC6" i="33"/>
  <c r="AC7" i="33"/>
  <c r="AC8" i="33"/>
  <c r="AC9" i="33"/>
  <c r="AC10" i="33"/>
  <c r="AC11" i="33"/>
  <c r="AC12" i="33"/>
  <c r="AC13" i="33"/>
  <c r="AC14" i="33"/>
  <c r="AC15" i="33"/>
  <c r="AC16" i="33"/>
  <c r="AC17" i="33"/>
  <c r="AC18" i="33"/>
  <c r="AC19" i="33"/>
  <c r="AC20" i="33"/>
  <c r="AC21" i="33"/>
  <c r="AC22" i="33"/>
  <c r="AC23" i="33"/>
  <c r="AC24" i="33"/>
  <c r="AC25" i="33"/>
  <c r="AC26" i="33"/>
  <c r="AC27" i="33"/>
  <c r="AC28" i="33"/>
  <c r="AC29" i="33"/>
  <c r="AC30" i="33"/>
  <c r="AC31" i="33"/>
  <c r="AC32" i="33"/>
  <c r="AC33" i="33"/>
  <c r="AC34" i="33"/>
  <c r="AC35" i="33"/>
  <c r="AC36" i="33"/>
  <c r="AC37" i="33"/>
  <c r="AC38" i="33"/>
  <c r="AC39" i="33"/>
  <c r="AC40" i="33"/>
  <c r="AC41" i="33"/>
  <c r="AC42" i="33"/>
  <c r="AC43" i="33"/>
  <c r="AC44" i="33"/>
  <c r="AC45" i="33"/>
  <c r="AC46" i="33"/>
  <c r="AC47" i="33"/>
  <c r="AC48" i="33"/>
  <c r="AC49" i="33"/>
  <c r="AC50" i="33"/>
  <c r="AC51" i="33"/>
  <c r="AC52" i="33"/>
  <c r="AC53" i="33"/>
  <c r="AC54" i="33"/>
  <c r="AC55" i="33"/>
  <c r="AC56" i="33"/>
  <c r="AC57" i="33"/>
  <c r="AC58" i="33"/>
  <c r="AC59" i="33"/>
  <c r="AC60" i="33"/>
  <c r="AC61" i="33"/>
  <c r="AC62" i="33"/>
  <c r="AC63" i="33"/>
  <c r="AC64" i="33"/>
  <c r="AC65" i="33"/>
  <c r="AC66" i="33"/>
  <c r="AC67" i="33"/>
  <c r="AC68" i="33"/>
  <c r="AC69" i="33"/>
  <c r="AC70" i="33"/>
  <c r="AC71" i="33"/>
  <c r="AC72" i="33"/>
  <c r="AC73" i="33"/>
  <c r="AC74" i="33"/>
  <c r="AC75" i="33"/>
  <c r="AC76" i="33"/>
  <c r="AC77" i="33"/>
  <c r="AC78" i="33"/>
  <c r="AC79" i="33"/>
  <c r="AC80" i="33"/>
  <c r="AC81" i="33"/>
  <c r="AC82" i="33"/>
  <c r="AC83" i="33"/>
  <c r="AC84" i="33"/>
  <c r="AC85" i="33"/>
  <c r="AC86" i="33"/>
  <c r="AC87" i="33"/>
  <c r="AC88" i="33"/>
  <c r="AC3" i="33"/>
  <c r="B14" i="77"/>
  <c r="B16" i="76"/>
  <c r="C15" i="75"/>
  <c r="C18" i="74"/>
  <c r="S4" i="32"/>
  <c r="S5" i="32"/>
  <c r="S6" i="32"/>
  <c r="S7" i="32"/>
  <c r="S8" i="32"/>
  <c r="S9" i="32"/>
  <c r="S10" i="32"/>
  <c r="S11" i="32"/>
  <c r="S12" i="32"/>
  <c r="S13" i="32"/>
  <c r="S14" i="32"/>
  <c r="S15" i="32"/>
  <c r="S3" i="32"/>
  <c r="B25" i="58"/>
  <c r="N15" i="57"/>
  <c r="N16" i="57"/>
  <c r="N17" i="57"/>
  <c r="N18" i="57"/>
  <c r="N14" i="57"/>
  <c r="J6" i="73"/>
  <c r="J7" i="73"/>
  <c r="J8" i="73"/>
  <c r="J9" i="73"/>
  <c r="J10" i="73"/>
  <c r="J11" i="73"/>
  <c r="J12" i="73"/>
  <c r="J5" i="73"/>
  <c r="B9" i="30"/>
  <c r="E24" i="6"/>
  <c r="D12" i="6"/>
  <c r="E12" i="6"/>
  <c r="B12" i="72"/>
  <c r="C16" i="23"/>
  <c r="B16" i="23"/>
  <c r="B15" i="71"/>
  <c r="I11" i="22"/>
  <c r="I7" i="22"/>
  <c r="I3" i="22"/>
  <c r="B10" i="21"/>
  <c r="C12" i="69"/>
  <c r="B12" i="69"/>
  <c r="H11" i="20"/>
  <c r="H3" i="20"/>
  <c r="H7" i="20"/>
  <c r="B11" i="56"/>
  <c r="E24" i="55"/>
  <c r="B17" i="55"/>
  <c r="P19" i="84" l="1"/>
  <c r="P18" i="84"/>
  <c r="D16" i="17"/>
  <c r="D15" i="17"/>
  <c r="C16" i="17"/>
  <c r="C15" i="17"/>
  <c r="C9" i="16"/>
  <c r="B9" i="16"/>
  <c r="D7" i="15"/>
  <c r="D6" i="15"/>
  <c r="C7" i="15"/>
  <c r="C6" i="15"/>
  <c r="C12" i="14"/>
  <c r="B12" i="14"/>
  <c r="B9" i="19"/>
  <c r="B9" i="67"/>
  <c r="B10" i="68"/>
  <c r="B16" i="66"/>
  <c r="B12" i="13"/>
  <c r="L4" i="18"/>
  <c r="L3" i="18"/>
  <c r="P18" i="12"/>
  <c r="P17" i="12"/>
  <c r="P16" i="12"/>
  <c r="P15" i="12"/>
  <c r="P12" i="12"/>
  <c r="P11" i="12"/>
  <c r="P10" i="12"/>
  <c r="P9" i="12"/>
  <c r="P4" i="12"/>
  <c r="P5" i="12"/>
  <c r="P6" i="12"/>
  <c r="P3" i="12"/>
  <c r="P11" i="11"/>
  <c r="P10" i="11"/>
  <c r="P9" i="11"/>
  <c r="P4" i="11"/>
  <c r="P5" i="11"/>
  <c r="P3" i="11"/>
  <c r="T9" i="10"/>
  <c r="T4" i="10"/>
  <c r="T3" i="10"/>
  <c r="B15" i="9"/>
  <c r="P4" i="9"/>
  <c r="P3" i="9"/>
  <c r="B16" i="8"/>
  <c r="Q5" i="8"/>
  <c r="Q4" i="8"/>
  <c r="I6" i="65"/>
  <c r="I7" i="65"/>
  <c r="I8" i="65"/>
  <c r="I5" i="65"/>
  <c r="B30" i="26"/>
  <c r="E18" i="64"/>
  <c r="F18" i="64"/>
  <c r="G18" i="64"/>
  <c r="D18" i="64"/>
  <c r="K5" i="26"/>
  <c r="K6" i="26"/>
  <c r="K7" i="26"/>
  <c r="K8" i="26"/>
  <c r="K4" i="26"/>
  <c r="B92" i="29"/>
  <c r="R90" i="29"/>
  <c r="Q90" i="29"/>
  <c r="P90" i="29"/>
  <c r="O90" i="29"/>
  <c r="N90" i="29"/>
  <c r="M90" i="29"/>
  <c r="L90" i="29"/>
  <c r="K90" i="29"/>
  <c r="C90" i="29"/>
  <c r="D90" i="29"/>
  <c r="E90" i="29"/>
  <c r="F90" i="29"/>
  <c r="G90" i="29"/>
  <c r="H90" i="29"/>
  <c r="I90" i="29"/>
  <c r="B90" i="29"/>
  <c r="B18" i="63"/>
  <c r="C17" i="62"/>
  <c r="B18" i="61"/>
  <c r="C17" i="60"/>
  <c r="W15" i="25"/>
  <c r="W4" i="25"/>
  <c r="W5" i="25"/>
  <c r="W6" i="25"/>
  <c r="W7" i="25"/>
  <c r="W8" i="25"/>
  <c r="W9" i="25"/>
  <c r="W10" i="25"/>
  <c r="W11" i="25"/>
  <c r="W12" i="25"/>
  <c r="W13" i="25"/>
  <c r="W14" i="25"/>
  <c r="W3" i="25"/>
  <c r="C92" i="54"/>
  <c r="O91" i="54"/>
  <c r="P91" i="54"/>
  <c r="Q91" i="54"/>
  <c r="R91" i="54"/>
  <c r="S91" i="54"/>
  <c r="T91" i="54"/>
  <c r="U91" i="54"/>
  <c r="V91" i="54"/>
  <c r="W91" i="54"/>
  <c r="X91" i="54"/>
  <c r="Y91" i="54"/>
  <c r="Z91" i="54"/>
  <c r="N91" i="54"/>
  <c r="C91" i="54"/>
  <c r="D91" i="54"/>
  <c r="E91" i="54"/>
  <c r="F91" i="54"/>
  <c r="G91" i="54"/>
  <c r="H91" i="54"/>
  <c r="I91" i="54"/>
  <c r="J91" i="54"/>
  <c r="K91" i="54"/>
  <c r="B91" i="54"/>
  <c r="O4" i="53"/>
  <c r="O5" i="53"/>
  <c r="O6" i="53"/>
  <c r="O3" i="53"/>
  <c r="D24" i="6"/>
  <c r="C24" i="6"/>
  <c r="B24" i="6"/>
  <c r="C12" i="6"/>
  <c r="B12" i="6"/>
  <c r="S6" i="5"/>
  <c r="S7" i="5"/>
  <c r="S8" i="5"/>
  <c r="S9" i="5"/>
  <c r="S10" i="5"/>
  <c r="S11" i="5"/>
  <c r="S12" i="5"/>
  <c r="S5" i="5"/>
  <c r="L10" i="2"/>
  <c r="L11" i="2"/>
  <c r="L12" i="2"/>
  <c r="L9" i="2"/>
  <c r="R30" i="4"/>
  <c r="R31" i="4"/>
  <c r="R32" i="4"/>
  <c r="R33" i="4"/>
  <c r="R34" i="4"/>
  <c r="R35" i="4"/>
  <c r="R36" i="4"/>
  <c r="R37" i="4"/>
  <c r="R38" i="4"/>
  <c r="R39" i="4"/>
  <c r="R40" i="4"/>
  <c r="R41" i="4"/>
  <c r="R29" i="4"/>
  <c r="U6" i="3"/>
  <c r="U7" i="3"/>
  <c r="U8" i="3"/>
  <c r="U5" i="3"/>
  <c r="S4" i="1"/>
  <c r="S5" i="1"/>
  <c r="S6" i="1"/>
  <c r="S7" i="1"/>
  <c r="S3" i="1"/>
</calcChain>
</file>

<file path=xl/sharedStrings.xml><?xml version="1.0" encoding="utf-8"?>
<sst xmlns="http://schemas.openxmlformats.org/spreadsheetml/2006/main" count="10357" uniqueCount="5015">
  <si>
    <t>time (min)</t>
  </si>
  <si>
    <t>KO1</t>
  </si>
  <si>
    <t>KO2</t>
  </si>
  <si>
    <t>KO3</t>
  </si>
  <si>
    <t>KO4</t>
  </si>
  <si>
    <t>KO5</t>
  </si>
  <si>
    <t>KO6</t>
  </si>
  <si>
    <t>KO7</t>
  </si>
  <si>
    <t>KO8</t>
  </si>
  <si>
    <t>KO9</t>
  </si>
  <si>
    <t>time(min)</t>
  </si>
  <si>
    <t>KO10</t>
  </si>
  <si>
    <t>KO11</t>
  </si>
  <si>
    <t>KO12</t>
  </si>
  <si>
    <t>KO13</t>
  </si>
  <si>
    <t>KO14</t>
  </si>
  <si>
    <t>mouse ID</t>
  </si>
  <si>
    <t>group</t>
  </si>
  <si>
    <t>GIR</t>
  </si>
  <si>
    <t>CL</t>
  </si>
  <si>
    <t>A</t>
  </si>
  <si>
    <t>M</t>
  </si>
  <si>
    <t>P</t>
  </si>
  <si>
    <t>KO</t>
  </si>
  <si>
    <t>L-2</t>
  </si>
  <si>
    <t>L-5</t>
  </si>
  <si>
    <t>L-9</t>
  </si>
  <si>
    <t>L-17</t>
  </si>
  <si>
    <t>L-3</t>
  </si>
  <si>
    <t>L-4</t>
  </si>
  <si>
    <t>L-7</t>
  </si>
  <si>
    <t>L-11</t>
  </si>
  <si>
    <t>L-13</t>
  </si>
  <si>
    <t>L-16</t>
  </si>
  <si>
    <t>L-18</t>
  </si>
  <si>
    <t>15-0</t>
  </si>
  <si>
    <t>34-RR</t>
  </si>
  <si>
    <t>34-RL</t>
  </si>
  <si>
    <t>27-RR</t>
  </si>
  <si>
    <t>27-L</t>
  </si>
  <si>
    <t>34-1-L</t>
  </si>
  <si>
    <t>42-L</t>
  </si>
  <si>
    <t>32-1-RR</t>
  </si>
  <si>
    <t>15-R</t>
  </si>
  <si>
    <t>34-LL</t>
  </si>
  <si>
    <t>39-RR</t>
  </si>
  <si>
    <t>39-L</t>
  </si>
  <si>
    <t>27-R</t>
  </si>
  <si>
    <t>32-1-LL</t>
  </si>
  <si>
    <t>/</t>
  </si>
  <si>
    <t>KO-insulin</t>
  </si>
  <si>
    <t>min</t>
  </si>
  <si>
    <t xml:space="preserve">GTT </t>
  </si>
  <si>
    <t>glucouse(mg/dL)</t>
  </si>
  <si>
    <t>S473/Akt</t>
  </si>
  <si>
    <t>T308/Akt</t>
  </si>
  <si>
    <r>
      <t>GSK3</t>
    </r>
    <r>
      <rPr>
        <sz val="11"/>
        <color theme="1"/>
        <rFont val="Calibri"/>
        <family val="2"/>
      </rPr>
      <t>β</t>
    </r>
    <r>
      <rPr>
        <sz val="11"/>
        <color theme="1"/>
        <rFont val="Calibri"/>
        <family val="2"/>
        <scheme val="minor"/>
      </rPr>
      <t xml:space="preserve"> s9/GSK3β</t>
    </r>
  </si>
  <si>
    <t>KO-CM1</t>
  </si>
  <si>
    <t>KO-CM2</t>
  </si>
  <si>
    <t>KO-CM3</t>
  </si>
  <si>
    <t>KO-CM4</t>
  </si>
  <si>
    <t>KO-CM5</t>
  </si>
  <si>
    <t>KO-CM6</t>
  </si>
  <si>
    <t>KO-CM</t>
  </si>
  <si>
    <t>C-CM1</t>
  </si>
  <si>
    <t>C-CM2</t>
  </si>
  <si>
    <t>C-CM3</t>
  </si>
  <si>
    <t>C-CM4</t>
  </si>
  <si>
    <t>C-CM5</t>
  </si>
  <si>
    <t>C-CM6</t>
  </si>
  <si>
    <t>C-CM7</t>
  </si>
  <si>
    <t>C-CM8</t>
  </si>
  <si>
    <t>si-CM1</t>
  </si>
  <si>
    <t>si-CM2</t>
  </si>
  <si>
    <t>si-CM3</t>
  </si>
  <si>
    <t>si-CM4</t>
  </si>
  <si>
    <t>si-CM5</t>
  </si>
  <si>
    <t>si-CM6</t>
  </si>
  <si>
    <t>si-CM7</t>
  </si>
  <si>
    <t>si-CM8</t>
  </si>
  <si>
    <t>un-treated</t>
  </si>
  <si>
    <t>85°C</t>
  </si>
  <si>
    <t>PK</t>
  </si>
  <si>
    <t>Un-concentrated</t>
  </si>
  <si>
    <r>
      <t>T</t>
    </r>
    <r>
      <rPr>
        <sz val="11"/>
        <color theme="1"/>
        <rFont val="Abadi"/>
        <family val="2"/>
      </rPr>
      <t>β</t>
    </r>
    <r>
      <rPr>
        <sz val="11"/>
        <color theme="1"/>
        <rFont val="Calibri"/>
        <family val="2"/>
      </rPr>
      <t>4 concentration in parabiosis mouse plasma(ng/ml)</t>
    </r>
  </si>
  <si>
    <r>
      <t>T</t>
    </r>
    <r>
      <rPr>
        <sz val="11"/>
        <color theme="1"/>
        <rFont val="Abadi"/>
        <family val="2"/>
      </rPr>
      <t>β</t>
    </r>
    <r>
      <rPr>
        <sz val="11"/>
        <color theme="1"/>
        <rFont val="Calibri"/>
        <family val="2"/>
      </rPr>
      <t>4 concentration in WT and KO mouse plasma(ng/ml)</t>
    </r>
  </si>
  <si>
    <t>Control</t>
  </si>
  <si>
    <t>Sirt1-si</t>
  </si>
  <si>
    <t>Sirt1-si+TB4-si</t>
  </si>
  <si>
    <r>
      <t>T</t>
    </r>
    <r>
      <rPr>
        <sz val="11"/>
        <color theme="1"/>
        <rFont val="Abadi"/>
        <family val="2"/>
      </rPr>
      <t>β</t>
    </r>
    <r>
      <rPr>
        <sz val="11"/>
        <color theme="1"/>
        <rFont val="Calibri"/>
        <family val="2"/>
      </rPr>
      <t>4 concentration in CM (ng/ml)</t>
    </r>
  </si>
  <si>
    <t>C-CM</t>
  </si>
  <si>
    <t>Sirt1-si-CM</t>
  </si>
  <si>
    <t>Sirt1-si-CM+IP Tβ4</t>
  </si>
  <si>
    <t>17*</t>
  </si>
  <si>
    <t>14.7*</t>
  </si>
  <si>
    <t>Sirt1-si-CM1</t>
  </si>
  <si>
    <t>Sirt1-si-CM2</t>
  </si>
  <si>
    <t>Sirt1-si-CM3</t>
  </si>
  <si>
    <t>Sirt1-si-CM4</t>
  </si>
  <si>
    <t>Sirt1-si-CM5</t>
  </si>
  <si>
    <t>Sirt1-si-CM6</t>
  </si>
  <si>
    <r>
      <t>Sirt1-si-IP-T</t>
    </r>
    <r>
      <rPr>
        <sz val="11"/>
        <color theme="1"/>
        <rFont val="Calibri"/>
        <family val="2"/>
      </rPr>
      <t>β4-</t>
    </r>
    <r>
      <rPr>
        <sz val="11"/>
        <color theme="1"/>
        <rFont val="Calibri"/>
        <family val="2"/>
        <scheme val="minor"/>
      </rPr>
      <t>CM1</t>
    </r>
  </si>
  <si>
    <r>
      <t>Sirt1-si-IP-T</t>
    </r>
    <r>
      <rPr>
        <sz val="11"/>
        <color theme="1"/>
        <rFont val="Calibri"/>
        <family val="2"/>
      </rPr>
      <t>β4-</t>
    </r>
    <r>
      <rPr>
        <sz val="11"/>
        <color theme="1"/>
        <rFont val="Calibri"/>
        <family val="2"/>
        <scheme val="minor"/>
      </rPr>
      <t>CM2</t>
    </r>
    <r>
      <rPr>
        <sz val="11"/>
        <color theme="1"/>
        <rFont val="Calibri"/>
        <family val="2"/>
        <scheme val="minor"/>
      </rPr>
      <t/>
    </r>
  </si>
  <si>
    <r>
      <t>Sirt1-si-IP-T</t>
    </r>
    <r>
      <rPr>
        <sz val="11"/>
        <color theme="1"/>
        <rFont val="Calibri"/>
        <family val="2"/>
      </rPr>
      <t>β4-</t>
    </r>
    <r>
      <rPr>
        <sz val="11"/>
        <color theme="1"/>
        <rFont val="Calibri"/>
        <family val="2"/>
        <scheme val="minor"/>
      </rPr>
      <t>CM3</t>
    </r>
    <r>
      <rPr>
        <sz val="11"/>
        <color theme="1"/>
        <rFont val="Calibri"/>
        <family val="2"/>
        <scheme val="minor"/>
      </rPr>
      <t/>
    </r>
  </si>
  <si>
    <r>
      <t>Sirt1-si-IP-T</t>
    </r>
    <r>
      <rPr>
        <sz val="11"/>
        <color theme="1"/>
        <rFont val="Calibri"/>
        <family val="2"/>
      </rPr>
      <t>β4-</t>
    </r>
    <r>
      <rPr>
        <sz val="11"/>
        <color theme="1"/>
        <rFont val="Calibri"/>
        <family val="2"/>
        <scheme val="minor"/>
      </rPr>
      <t>CM4</t>
    </r>
    <r>
      <rPr>
        <sz val="11"/>
        <color theme="1"/>
        <rFont val="Calibri"/>
        <family val="2"/>
        <scheme val="minor"/>
      </rPr>
      <t/>
    </r>
  </si>
  <si>
    <r>
      <t>Sirt1-si-IP-T</t>
    </r>
    <r>
      <rPr>
        <sz val="11"/>
        <color theme="1"/>
        <rFont val="Calibri"/>
        <family val="2"/>
      </rPr>
      <t>β4-</t>
    </r>
    <r>
      <rPr>
        <sz val="11"/>
        <color theme="1"/>
        <rFont val="Calibri"/>
        <family val="2"/>
        <scheme val="minor"/>
      </rPr>
      <t>CM5</t>
    </r>
    <r>
      <rPr>
        <sz val="11"/>
        <color theme="1"/>
        <rFont val="Calibri"/>
        <family val="2"/>
        <scheme val="minor"/>
      </rPr>
      <t/>
    </r>
  </si>
  <si>
    <r>
      <t>Sirt1-si-IP-T</t>
    </r>
    <r>
      <rPr>
        <sz val="11"/>
        <color theme="1"/>
        <rFont val="Calibri"/>
        <family val="2"/>
      </rPr>
      <t>β4-</t>
    </r>
    <r>
      <rPr>
        <sz val="11"/>
        <color theme="1"/>
        <rFont val="Calibri"/>
        <family val="2"/>
        <scheme val="minor"/>
      </rPr>
      <t>CM6</t>
    </r>
    <r>
      <rPr>
        <sz val="11"/>
        <color theme="1"/>
        <rFont val="Calibri"/>
        <family val="2"/>
        <scheme val="minor"/>
      </rPr>
      <t/>
    </r>
  </si>
  <si>
    <t>Control1</t>
  </si>
  <si>
    <t>Control2</t>
  </si>
  <si>
    <t>Control3</t>
  </si>
  <si>
    <t>Control4</t>
  </si>
  <si>
    <r>
      <t>T</t>
    </r>
    <r>
      <rPr>
        <sz val="11"/>
        <color theme="1"/>
        <rFont val="Calibri"/>
        <family val="2"/>
      </rPr>
      <t>β4-1</t>
    </r>
  </si>
  <si>
    <r>
      <t>T</t>
    </r>
    <r>
      <rPr>
        <sz val="11"/>
        <color theme="1"/>
        <rFont val="Calibri"/>
        <family val="2"/>
      </rPr>
      <t>β4-2</t>
    </r>
    <r>
      <rPr>
        <sz val="11"/>
        <color theme="1"/>
        <rFont val="Calibri"/>
        <family val="2"/>
        <scheme val="minor"/>
      </rPr>
      <t/>
    </r>
  </si>
  <si>
    <r>
      <t>T</t>
    </r>
    <r>
      <rPr>
        <sz val="11"/>
        <color theme="1"/>
        <rFont val="Calibri"/>
        <family val="2"/>
      </rPr>
      <t>β4-3</t>
    </r>
    <r>
      <rPr>
        <sz val="11"/>
        <color theme="1"/>
        <rFont val="Calibri"/>
        <family val="2"/>
        <scheme val="minor"/>
      </rPr>
      <t/>
    </r>
  </si>
  <si>
    <r>
      <t>T</t>
    </r>
    <r>
      <rPr>
        <sz val="11"/>
        <color theme="1"/>
        <rFont val="Calibri"/>
        <family val="2"/>
      </rPr>
      <t>β4-4</t>
    </r>
    <r>
      <rPr>
        <sz val="11"/>
        <color theme="1"/>
        <rFont val="Calibri"/>
        <family val="2"/>
        <scheme val="minor"/>
      </rPr>
      <t/>
    </r>
  </si>
  <si>
    <t>Akt S473/Akt</t>
  </si>
  <si>
    <t>Akt T308/Akt</t>
  </si>
  <si>
    <r>
      <t>T</t>
    </r>
    <r>
      <rPr>
        <sz val="11"/>
        <color theme="1"/>
        <rFont val="Abadi"/>
        <family val="2"/>
      </rPr>
      <t>β</t>
    </r>
    <r>
      <rPr>
        <sz val="11"/>
        <color theme="1"/>
        <rFont val="Calibri"/>
        <family val="2"/>
      </rPr>
      <t>4 concentration in CM (ng/ug protein)</t>
    </r>
  </si>
  <si>
    <t>C-si</t>
  </si>
  <si>
    <r>
      <t>T</t>
    </r>
    <r>
      <rPr>
        <sz val="11"/>
        <color theme="1"/>
        <rFont val="Abadi"/>
        <family val="2"/>
      </rPr>
      <t>β</t>
    </r>
    <r>
      <rPr>
        <sz val="11"/>
        <color theme="1"/>
        <rFont val="Calibri"/>
        <family val="2"/>
      </rPr>
      <t>4 mRNA relative experssion in HUVEC (Tβ4/GAPDH)</t>
    </r>
  </si>
  <si>
    <r>
      <t>T</t>
    </r>
    <r>
      <rPr>
        <sz val="11"/>
        <color theme="1"/>
        <rFont val="Abadi"/>
        <family val="2"/>
      </rPr>
      <t>β</t>
    </r>
    <r>
      <rPr>
        <sz val="11"/>
        <color theme="1"/>
        <rFont val="Calibri"/>
        <family val="2"/>
      </rPr>
      <t>4 mRNA relative experssion in aorta (Tβ4/GAPDH)</t>
    </r>
  </si>
  <si>
    <t>-</t>
  </si>
  <si>
    <t>+</t>
  </si>
  <si>
    <t>C</t>
  </si>
  <si>
    <t>P62/GAPDH</t>
  </si>
  <si>
    <t>p65 S536/P65</t>
  </si>
  <si>
    <t>LC3II/I</t>
  </si>
  <si>
    <r>
      <t>T</t>
    </r>
    <r>
      <rPr>
        <sz val="11"/>
        <color theme="1"/>
        <rFont val="Abadi"/>
        <family val="2"/>
      </rPr>
      <t>β</t>
    </r>
    <r>
      <rPr>
        <sz val="11"/>
        <color theme="1"/>
        <rFont val="Calibri"/>
        <family val="2"/>
      </rPr>
      <t>4 mRNA relative experssion in HUVEC (Tβ4/18s)</t>
    </r>
  </si>
  <si>
    <t>Flag-p65</t>
  </si>
  <si>
    <t>Si</t>
  </si>
  <si>
    <t>Bay</t>
  </si>
  <si>
    <t>Si+Bay</t>
  </si>
  <si>
    <t>IKBa</t>
  </si>
  <si>
    <t>IKBa-Sirt1-si</t>
  </si>
  <si>
    <r>
      <t>T</t>
    </r>
    <r>
      <rPr>
        <sz val="11"/>
        <color theme="1"/>
        <rFont val="Abadi"/>
        <family val="2"/>
      </rPr>
      <t>β</t>
    </r>
    <r>
      <rPr>
        <sz val="11"/>
        <color theme="1"/>
        <rFont val="Calibri"/>
        <family val="2"/>
      </rPr>
      <t>4 mRNA relative experssion in HUVEC (Tβ4/β-actin)</t>
    </r>
  </si>
  <si>
    <t>Atg7-si</t>
  </si>
  <si>
    <t>Atg3</t>
  </si>
  <si>
    <t>Si+Atg3</t>
  </si>
  <si>
    <t>HA-p62</t>
  </si>
  <si>
    <t>HFD week</t>
  </si>
  <si>
    <t>KO15</t>
  </si>
  <si>
    <t>KO16</t>
  </si>
  <si>
    <t>KO17</t>
  </si>
  <si>
    <t>KO18</t>
  </si>
  <si>
    <t>KO19</t>
  </si>
  <si>
    <t>KO20</t>
  </si>
  <si>
    <t>KO-HFD</t>
  </si>
  <si>
    <t>GTT  on HFD mice (glucose mg/dL)</t>
  </si>
  <si>
    <t>Aare under curve</t>
  </si>
  <si>
    <t>ITT  on HFD mice (glucose% of initial )</t>
  </si>
  <si>
    <t>KO-HFD1</t>
  </si>
  <si>
    <t>KO-HFD2</t>
  </si>
  <si>
    <t>KO-HFD3</t>
  </si>
  <si>
    <t>KO-HFD4</t>
  </si>
  <si>
    <t>KO-HFD5</t>
  </si>
  <si>
    <t>KO-HFD6</t>
  </si>
  <si>
    <t>KO-HFD7</t>
  </si>
  <si>
    <t>KO-HFD8</t>
  </si>
  <si>
    <t>light</t>
  </si>
  <si>
    <t>dark</t>
  </si>
  <si>
    <t>Time</t>
  </si>
  <si>
    <t>BAT</t>
  </si>
  <si>
    <t>SK</t>
  </si>
  <si>
    <t>Liver</t>
  </si>
  <si>
    <t>Lung</t>
  </si>
  <si>
    <t>Heart</t>
  </si>
  <si>
    <t>Kidney</t>
  </si>
  <si>
    <t>BM</t>
  </si>
  <si>
    <t>Brain</t>
  </si>
  <si>
    <t>Soleus</t>
  </si>
  <si>
    <t>Aorta</t>
  </si>
  <si>
    <t>phospho-IGF-1 R- β (Ty1131)/Ins R- β (Ty1146)</t>
  </si>
  <si>
    <t>phospho-IGF-1 R- β (Ty1135/1136)/Ins R- β (Ty1150/1151)</t>
  </si>
  <si>
    <t>IR-Receptor</t>
  </si>
  <si>
    <t>IGF1</t>
  </si>
  <si>
    <t>week</t>
  </si>
  <si>
    <t>KO superficial</t>
  </si>
  <si>
    <t>KO deep zone</t>
  </si>
  <si>
    <t>I</t>
  </si>
  <si>
    <t>IIX</t>
  </si>
  <si>
    <t>donor</t>
  </si>
  <si>
    <t>recipient</t>
  </si>
  <si>
    <t>#PatternLab's ACFold analyzer</t>
  </si>
  <si>
    <t/>
  </si>
  <si>
    <t>#Parameters used:</t>
  </si>
  <si>
    <t>#F-stringency :0.1,</t>
  </si>
  <si>
    <t xml:space="preserve"> Q-value:0.05,</t>
  </si>
  <si>
    <t xml:space="preserve"> FDR:0.05</t>
  </si>
  <si>
    <t>#PatternLab Project File: C:\Users\qiuli\Desktop\Dowloaded Files from Markus\EC Secretome Run 2 unique peptides (1).plp</t>
  </si>
  <si>
    <t>#Normalization used: Total spectral count</t>
  </si>
  <si>
    <t>#PseudoCount value: 1</t>
  </si>
  <si>
    <t>Sh-sirt1</t>
  </si>
  <si>
    <t>shcontrol</t>
  </si>
  <si>
    <t>#Locus</t>
  </si>
  <si>
    <t>Fold Change</t>
  </si>
  <si>
    <t>pValue</t>
  </si>
  <si>
    <t>GPI (Index in the sparse matrix)</t>
  </si>
  <si>
    <t>Signal(Bottom)</t>
  </si>
  <si>
    <t>Signal(Top)</t>
  </si>
  <si>
    <t>Description</t>
  </si>
  <si>
    <t>#Top Class: shCon</t>
  </si>
  <si>
    <t>#Bottom Class: shSirT1</t>
  </si>
  <si>
    <t>#</t>
  </si>
  <si>
    <t>#Identifications satisfied both, the automatic fold and statistical criteria. (Blue dots)</t>
  </si>
  <si>
    <t>P98160</t>
  </si>
  <si>
    <t>1.35476296678844</t>
  </si>
  <si>
    <t>1E-05</t>
  </si>
  <si>
    <t>0</t>
  </si>
  <si>
    <t>999</t>
  </si>
  <si>
    <t>1604</t>
  </si>
  <si>
    <t>Basement membrane-specific heparan sulfate proteoglycan core protein OS=Homo sapiens GN=HSPG2 PE=1 SV=4</t>
  </si>
  <si>
    <t>P02545</t>
  </si>
  <si>
    <t>2.68472495657209</t>
  </si>
  <si>
    <t>157</t>
  </si>
  <si>
    <t>22</t>
  </si>
  <si>
    <t>70</t>
  </si>
  <si>
    <t>Prelamin-A/C OS=Homo sapiens GN=LMNA PE=1 SV=1</t>
  </si>
  <si>
    <t>O00468</t>
  </si>
  <si>
    <t>-9.77753789480041</t>
  </si>
  <si>
    <t>717</t>
  </si>
  <si>
    <t>33</t>
  </si>
  <si>
    <t>4</t>
  </si>
  <si>
    <t>Agrin OS=Homo sapiens GN=AGRN PE=1 SV=5</t>
  </si>
  <si>
    <t>P10809</t>
  </si>
  <si>
    <t>3.37508280254777</t>
  </si>
  <si>
    <t>838</t>
  </si>
  <si>
    <t>20</t>
  </si>
  <si>
    <t>80</t>
  </si>
  <si>
    <t>60 kDa heat shock protein, mitochondrial OS=Homo sapiens GN=HSPD1 PE=1 SV=2</t>
  </si>
  <si>
    <t>P04075</t>
  </si>
  <si>
    <t>2.10081684648382</t>
  </si>
  <si>
    <t>837</t>
  </si>
  <si>
    <t>49</t>
  </si>
  <si>
    <t>122</t>
  </si>
  <si>
    <t>Fructose-bisphosphate aldolase A OS=Homo sapiens GN=ALDOA PE=1 SV=2</t>
  </si>
  <si>
    <t>P28799</t>
  </si>
  <si>
    <t>-9.18495984057008</t>
  </si>
  <si>
    <t>874</t>
  </si>
  <si>
    <t>31</t>
  </si>
  <si>
    <t>Granulins OS=Homo sapiens GN=GRN PE=1 SV=2</t>
  </si>
  <si>
    <t>P06396</t>
  </si>
  <si>
    <t>-3.42378431333078</t>
  </si>
  <si>
    <t>899</t>
  </si>
  <si>
    <t>104</t>
  </si>
  <si>
    <t>36</t>
  </si>
  <si>
    <t>Gelsolin OS=Homo sapiens GN=GSN PE=1 SV=1</t>
  </si>
  <si>
    <t>P05067</t>
  </si>
  <si>
    <t>-2.60734343861344</t>
  </si>
  <si>
    <t>908</t>
  </si>
  <si>
    <t>77</t>
  </si>
  <si>
    <t>35</t>
  </si>
  <si>
    <t>Amyloid beta A4 protein OS=Homo sapiens GN=APP PE=1 SV=3</t>
  </si>
  <si>
    <t>P03956</t>
  </si>
  <si>
    <t>-3.98953784658772</t>
  </si>
  <si>
    <t>901</t>
  </si>
  <si>
    <t>818</t>
  </si>
  <si>
    <t>243</t>
  </si>
  <si>
    <t>Interstitial collagenase OS=Homo sapiens GN=MMP1 PE=1 SV=3</t>
  </si>
  <si>
    <t>P08670</t>
  </si>
  <si>
    <t>1.95707926397735</t>
  </si>
  <si>
    <t>757</t>
  </si>
  <si>
    <t>72</t>
  </si>
  <si>
    <t>167</t>
  </si>
  <si>
    <t>Vimentin OS=Homo sapiens GN=VIM PE=1 SV=4</t>
  </si>
  <si>
    <t>P23381</t>
  </si>
  <si>
    <t>-3.16041628922842</t>
  </si>
  <si>
    <t>685</t>
  </si>
  <si>
    <t>48</t>
  </si>
  <si>
    <t>18</t>
  </si>
  <si>
    <t>Tryptophan--tRNA ligase, cytoplasmic OS=Homo sapiens GN=WARS PE=1 SV=2</t>
  </si>
  <si>
    <t>P02751</t>
  </si>
  <si>
    <t>-2.79747095565978</t>
  </si>
  <si>
    <t>218</t>
  </si>
  <si>
    <t>668</t>
  </si>
  <si>
    <t>283</t>
  </si>
  <si>
    <t>Fibronectin OS=Homo sapiens GN=FN1 PE=1 SV=4</t>
  </si>
  <si>
    <t>P07339</t>
  </si>
  <si>
    <t>-3.72477634087635</t>
  </si>
  <si>
    <t>528</t>
  </si>
  <si>
    <t>44</t>
  </si>
  <si>
    <t>14</t>
  </si>
  <si>
    <t>Cathepsin D OS=Homo sapiens GN=CTSD PE=1 SV=1</t>
  </si>
  <si>
    <t>P08603</t>
  </si>
  <si>
    <t>-10.0738269219156</t>
  </si>
  <si>
    <t>1183</t>
  </si>
  <si>
    <t>34</t>
  </si>
  <si>
    <t>Complement factor H OS=Homo sapiens GN=CFH PE=1 SV=4</t>
  </si>
  <si>
    <t>P04406</t>
  </si>
  <si>
    <t>5.63865997060265</t>
  </si>
  <si>
    <t>1171</t>
  </si>
  <si>
    <t>695</t>
  </si>
  <si>
    <t>Glyceraldehyde-3-phosphate dehydrogenase OS=Homo sapiens GN=GAPDH PE=1 SV=3</t>
  </si>
  <si>
    <t>P00751</t>
  </si>
  <si>
    <t>-35.5546832538197</t>
  </si>
  <si>
    <t>146</t>
  </si>
  <si>
    <t>30</t>
  </si>
  <si>
    <t>1</t>
  </si>
  <si>
    <t>Complement factor B OS=Homo sapiens GN=CFB PE=1 SV=2</t>
  </si>
  <si>
    <t>P21333</t>
  </si>
  <si>
    <t>2.00254912951168</t>
  </si>
  <si>
    <t>217</t>
  </si>
  <si>
    <t>75</t>
  </si>
  <si>
    <t>178</t>
  </si>
  <si>
    <t>Filamin-A OS=Homo sapiens GN=FLNA PE=1 SV=4</t>
  </si>
  <si>
    <t>P05161</t>
  </si>
  <si>
    <t>-8.69114479537814</t>
  </si>
  <si>
    <t>253</t>
  </si>
  <si>
    <t>3</t>
  </si>
  <si>
    <t>Ubiquitin-like protein ISG15 OS=Homo sapiens GN=ISG15 PE=1 SV=5</t>
  </si>
  <si>
    <t>P01034</t>
  </si>
  <si>
    <t>-3.44772686097645</t>
  </si>
  <si>
    <t>64</t>
  </si>
  <si>
    <t>Cystatin-C OS=Homo sapiens GN=CST3 PE=1 SV=1</t>
  </si>
  <si>
    <t>P23528</t>
  </si>
  <si>
    <t>2.51508574228319</t>
  </si>
  <si>
    <t>762</t>
  </si>
  <si>
    <t>52</t>
  </si>
  <si>
    <t>155</t>
  </si>
  <si>
    <t>Cofilin-1 OS=Homo sapiens GN=CFL1 PE=1 SV=3</t>
  </si>
  <si>
    <t>Q96T68</t>
  </si>
  <si>
    <t>54.0013248407643</t>
  </si>
  <si>
    <t>517</t>
  </si>
  <si>
    <t>Histone-lysine N-methyltransferase SETDB2 OS=Homo sapiens GN=SETDB2 PE=1 SV=2</t>
  </si>
  <si>
    <t>P49327</t>
  </si>
  <si>
    <t>3.20632866242038</t>
  </si>
  <si>
    <t>1057</t>
  </si>
  <si>
    <t>76</t>
  </si>
  <si>
    <t>Fatty acid synthase OS=Homo sapiens GN=FASN PE=1 SV=3</t>
  </si>
  <si>
    <t>Q99538</t>
  </si>
  <si>
    <t>-15.4070294099885</t>
  </si>
  <si>
    <t>628</t>
  </si>
  <si>
    <t>39</t>
  </si>
  <si>
    <t>Legumain OS=Homo sapiens GN=LGMN PE=1 SV=1</t>
  </si>
  <si>
    <t>P35579</t>
  </si>
  <si>
    <t>2.63057924316223</t>
  </si>
  <si>
    <t>384</t>
  </si>
  <si>
    <t>106</t>
  </si>
  <si>
    <t>Myosin-9 OS=Homo sapiens GN=MYH9 PE=1 SV=4</t>
  </si>
  <si>
    <t>O75369</t>
  </si>
  <si>
    <t>2.26397881061992</t>
  </si>
  <si>
    <t>1167</t>
  </si>
  <si>
    <t>101</t>
  </si>
  <si>
    <t>271</t>
  </si>
  <si>
    <t>Filamin-B OS=Homo sapiens GN=FLNB PE=1 SV=2</t>
  </si>
  <si>
    <t>Q02809</t>
  </si>
  <si>
    <t>-7.4072256778791</t>
  </si>
  <si>
    <t>420</t>
  </si>
  <si>
    <t>25</t>
  </si>
  <si>
    <t>Procollagen-lysine,2-oxoglutarate 5-dioxygenase 1 OS=Homo sapiens GN=PLOD1 PE=1 SV=2</t>
  </si>
  <si>
    <t>P00750</t>
  </si>
  <si>
    <t>-8.66075617721249</t>
  </si>
  <si>
    <t>310</t>
  </si>
  <si>
    <t>95</t>
  </si>
  <si>
    <t>13</t>
  </si>
  <si>
    <t>Tissue-type plasminogen activator OS=Homo sapiens GN=PLAT PE=1 SV=1</t>
  </si>
  <si>
    <t>P07996</t>
  </si>
  <si>
    <t>1.52814324016793</t>
  </si>
  <si>
    <t>292</t>
  </si>
  <si>
    <t>487</t>
  </si>
  <si>
    <t>882</t>
  </si>
  <si>
    <t>Thrombospondin-1 OS=Homo sapiens GN=THBS1 PE=1 SV=2</t>
  </si>
  <si>
    <t>Q15149</t>
  </si>
  <si>
    <t>5.16809554140127</t>
  </si>
  <si>
    <t>294</t>
  </si>
  <si>
    <t>8</t>
  </si>
  <si>
    <t>Plectin OS=Homo sapiens GN=PLEC PE=1 SV=3</t>
  </si>
  <si>
    <t>Q08380</t>
  </si>
  <si>
    <t>-34.369527145359</t>
  </si>
  <si>
    <t>369</t>
  </si>
  <si>
    <t>29</t>
  </si>
  <si>
    <t>Galectin-3-binding protein OS=Homo sapiens GN=LGALS3BP PE=1 SV=1</t>
  </si>
  <si>
    <t>Q9Y490</t>
  </si>
  <si>
    <t>4.26104203821656</t>
  </si>
  <si>
    <t>1169</t>
  </si>
  <si>
    <t>Talin-1 OS=Homo sapiens GN=TLN1 PE=1 SV=3</t>
  </si>
  <si>
    <t>Q13201</t>
  </si>
  <si>
    <t>-2.02370995878659</t>
  </si>
  <si>
    <t>1066</t>
  </si>
  <si>
    <t>181</t>
  </si>
  <si>
    <t>Multimerin-1 OS=Homo sapiens GN=MMRN1 PE=1 SV=3</t>
  </si>
  <si>
    <t>P61769</t>
  </si>
  <si>
    <t>-8.05906153753246</t>
  </si>
  <si>
    <t>532</t>
  </si>
  <si>
    <t>102</t>
  </si>
  <si>
    <t>15</t>
  </si>
  <si>
    <t>Beta-2-microglobulin OS=Homo sapiens GN=B2M PE=1 SV=1</t>
  </si>
  <si>
    <t>Q13813</t>
  </si>
  <si>
    <t>5.78585623293904</t>
  </si>
  <si>
    <t>295</t>
  </si>
  <si>
    <t>7</t>
  </si>
  <si>
    <t>Spectrin alpha chain, non-erythrocytic 1 OS=Homo sapiens GN=SPTAN1 PE=1 SV=3</t>
  </si>
  <si>
    <t>contaminant_INT-STD1</t>
  </si>
  <si>
    <t>-2.28603154548172</t>
  </si>
  <si>
    <t>455</t>
  </si>
  <si>
    <t>3499</t>
  </si>
  <si>
    <t>1814</t>
  </si>
  <si>
    <t>BSA</t>
  </si>
  <si>
    <t>P07602</t>
  </si>
  <si>
    <t>-2.4859372031126</t>
  </si>
  <si>
    <t>652</t>
  </si>
  <si>
    <t>86</t>
  </si>
  <si>
    <t>41</t>
  </si>
  <si>
    <t>Prosaposin OS=Homo sapiens GN=PSAP PE=1 SV=2</t>
  </si>
  <si>
    <t>Q00610</t>
  </si>
  <si>
    <t>458</t>
  </si>
  <si>
    <t>Clathrin heavy chain 1 OS=Homo sapiens GN=CLTC PE=1 SV=5</t>
  </si>
  <si>
    <t>P06733</t>
  </si>
  <si>
    <t>2.21849954947957</t>
  </si>
  <si>
    <t>648</t>
  </si>
  <si>
    <t>205</t>
  </si>
  <si>
    <t>539</t>
  </si>
  <si>
    <t>Alpha-enolase OS=Homo sapiens GN=ENO1 PE=1 SV=2</t>
  </si>
  <si>
    <t>P05121</t>
  </si>
  <si>
    <t>-1.5970907102618</t>
  </si>
  <si>
    <t>1166</t>
  </si>
  <si>
    <t>473</t>
  </si>
  <si>
    <t>351</t>
  </si>
  <si>
    <t>Plasminogen activator inhibitor 1 OS=Homo sapiens GN=SERPINE1 PE=1 SV=1</t>
  </si>
  <si>
    <t>P08238</t>
  </si>
  <si>
    <t>-1.74654584404728</t>
  </si>
  <si>
    <t>1.1155920488437E-05</t>
  </si>
  <si>
    <t>215</t>
  </si>
  <si>
    <t>140</t>
  </si>
  <si>
    <t>Heat shock protein HSP 90-beta OS=Homo sapiens GN=HSP90AB1 PE=1 SV=4</t>
  </si>
  <si>
    <t>O94985</t>
  </si>
  <si>
    <t>-2.90363246572861</t>
  </si>
  <si>
    <t>1.22731161663211E-05</t>
  </si>
  <si>
    <t>85</t>
  </si>
  <si>
    <t>Calsyntenin-1 OS=Homo sapiens GN=CLSTN1 PE=1 SV=1</t>
  </si>
  <si>
    <t>O14773</t>
  </si>
  <si>
    <t>-10.6664049761459</t>
  </si>
  <si>
    <t>2.38327728235676E-05</t>
  </si>
  <si>
    <t>272</t>
  </si>
  <si>
    <t>2</t>
  </si>
  <si>
    <t>Tripeptidyl-peptidase 1 OS=Homo sapiens GN=TPP1 PE=1 SV=2</t>
  </si>
  <si>
    <t>Q9UBP4</t>
  </si>
  <si>
    <t>-7.90104072307104</t>
  </si>
  <si>
    <t>2.69554382302247E-05</t>
  </si>
  <si>
    <t>113</t>
  </si>
  <si>
    <t>Dickkopf-related protein 3 OS=Homo sapiens GN=DKK3 PE=1 SV=2</t>
  </si>
  <si>
    <t>P46940</t>
  </si>
  <si>
    <t>2.27818089171975</t>
  </si>
  <si>
    <t>2.85477433311177E-05</t>
  </si>
  <si>
    <t>1064</t>
  </si>
  <si>
    <t>81</t>
  </si>
  <si>
    <t>Ras GTPase-activating-like protein IQGAP1 OS=Homo sapiens GN=IQGAP1 PE=1 SV=1</t>
  </si>
  <si>
    <t>P07195</t>
  </si>
  <si>
    <t>1.78829014164845</t>
  </si>
  <si>
    <t>2.95735388446963E-05</t>
  </si>
  <si>
    <t>1068</t>
  </si>
  <si>
    <t>67</t>
  </si>
  <si>
    <t>142</t>
  </si>
  <si>
    <t>L-lactate dehydrogenase B chain OS=Homo sapiens GN=LDHB PE=1 SV=2</t>
  </si>
  <si>
    <t>Q99536</t>
  </si>
  <si>
    <t>7.31267940552017</t>
  </si>
  <si>
    <t>2.96514872421215E-05</t>
  </si>
  <si>
    <t>1152</t>
  </si>
  <si>
    <t>26</t>
  </si>
  <si>
    <t>Synaptic vesicle membrane protein VAT-1 homolog OS=Homo sapiens GN=VAT1 PE=1 SV=2</t>
  </si>
  <si>
    <t>P07711</t>
  </si>
  <si>
    <t>-4.9381504519194</t>
  </si>
  <si>
    <t>4.19332492415705E-05</t>
  </si>
  <si>
    <t>325</t>
  </si>
  <si>
    <t>6</t>
  </si>
  <si>
    <t>Cathepsin L1 OS=Homo sapiens GN=CTSL PE=1 SV=2</t>
  </si>
  <si>
    <t>P61978</t>
  </si>
  <si>
    <t>3.23445435244161</t>
  </si>
  <si>
    <t>4.29223260035111E-05</t>
  </si>
  <si>
    <t>1129</t>
  </si>
  <si>
    <t>12</t>
  </si>
  <si>
    <t>46</t>
  </si>
  <si>
    <t>Heterogeneous nuclear ribonucleoprotein K OS=Homo sapiens GN=HNRNPK PE=1 SV=1</t>
  </si>
  <si>
    <t>Q12805</t>
  </si>
  <si>
    <t>-1.61516850179594</t>
  </si>
  <si>
    <t>4.84271883218459E-05</t>
  </si>
  <si>
    <t>154</t>
  </si>
  <si>
    <t>EGF-containing fibulin-like extracellular matrix protein 1 OS=Homo sapiens GN=EFEMP1 PE=1 SV=2</t>
  </si>
  <si>
    <t>P11413</t>
  </si>
  <si>
    <t>7.03142250530786</t>
  </si>
  <si>
    <t>4.94420902138811E-05</t>
  </si>
  <si>
    <t>1071</t>
  </si>
  <si>
    <t>Glucose-6-phosphate 1-dehydrogenase OS=Homo sapiens GN=G6PD PE=1 SV=4</t>
  </si>
  <si>
    <t>Q12906</t>
  </si>
  <si>
    <t>9.28147770700637</t>
  </si>
  <si>
    <t>5.3659681586797E-05</t>
  </si>
  <si>
    <t>1069</t>
  </si>
  <si>
    <t>Interleukin enhancer-binding factor 3 OS=Homo sapiens GN=ILF3 PE=1 SV=3</t>
  </si>
  <si>
    <t>Q02818</t>
  </si>
  <si>
    <t>-2.96289027115164</t>
  </si>
  <si>
    <t>5.67243864092478E-05</t>
  </si>
  <si>
    <t>687</t>
  </si>
  <si>
    <t>40</t>
  </si>
  <si>
    <t>16</t>
  </si>
  <si>
    <t>Nucleobindin-1 OS=Homo sapiens GN=NUCB1 PE=1 SV=4</t>
  </si>
  <si>
    <t>P07858</t>
  </si>
  <si>
    <t>-2.58579514573234</t>
  </si>
  <si>
    <t>6.42091791791735E-05</t>
  </si>
  <si>
    <t>1179</t>
  </si>
  <si>
    <t>Cathepsin B OS=Homo sapiens GN=CTSB PE=1 SV=3</t>
  </si>
  <si>
    <t>P49368</t>
  </si>
  <si>
    <t>4.89387006369427</t>
  </si>
  <si>
    <t>8.51347993064621E-05</t>
  </si>
  <si>
    <t>5</t>
  </si>
  <si>
    <t>T-complex protein 1 subunit gamma OS=Homo sapiens GN=CCT3 PE=1 SV=4</t>
  </si>
  <si>
    <t>P28838</t>
  </si>
  <si>
    <t>-2.61981876607092</t>
  </si>
  <si>
    <t>0.000148982429900913</t>
  </si>
  <si>
    <t>769</t>
  </si>
  <si>
    <t>42</t>
  </si>
  <si>
    <t>19</t>
  </si>
  <si>
    <t>Cytosol aminopeptidase OS=Homo sapiens GN=LAP3 PE=1 SV=3</t>
  </si>
  <si>
    <t>Q8NBJ4</t>
  </si>
  <si>
    <t>-4.74062443384262</t>
  </si>
  <si>
    <t>0.000280467644384887</t>
  </si>
  <si>
    <t>1182</t>
  </si>
  <si>
    <t>Golgi membrane protein 1 OS=Homo sapiens GN=GOLM1 PE=1 SV=1</t>
  </si>
  <si>
    <t>P20591</t>
  </si>
  <si>
    <t>-8.29609275922459</t>
  </si>
  <si>
    <t>0.000359324871640656</t>
  </si>
  <si>
    <t>194</t>
  </si>
  <si>
    <t>Interferon-induced GTP-binding protein Mx1 OS=Homo sapiens GN=MX1 PE=1 SV=4</t>
  </si>
  <si>
    <t>P13639</t>
  </si>
  <si>
    <t>1.55999466745667</t>
  </si>
  <si>
    <t>0.000378488050070267</t>
  </si>
  <si>
    <t>457</t>
  </si>
  <si>
    <t>159</t>
  </si>
  <si>
    <t>Elongation factor 2 OS=Homo sapiens GN=EEF2 PE=1 SV=4</t>
  </si>
  <si>
    <t>P48643</t>
  </si>
  <si>
    <t>3.18757820240623</t>
  </si>
  <si>
    <t>0.000435769818891135</t>
  </si>
  <si>
    <t>681</t>
  </si>
  <si>
    <t>9</t>
  </si>
  <si>
    <t>T-complex protein 1 subunit epsilon OS=Homo sapiens GN=CCT5 PE=1 SV=1</t>
  </si>
  <si>
    <t>Q14764</t>
  </si>
  <si>
    <t>12.6565605095541</t>
  </si>
  <si>
    <t>0.000466577740731154</t>
  </si>
  <si>
    <t>845</t>
  </si>
  <si>
    <t>Major vault protein OS=Homo sapiens GN=MVP PE=1 SV=4</t>
  </si>
  <si>
    <t>P07737</t>
  </si>
  <si>
    <t>2.0075923566879</t>
  </si>
  <si>
    <t>0.000592452108193023</t>
  </si>
  <si>
    <t>69</t>
  </si>
  <si>
    <t>Profilin-1 OS=Homo sapiens GN=PFN1 PE=1 SV=2</t>
  </si>
  <si>
    <t>Q14195</t>
  </si>
  <si>
    <t>11.8127898089172</t>
  </si>
  <si>
    <t>0.000812956622364325</t>
  </si>
  <si>
    <t>763</t>
  </si>
  <si>
    <t>Dihydropyrimidinase-related protein 3 OS=Homo sapiens GN=DPYSL3 PE=1 SV=1</t>
  </si>
  <si>
    <t>Q14204</t>
  </si>
  <si>
    <t>3.65633970276008</t>
  </si>
  <si>
    <t>0.000896060952697202</t>
  </si>
  <si>
    <t>10</t>
  </si>
  <si>
    <t>Cytoplasmic dynein 1 heavy chain 1 OS=Homo sapiens GN=DYNC1H1 PE=1 SV=5</t>
  </si>
  <si>
    <t>P78371</t>
  </si>
  <si>
    <t>2.86882038216561</t>
  </si>
  <si>
    <t>0.000937078468836665</t>
  </si>
  <si>
    <t>975</t>
  </si>
  <si>
    <t>T-complex protein 1 subunit beta OS=Homo sapiens GN=CCT2 PE=1 SV=4</t>
  </si>
  <si>
    <t>P08133</t>
  </si>
  <si>
    <t>6.75016560509554</t>
  </si>
  <si>
    <t>0.00124130845417966</t>
  </si>
  <si>
    <t>387</t>
  </si>
  <si>
    <t>Annexin A6 OS=Homo sapiens GN=ANXA6 PE=1 SV=3</t>
  </si>
  <si>
    <t>P14543</t>
  </si>
  <si>
    <t>-2.64380978041223</t>
  </si>
  <si>
    <t>0.00126679419295249</t>
  </si>
  <si>
    <t>1055</t>
  </si>
  <si>
    <t>Nidogen-1 OS=Homo sapiens GN=NID1 PE=1 SV=3</t>
  </si>
  <si>
    <t>P13284</t>
  </si>
  <si>
    <t>-11.8515610846066</t>
  </si>
  <si>
    <t>0.00128433547850013</t>
  </si>
  <si>
    <t>371</t>
  </si>
  <si>
    <t>Gamma-interferon-inducible lysosomal thiol reductase OS=Homo sapiens GN=IFI30 PE=1 SV=3</t>
  </si>
  <si>
    <t>O14625</t>
  </si>
  <si>
    <t>749</t>
  </si>
  <si>
    <t>C-X-C motif chemokine 11 OS=Homo sapiens GN=CXCL11 PE=1 SV=1</t>
  </si>
  <si>
    <t>Q14315</t>
  </si>
  <si>
    <t>3.25454413102821</t>
  </si>
  <si>
    <t>0.00140568795350662</t>
  </si>
  <si>
    <t>1063</t>
  </si>
  <si>
    <t>27</t>
  </si>
  <si>
    <t>Filamin-C OS=Homo sapiens GN=FLNC PE=1 SV=3</t>
  </si>
  <si>
    <t>P38646</t>
  </si>
  <si>
    <t>5.06262420382166</t>
  </si>
  <si>
    <t>0.00158282261455818</t>
  </si>
  <si>
    <t>452</t>
  </si>
  <si>
    <t>Stress-70 protein, mitochondrial OS=Homo sapiens GN=HSPA9 PE=1 SV=2</t>
  </si>
  <si>
    <t>P40227</t>
  </si>
  <si>
    <t>2.70006624203822</t>
  </si>
  <si>
    <t>0.00196271472815872</t>
  </si>
  <si>
    <t>32</t>
  </si>
  <si>
    <t>T-complex protein 1 subunit zeta OS=Homo sapiens GN=CCT6A PE=1 SV=3</t>
  </si>
  <si>
    <t>P16284</t>
  </si>
  <si>
    <t>6.32828025477707</t>
  </si>
  <si>
    <t>0.00206342516479796</t>
  </si>
  <si>
    <t>Platelet endothelial cell adhesion molecule OS=Homo sapiens GN=PECAM1 PE=1 SV=1</t>
  </si>
  <si>
    <t>P23246</t>
  </si>
  <si>
    <t>772</t>
  </si>
  <si>
    <t>Splicing factor, proline- and glutamine-rich OS=Homo sapiens GN=SFPQ PE=1 SV=2</t>
  </si>
  <si>
    <t>Q86VP6</t>
  </si>
  <si>
    <t>3.13400545950864</t>
  </si>
  <si>
    <t>0.00209880244038635</t>
  </si>
  <si>
    <t>764</t>
  </si>
  <si>
    <t>Cullin-associated NEDD8-dissociated protein 1 OS=Homo sapiens GN=CAND1 PE=1 SV=2</t>
  </si>
  <si>
    <t>P10124</t>
  </si>
  <si>
    <t>-3.55546832538197</t>
  </si>
  <si>
    <t>0.00209883408745383</t>
  </si>
  <si>
    <t>866</t>
  </si>
  <si>
    <t>Serglycin OS=Homo sapiens GN=SRGN PE=1 SV=3</t>
  </si>
  <si>
    <t>P06865</t>
  </si>
  <si>
    <t>-5.13567646999617</t>
  </si>
  <si>
    <t>0.00227637568499633</t>
  </si>
  <si>
    <t>326</t>
  </si>
  <si>
    <t>Beta-hexosaminidase subunit alpha OS=Homo sapiens GN=HEXA PE=1 SV=2</t>
  </si>
  <si>
    <t>Q9UQ80</t>
  </si>
  <si>
    <t>2.06723821656051</t>
  </si>
  <si>
    <t>0.00244128568786945</t>
  </si>
  <si>
    <t>Proliferation-associated protein 2G4 OS=Homo sapiens GN=PA2G4 PE=1 SV=3</t>
  </si>
  <si>
    <t>Q00839</t>
  </si>
  <si>
    <t>10.1252484076433</t>
  </si>
  <si>
    <t>0.00244200737502213</t>
  </si>
  <si>
    <t>982</t>
  </si>
  <si>
    <t>Heterogeneous nuclear ribonucleoprotein U OS=Homo sapiens GN=HNRNPU PE=1 SV=6</t>
  </si>
  <si>
    <t>P07686</t>
  </si>
  <si>
    <t>-2.89704826512605</t>
  </si>
  <si>
    <t>0.00252595970655012</t>
  </si>
  <si>
    <t>781</t>
  </si>
  <si>
    <t>Beta-hexosaminidase subunit beta OS=Homo sapiens GN=HEXB PE=1 SV=3</t>
  </si>
  <si>
    <t>P28066</t>
  </si>
  <si>
    <t>4.78136730360934</t>
  </si>
  <si>
    <t>0.00254487207160137</t>
  </si>
  <si>
    <t>1073</t>
  </si>
  <si>
    <t>17</t>
  </si>
  <si>
    <t>Proteasome subunit alpha type-5 OS=Homo sapiens GN=PSMA5 PE=1 SV=3</t>
  </si>
  <si>
    <t>P17948</t>
  </si>
  <si>
    <t>0.00258796498143095</t>
  </si>
  <si>
    <t>746</t>
  </si>
  <si>
    <t>Vascular endothelial growth factor receptor 1 OS=Homo sapiens GN=FLT1 PE=1 SV=2</t>
  </si>
  <si>
    <t>P08758</t>
  </si>
  <si>
    <t>2.53131210191083</t>
  </si>
  <si>
    <t>0.00266749026756352</t>
  </si>
  <si>
    <t>684</t>
  </si>
  <si>
    <t>11</t>
  </si>
  <si>
    <t>Annexin A5 OS=Homo sapiens GN=ANXA5 PE=1 SV=2</t>
  </si>
  <si>
    <t>P50991</t>
  </si>
  <si>
    <t>3.54383694267516</t>
  </si>
  <si>
    <t>0.00304423618745601</t>
  </si>
  <si>
    <t>299</t>
  </si>
  <si>
    <t>21</t>
  </si>
  <si>
    <t>T-complex protein 1 subunit delta OS=Homo sapiens GN=CCT4 PE=1 SV=4</t>
  </si>
  <si>
    <t>Q9Y4L1</t>
  </si>
  <si>
    <t>Hypoxia up-regulated protein 1 OS=Homo sapiens GN=HYOU1 PE=1 SV=1</t>
  </si>
  <si>
    <t>P05556</t>
  </si>
  <si>
    <t>5.9063949044586</t>
  </si>
  <si>
    <t>0.00341079823461311</t>
  </si>
  <si>
    <t>665</t>
  </si>
  <si>
    <t>Integrin beta-1 OS=Homo sapiens GN=ITGB1 PE=1 SV=2</t>
  </si>
  <si>
    <t>Q99832</t>
  </si>
  <si>
    <t>2.39068365180467</t>
  </si>
  <si>
    <t>0.00352200136122497</t>
  </si>
  <si>
    <t>225</t>
  </si>
  <si>
    <t>T-complex protein 1 subunit eta OS=Homo sapiens GN=CCT7 PE=1 SV=2</t>
  </si>
  <si>
    <t>Q9GZM7</t>
  </si>
  <si>
    <t>-2.76536425307486</t>
  </si>
  <si>
    <t>0.00403537498342654</t>
  </si>
  <si>
    <t>669</t>
  </si>
  <si>
    <t>Tubulointerstitial nephritis antigen-like OS=Homo sapiens GN=TINAGL1 PE=1 SV=1</t>
  </si>
  <si>
    <t>P36578</t>
  </si>
  <si>
    <t>4.50011040339703</t>
  </si>
  <si>
    <t>0.00406527087285273</t>
  </si>
  <si>
    <t>527</t>
  </si>
  <si>
    <t>60S ribosomal protein L4 OS=Homo sapiens GN=RPL4 PE=1 SV=5</t>
  </si>
  <si>
    <t>P40926</t>
  </si>
  <si>
    <t>2.08460996627951</t>
  </si>
  <si>
    <t>0.0043424080486683</t>
  </si>
  <si>
    <t>162</t>
  </si>
  <si>
    <t>Malate dehydrogenase, mitochondrial OS=Homo sapiens GN=MDH2 PE=1 SV=3</t>
  </si>
  <si>
    <t>Q9Y696</t>
  </si>
  <si>
    <t>3.79696815286624</t>
  </si>
  <si>
    <t>0.00445263284199571</t>
  </si>
  <si>
    <t>395</t>
  </si>
  <si>
    <t>Chloride intracellular channel protein 4 OS=Homo sapiens GN=CLIC4 PE=1 SV=4</t>
  </si>
  <si>
    <t>P53634</t>
  </si>
  <si>
    <t>0.00459954109267176</t>
  </si>
  <si>
    <t>116</t>
  </si>
  <si>
    <t>Dipeptidyl peptidase 1 OS=Homo sapiens GN=CTSC PE=1 SV=2</t>
  </si>
  <si>
    <t>P62328</t>
  </si>
  <si>
    <t>-5.92578054230328</t>
  </si>
  <si>
    <t>0.00486384038769174</t>
  </si>
  <si>
    <t>433</t>
  </si>
  <si>
    <t>Thymosin beta-4 OS=Homo sapiens GN=TMSB4X PE=1 SV=2</t>
  </si>
  <si>
    <t>P02765</t>
  </si>
  <si>
    <t>-1.95808400528282</t>
  </si>
  <si>
    <t>0.00492879920320804</t>
  </si>
  <si>
    <t>919</t>
  </si>
  <si>
    <t>38</t>
  </si>
  <si>
    <t>23</t>
  </si>
  <si>
    <t>Alpha-2-HS-glycoprotein OS=Homo sapiens GN=AHSG PE=1 SV=1</t>
  </si>
  <si>
    <t>P32455</t>
  </si>
  <si>
    <t>-9.48124886768525</t>
  </si>
  <si>
    <t>0.00517763222824806</t>
  </si>
  <si>
    <t>493</t>
  </si>
  <si>
    <t>Guanylate-binding protein 1 OS=Homo sapiens GN=GBP1 PE=1 SV=2</t>
  </si>
  <si>
    <t>Q16769</t>
  </si>
  <si>
    <t>591</t>
  </si>
  <si>
    <t>Glutaminyl-peptide cyclotransferase OS=Homo sapiens GN=QPCT PE=1 SV=1</t>
  </si>
  <si>
    <t>P55056</t>
  </si>
  <si>
    <t>152</t>
  </si>
  <si>
    <t>Apolipoprotein C-IV OS=Homo sapiens GN=APOC4 PE=1 SV=1</t>
  </si>
  <si>
    <t>O60568</t>
  </si>
  <si>
    <t>520</t>
  </si>
  <si>
    <t>Procollagen-lysine,2-oxoglutarate 5-dioxygenase 3 OS=Homo sapiens GN=PLOD3 PE=1 SV=1</t>
  </si>
  <si>
    <t>P30153</t>
  </si>
  <si>
    <t>5.48450955414013</t>
  </si>
  <si>
    <t>0.00560278087192407</t>
  </si>
  <si>
    <t>165</t>
  </si>
  <si>
    <t>Serine/threonine-protein phosphatase 2A 65 kDa regulatory subunit A alpha isoform OS=Homo sapiens GN=PPP2R1A PE=1 SV=4</t>
  </si>
  <si>
    <t>P26599</t>
  </si>
  <si>
    <t>2.44693503184713</t>
  </si>
  <si>
    <t>0.0056833235893283</t>
  </si>
  <si>
    <t>980</t>
  </si>
  <si>
    <t>Polypyrimidine tract-binding protein 1 OS=Homo sapiens GN=PTBP1 PE=1 SV=1</t>
  </si>
  <si>
    <t>Q12905</t>
  </si>
  <si>
    <t>0.00606095201925987</t>
  </si>
  <si>
    <t>Interleukin enhancer-binding factor 2 OS=Homo sapiens GN=ILF2 PE=1 SV=2</t>
  </si>
  <si>
    <t>P31948</t>
  </si>
  <si>
    <t>386</t>
  </si>
  <si>
    <t>Stress-induced-phosphoprotein 1 OS=Homo sapiens GN=STIP1 PE=1 SV=1</t>
  </si>
  <si>
    <t>P15144</t>
  </si>
  <si>
    <t>1.95399530673818</t>
  </si>
  <si>
    <t>0.00635308768115631</t>
  </si>
  <si>
    <t>1174</t>
  </si>
  <si>
    <t>Aminopeptidase N OS=Homo sapiens GN=ANPEP PE=1 SV=4</t>
  </si>
  <si>
    <t>P55060</t>
  </si>
  <si>
    <t>4.21885350318471</t>
  </si>
  <si>
    <t>0.0064480476214289</t>
  </si>
  <si>
    <t>1075</t>
  </si>
  <si>
    <t>Exportin-2 OS=Homo sapiens GN=CSE1L PE=1 SV=3</t>
  </si>
  <si>
    <t>P60660</t>
  </si>
  <si>
    <t>780</t>
  </si>
  <si>
    <t>Myosin light polypeptide 6 OS=Homo sapiens GN=MYL6 PE=1 SV=2</t>
  </si>
  <si>
    <t>O00410</t>
  </si>
  <si>
    <t>2.77238944494995</t>
  </si>
  <si>
    <t>0.00671140078741058</t>
  </si>
  <si>
    <t>909</t>
  </si>
  <si>
    <t>Importin-5 OS=Homo sapiens GN=IPO5 PE=1 SV=4</t>
  </si>
  <si>
    <t>P50990</t>
  </si>
  <si>
    <t>2.9531974522293</t>
  </si>
  <si>
    <t>0.00692448492523259</t>
  </si>
  <si>
    <t>T-complex protein 1 subunit theta OS=Homo sapiens GN=CCT8 PE=1 SV=4</t>
  </si>
  <si>
    <t>P53621</t>
  </si>
  <si>
    <t>8.43770700636943</t>
  </si>
  <si>
    <t>0.00720819961514204</t>
  </si>
  <si>
    <t>465</t>
  </si>
  <si>
    <t>Coatomer subunit alpha OS=Homo sapiens GN=COPA PE=1 SV=2</t>
  </si>
  <si>
    <t>P09874</t>
  </si>
  <si>
    <t>466</t>
  </si>
  <si>
    <t>Poly [ADP-ribose] polymerase 1 OS=Homo sapiens GN=PARP1 PE=1 SV=4</t>
  </si>
  <si>
    <t>P48735</t>
  </si>
  <si>
    <t>903</t>
  </si>
  <si>
    <t>Isocitrate dehydrogenase [NADP], mitochondrial OS=Homo sapiens GN=IDH2 PE=1 SV=2</t>
  </si>
  <si>
    <t>P06576</t>
  </si>
  <si>
    <t>ATP synthase subunit beta, mitochondrial OS=Homo sapiens GN=ATP5B PE=1 SV=3</t>
  </si>
  <si>
    <t>P31949</t>
  </si>
  <si>
    <t>-2.87823626340445</t>
  </si>
  <si>
    <t>0.00724212775727251</t>
  </si>
  <si>
    <t>607</t>
  </si>
  <si>
    <t>Protein S100-A11 OS=Homo sapiens GN=S100A11 PE=1 SV=2</t>
  </si>
  <si>
    <t>P05156</t>
  </si>
  <si>
    <t>-3.31843710368984</t>
  </si>
  <si>
    <t>0.00779082377050121</t>
  </si>
  <si>
    <t>938</t>
  </si>
  <si>
    <t>Complement factor I OS=Homo sapiens GN=CFI PE=1 SV=2</t>
  </si>
  <si>
    <t>P01023</t>
  </si>
  <si>
    <t>-2.13328099522918</t>
  </si>
  <si>
    <t>0.00829232087416699</t>
  </si>
  <si>
    <t>1180</t>
  </si>
  <si>
    <t>Alpha-2-macroglobulin OS=Homo sapiens GN=A2M PE=1 SV=3</t>
  </si>
  <si>
    <t>P20062</t>
  </si>
  <si>
    <t>Transcobalamin-2 OS=Homo sapiens GN=TCN2 PE=1 SV=3</t>
  </si>
  <si>
    <t>P31939</t>
  </si>
  <si>
    <t>0.00913910506453057</t>
  </si>
  <si>
    <t>1162</t>
  </si>
  <si>
    <t>Bifunctional purine biosynthesis protein PURH OS=Homo sapiens GN=ATIC PE=1 SV=3</t>
  </si>
  <si>
    <t>P60866</t>
  </si>
  <si>
    <t>40S ribosomal protein S20 OS=Homo sapiens GN=RPS20 PE=1 SV=1</t>
  </si>
  <si>
    <t>P35241</t>
  </si>
  <si>
    <t>759</t>
  </si>
  <si>
    <t>Radixin OS=Homo sapiens GN=RDX PE=1 SV=1</t>
  </si>
  <si>
    <t>P30086</t>
  </si>
  <si>
    <t>0.00919480848789176</t>
  </si>
  <si>
    <t>657</t>
  </si>
  <si>
    <t>24</t>
  </si>
  <si>
    <t>Phosphatidylethanolamine-binding protein 1 OS=Homo sapiens GN=PEBP1 PE=1 SV=3</t>
  </si>
  <si>
    <t>P06748</t>
  </si>
  <si>
    <t>2.17974097664544</t>
  </si>
  <si>
    <t>0.00936410684407433</t>
  </si>
  <si>
    <t>659</t>
  </si>
  <si>
    <t>Nucleophosmin OS=Homo sapiens GN=NPM1 PE=1 SV=2</t>
  </si>
  <si>
    <t>Q06481</t>
  </si>
  <si>
    <t>0.0097110703464199</t>
  </si>
  <si>
    <t>163</t>
  </si>
  <si>
    <t>Amyloid-like protein 2 OS=Homo sapiens GN=APLP2 PE=1 SV=2</t>
  </si>
  <si>
    <t>P68104</t>
  </si>
  <si>
    <t>2.65185077343039</t>
  </si>
  <si>
    <t>0.00974261373210535</t>
  </si>
  <si>
    <t>1173</t>
  </si>
  <si>
    <t>Elongation factor 1-alpha 1 OS=Homo sapiens GN=EEF1A1 PE=1 SV=1</t>
  </si>
  <si>
    <t>P32119</t>
  </si>
  <si>
    <t>1056</t>
  </si>
  <si>
    <t>Peroxiredoxin-2 OS=Homo sapiens GN=PRDX2 PE=1 SV=5</t>
  </si>
  <si>
    <t>P02771</t>
  </si>
  <si>
    <t>-2.5019962289725</t>
  </si>
  <si>
    <t>0.00995651923988707</t>
  </si>
  <si>
    <t>Alpha-fetoprotein OS=Homo sapiens GN=AFP PE=1 SV=1</t>
  </si>
  <si>
    <t>Q9BRK5</t>
  </si>
  <si>
    <t>0.0102283913708691</t>
  </si>
  <si>
    <t>785</t>
  </si>
  <si>
    <t>45 kDa calcium-binding protein OS=Homo sapiens GN=SDF4 PE=1 SV=1</t>
  </si>
  <si>
    <t>Q9BQT9</t>
  </si>
  <si>
    <t>0.0102705767111847</t>
  </si>
  <si>
    <t>209</t>
  </si>
  <si>
    <t>Calsyntenin-3 OS=Homo sapiens GN=CLSTN3 PE=1 SV=1</t>
  </si>
  <si>
    <t>Q13740</t>
  </si>
  <si>
    <t>1119</t>
  </si>
  <si>
    <t>CD166 antigen OS=Homo sapiens GN=ALCAM PE=1 SV=2</t>
  </si>
  <si>
    <t>Q9P246</t>
  </si>
  <si>
    <t>970</t>
  </si>
  <si>
    <t>Stromal interaction molecule 2 OS=Homo sapiens GN=STIM2 PE=1 SV=2</t>
  </si>
  <si>
    <t>P00736</t>
  </si>
  <si>
    <t>370</t>
  </si>
  <si>
    <t>Complement C1r subcomponent OS=Homo sapiens GN=C1R PE=1 SV=2</t>
  </si>
  <si>
    <t>P19823</t>
  </si>
  <si>
    <t>-2.05427058799847</t>
  </si>
  <si>
    <t>0.012066813767768</t>
  </si>
  <si>
    <t>180</t>
  </si>
  <si>
    <t>Inter-alpha-trypsin inhibitor heavy chain H2 OS=Homo sapiens GN=ITIH2 PE=1 SV=2</t>
  </si>
  <si>
    <t>O75643</t>
  </si>
  <si>
    <t>7.59393630573248</t>
  </si>
  <si>
    <t>0.0122822953243815</t>
  </si>
  <si>
    <t>467</t>
  </si>
  <si>
    <t>U5 small nuclear ribonucleoprotein 200 kDa helicase OS=Homo sapiens GN=SNRNP200 PE=1 SV=2</t>
  </si>
  <si>
    <t>P60953</t>
  </si>
  <si>
    <t>936</t>
  </si>
  <si>
    <t>Cell division control protein 42 homolog OS=Homo sapiens GN=CDC42 PE=1 SV=2</t>
  </si>
  <si>
    <t>P51149</t>
  </si>
  <si>
    <t>Ras-related protein Rab-7a OS=Homo sapiens GN=RAB7A PE=1 SV=1</t>
  </si>
  <si>
    <t>P17987</t>
  </si>
  <si>
    <t>2.10942675159236</t>
  </si>
  <si>
    <t>0.0127965365930751</t>
  </si>
  <si>
    <t>298</t>
  </si>
  <si>
    <t>T-complex protein 1 subunit alpha OS=Homo sapiens GN=TCP1 PE=1 SV=1</t>
  </si>
  <si>
    <t>P40925</t>
  </si>
  <si>
    <t>0.0140274076368004</t>
  </si>
  <si>
    <t>394</t>
  </si>
  <si>
    <t>Malate dehydrogenase, cytoplasmic OS=Homo sapiens GN=MDH1 PE=1 SV=4</t>
  </si>
  <si>
    <t>Q01813</t>
  </si>
  <si>
    <t>2.14777996525767</t>
  </si>
  <si>
    <t>0.0140806880952571</t>
  </si>
  <si>
    <t>28</t>
  </si>
  <si>
    <t>ATP-dependent 6-phosphofructokinase, platelet type OS=Homo sapiens GN=PFKP PE=1 SV=2</t>
  </si>
  <si>
    <t>P13489</t>
  </si>
  <si>
    <t>2.19380382165605</t>
  </si>
  <si>
    <t>0.0154599122447189</t>
  </si>
  <si>
    <t>765</t>
  </si>
  <si>
    <t>Ribonuclease inhibitor OS=Homo sapiens GN=RNH1 PE=1 SV=2</t>
  </si>
  <si>
    <t>P62081</t>
  </si>
  <si>
    <t>0.0155913570589758</t>
  </si>
  <si>
    <t>1002</t>
  </si>
  <si>
    <t>40S ribosomal protein S7 OS=Homo sapiens GN=RPS7 PE=1 SV=1</t>
  </si>
  <si>
    <t>P52566</t>
  </si>
  <si>
    <t>850</t>
  </si>
  <si>
    <t>Rho GDP-dissociation inhibitor 2 OS=Homo sapiens GN=ARHGDIB PE=1 SV=3</t>
  </si>
  <si>
    <t>Q02878</t>
  </si>
  <si>
    <t>0.0158320331793752</t>
  </si>
  <si>
    <t>234</t>
  </si>
  <si>
    <t>60S ribosomal protein L6 OS=Homo sapiens GN=RPL6 PE=1 SV=3</t>
  </si>
  <si>
    <t>Q8WUM4</t>
  </si>
  <si>
    <t>664</t>
  </si>
  <si>
    <t>Programmed cell death 6-interacting protein OS=Homo sapiens GN=PDCD6IP PE=1 SV=1</t>
  </si>
  <si>
    <t>P61247</t>
  </si>
  <si>
    <t>3.16414012738854</t>
  </si>
  <si>
    <t>0.0159791546157336</t>
  </si>
  <si>
    <t>913</t>
  </si>
  <si>
    <t>40S ribosomal protein S3a OS=Homo sapiens GN=RPS3A PE=1 SV=2</t>
  </si>
  <si>
    <t>P42224</t>
  </si>
  <si>
    <t>0.016831134838925</t>
  </si>
  <si>
    <t>358</t>
  </si>
  <si>
    <t>Signal transducer and activator of transcription 1-alpha/beta OS=Homo sapiens GN=STAT1 PE=1 SV=2</t>
  </si>
  <si>
    <t>Q96S86</t>
  </si>
  <si>
    <t>441</t>
  </si>
  <si>
    <t>Hyaluronan and proteoglycan link protein 3 OS=Homo sapiens GN=HAPLN3 PE=2 SV=1</t>
  </si>
  <si>
    <t>P39060</t>
  </si>
  <si>
    <t>-2.53962023241569</t>
  </si>
  <si>
    <t>0.0184240877625855</t>
  </si>
  <si>
    <t>602</t>
  </si>
  <si>
    <t>Collagen alpha-1(XVIII) chain OS=Homo sapiens GN=COL18A1 PE=1 SV=5</t>
  </si>
  <si>
    <t>P02778</t>
  </si>
  <si>
    <t>-7.11093665076393</t>
  </si>
  <si>
    <t>0.0201629133751312</t>
  </si>
  <si>
    <t>147</t>
  </si>
  <si>
    <t>C-X-C motif chemokine 10 OS=Homo sapiens GN=CXCL10 PE=1 SV=2</t>
  </si>
  <si>
    <t>Q99436</t>
  </si>
  <si>
    <t>0.0207872671434027</t>
  </si>
  <si>
    <t>1088</t>
  </si>
  <si>
    <t>Proteasome subunit beta type-7 OS=Homo sapiens GN=PSMB7 PE=1 SV=1</t>
  </si>
  <si>
    <t>P47897</t>
  </si>
  <si>
    <t>859</t>
  </si>
  <si>
    <t>Glutamine--tRNA ligase OS=Homo sapiens GN=QARS PE=1 SV=1</t>
  </si>
  <si>
    <t>Q16666</t>
  </si>
  <si>
    <t>470</t>
  </si>
  <si>
    <t>Gamma-interferon-inducible protein 16 OS=Homo sapiens GN=IFI16 PE=1 SV=3</t>
  </si>
  <si>
    <t>Q9NR45</t>
  </si>
  <si>
    <t>856</t>
  </si>
  <si>
    <t>Sialic acid synthase OS=Homo sapiens GN=NANS PE=1 SV=2</t>
  </si>
  <si>
    <t>P52306</t>
  </si>
  <si>
    <t>551</t>
  </si>
  <si>
    <t>Rap1 GTPase-GDP dissociation stimulator 1 OS=Homo sapiens GN=RAP1GDS1 PE=1 SV=3</t>
  </si>
  <si>
    <t>P07954</t>
  </si>
  <si>
    <t>0.0215526575869338</t>
  </si>
  <si>
    <t>525</t>
  </si>
  <si>
    <t>Fumarate hydratase, mitochondrial OS=Homo sapiens GN=FH PE=1 SV=3</t>
  </si>
  <si>
    <t>Q04446</t>
  </si>
  <si>
    <t>910</t>
  </si>
  <si>
    <t>1,4-alpha-glucan-branching enzyme OS=Homo sapiens GN=GBE1 PE=1 SV=3</t>
  </si>
  <si>
    <t>O15230</t>
  </si>
  <si>
    <t>0.0232470195240629</t>
  </si>
  <si>
    <t>858</t>
  </si>
  <si>
    <t>Laminin subunit alpha-5 OS=Homo sapiens GN=LAMA5 PE=1 SV=8</t>
  </si>
  <si>
    <t>Q15019</t>
  </si>
  <si>
    <t>0.0237203256864152</t>
  </si>
  <si>
    <t>1079</t>
  </si>
  <si>
    <t>Septin-2 OS=Homo sapiens GN=SEPT2 PE=1 SV=1</t>
  </si>
  <si>
    <t>P18621</t>
  </si>
  <si>
    <t>926</t>
  </si>
  <si>
    <t>60S ribosomal protein L17 OS=Homo sapiens GN=RPL17 PE=1 SV=3</t>
  </si>
  <si>
    <t>P62277</t>
  </si>
  <si>
    <t>403</t>
  </si>
  <si>
    <t>40S ribosomal protein S13 OS=Homo sapiens GN=RPS13 PE=1 SV=2</t>
  </si>
  <si>
    <t>P30050</t>
  </si>
  <si>
    <t>0.0240212234421637</t>
  </si>
  <si>
    <t>1082</t>
  </si>
  <si>
    <t>60S ribosomal protein L12 OS=Homo sapiens GN=RPL12 PE=1 SV=1</t>
  </si>
  <si>
    <t>P09960</t>
  </si>
  <si>
    <t>0.0244631765658254</t>
  </si>
  <si>
    <t>987</t>
  </si>
  <si>
    <t>Leukotriene A-4 hydrolase OS=Homo sapiens GN=LTA4H PE=1 SV=2</t>
  </si>
  <si>
    <t>Q15365</t>
  </si>
  <si>
    <t>312</t>
  </si>
  <si>
    <t>Poly(rC)-binding protein 1 OS=Homo sapiens GN=PCBP1 PE=1 SV=2</t>
  </si>
  <si>
    <t>P62917</t>
  </si>
  <si>
    <t>401</t>
  </si>
  <si>
    <t>60S ribosomal protein L8 OS=Homo sapiens GN=RPL8 PE=1 SV=2</t>
  </si>
  <si>
    <t>P02788</t>
  </si>
  <si>
    <t>0.0292463865862669</t>
  </si>
  <si>
    <t>Lactotransferrin OS=Homo sapiens GN=LTF PE=1 SV=6</t>
  </si>
  <si>
    <t>P69905</t>
  </si>
  <si>
    <t>346</t>
  </si>
  <si>
    <t>Hemoglobin subunit alpha OS=Homo sapiens GN=HBA1 PE=1 SV=2</t>
  </si>
  <si>
    <t>P54802</t>
  </si>
  <si>
    <t>-4.1480463796123</t>
  </si>
  <si>
    <t>0.0306423546429311</t>
  </si>
  <si>
    <t>963</t>
  </si>
  <si>
    <t>Alpha-N-acetylglucosaminidase OS=Homo sapiens GN=NAGLU PE=1 SV=2</t>
  </si>
  <si>
    <t>P10599</t>
  </si>
  <si>
    <t>0.0308837073499034</t>
  </si>
  <si>
    <t>Thioredoxin OS=Homo sapiens GN=TXN PE=1 SV=3</t>
  </si>
  <si>
    <t>Q92499</t>
  </si>
  <si>
    <t>914</t>
  </si>
  <si>
    <t>ATP-dependent RNA helicase DDX1 OS=Homo sapiens GN=DDX1 PE=1 SV=2</t>
  </si>
  <si>
    <t>Q09028</t>
  </si>
  <si>
    <t>0.0334261588959338</t>
  </si>
  <si>
    <t>172</t>
  </si>
  <si>
    <t>Histone-binding protein RBBP4 OS=Homo sapiens GN=RBBP4 PE=1 SV=3</t>
  </si>
  <si>
    <t>P04264</t>
  </si>
  <si>
    <t>0.0347317792790557</t>
  </si>
  <si>
    <t>388</t>
  </si>
  <si>
    <t>Keratin, type II cytoskeletal 1 OS=Homo sapiens GN=KRT1 PE=1 SV=6</t>
  </si>
  <si>
    <t>Q9NZL9</t>
  </si>
  <si>
    <t>0.0349003632080916</t>
  </si>
  <si>
    <t>Methionine adenosyltransferase 2 subunit beta OS=Homo sapiens GN=MAT2B PE=1 SV=1</t>
  </si>
  <si>
    <t>P08648</t>
  </si>
  <si>
    <t>468</t>
  </si>
  <si>
    <t>Integrin alpha-5 OS=Homo sapiens GN=ITGA5 PE=1 SV=2</t>
  </si>
  <si>
    <t>O94760</t>
  </si>
  <si>
    <t>537</t>
  </si>
  <si>
    <t>N(G),N(G)-dimethylarginine dimethylaminohydrolase 1 OS=Homo sapiens GN=DDAH1 PE=1 SV=3</t>
  </si>
  <si>
    <t>P41252</t>
  </si>
  <si>
    <t>990</t>
  </si>
  <si>
    <t>Isoleucine--tRNA ligase, cytoplasmic OS=Homo sapiens GN=IARS PE=1 SV=2</t>
  </si>
  <si>
    <t>Q9NZM1</t>
  </si>
  <si>
    <t>315</t>
  </si>
  <si>
    <t>Myoferlin OS=Homo sapiens GN=MYOF PE=1 SV=1</t>
  </si>
  <si>
    <t>Q9ULC4</t>
  </si>
  <si>
    <t>610</t>
  </si>
  <si>
    <t>Malignant T-cell-amplified sequence 1 OS=Homo sapiens GN=MCTS1 PE=1 SV=1</t>
  </si>
  <si>
    <t>O00625</t>
  </si>
  <si>
    <t>2.74225477707006</t>
  </si>
  <si>
    <t>0.0357273267642776</t>
  </si>
  <si>
    <t>848</t>
  </si>
  <si>
    <t>Pirin OS=Homo sapiens GN=PIR PE=1 SV=1</t>
  </si>
  <si>
    <t>P18124</t>
  </si>
  <si>
    <t>0.0376527738705789</t>
  </si>
  <si>
    <t>236</t>
  </si>
  <si>
    <t>60S ribosomal protein L7 OS=Homo sapiens GN=RPL7 PE=1 SV=1</t>
  </si>
  <si>
    <t>P20700</t>
  </si>
  <si>
    <t>158</t>
  </si>
  <si>
    <t>Lamin-B1 OS=Homo sapiens GN=LMNB1 PE=1 SV=2</t>
  </si>
  <si>
    <t>O95373</t>
  </si>
  <si>
    <t>182</t>
  </si>
  <si>
    <t>Importin-7 OS=Homo sapiens GN=IPO7 PE=1 SV=1</t>
  </si>
  <si>
    <t>P63010</t>
  </si>
  <si>
    <t>AP-2 complex subunit beta OS=Homo sapiens GN=AP2B1 PE=1 SV=1</t>
  </si>
  <si>
    <t>P10768</t>
  </si>
  <si>
    <t>S-formylglutathione hydrolase OS=Homo sapiens GN=ESD PE=1 SV=2</t>
  </si>
  <si>
    <t>P62424</t>
  </si>
  <si>
    <t>1084</t>
  </si>
  <si>
    <t>60S ribosomal protein L7a OS=Homo sapiens GN=RPL7A PE=1 SV=2</t>
  </si>
  <si>
    <t>P26640</t>
  </si>
  <si>
    <t>540</t>
  </si>
  <si>
    <t>Valine--tRNA ligase OS=Homo sapiens GN=VARS PE=1 SV=4</t>
  </si>
  <si>
    <t>Q6IBS0</t>
  </si>
  <si>
    <t>244</t>
  </si>
  <si>
    <t>Twinfilin-2 OS=Homo sapiens GN=TWF2 PE=1 SV=2</t>
  </si>
  <si>
    <t>P29401</t>
  </si>
  <si>
    <t>1.33390221056576</t>
  </si>
  <si>
    <t>Infinity</t>
  </si>
  <si>
    <t>293</t>
  </si>
  <si>
    <t>136</t>
  </si>
  <si>
    <t>Transketolase OS=Homo sapiens GN=TKT PE=1 SV=3</t>
  </si>
  <si>
    <t>P09486</t>
  </si>
  <si>
    <t>-1.636644149779</t>
  </si>
  <si>
    <t>839</t>
  </si>
  <si>
    <t>203</t>
  </si>
  <si>
    <t>SPARC OS=Homo sapiens GN=SPARC PE=1 SV=1</t>
  </si>
  <si>
    <t>#These identifications satisfied the fold criteria but, most likely, this happened by chance (should be disconsidered - Green dots).</t>
  </si>
  <si>
    <t>#Folds in this section are reported in absolute values.</t>
  </si>
  <si>
    <t>O60506</t>
  </si>
  <si>
    <t>2.36255796178344</t>
  </si>
  <si>
    <t>0.048147429921454</t>
  </si>
  <si>
    <t>977</t>
  </si>
  <si>
    <t>Heterogeneous nuclear ribonucleoprotein Q OS=Homo sapiens GN=SYNCRIP PE=1 SV=2</t>
  </si>
  <si>
    <t>P23396</t>
  </si>
  <si>
    <t>0.0525143925717883</t>
  </si>
  <si>
    <t>309</t>
  </si>
  <si>
    <t>40S ribosomal protein S3 OS=Homo sapiens GN=RPS3 PE=1 SV=2</t>
  </si>
  <si>
    <t>P35221</t>
  </si>
  <si>
    <t>658</t>
  </si>
  <si>
    <t>Catenin alpha-1 OS=Homo sapiens GN=CTNNA1 PE=1 SV=1</t>
  </si>
  <si>
    <t>Q8IUX7</t>
  </si>
  <si>
    <t>0.0547860916989443</t>
  </si>
  <si>
    <t>428</t>
  </si>
  <si>
    <t>Adipocyte enhancer-binding protein 1 OS=Homo sapiens GN=AEBP1 PE=1 SV=1</t>
  </si>
  <si>
    <t>Q9UBR2</t>
  </si>
  <si>
    <t>960</t>
  </si>
  <si>
    <t>Cathepsin Z OS=Homo sapiens GN=CTSZ PE=1 SV=1</t>
  </si>
  <si>
    <t>Q92823</t>
  </si>
  <si>
    <t>1033</t>
  </si>
  <si>
    <t>Neuronal cell adhesion molecule OS=Homo sapiens GN=NRCAM PE=1 SV=3</t>
  </si>
  <si>
    <t>Q99988</t>
  </si>
  <si>
    <t>-2.37031221692131</t>
  </si>
  <si>
    <t>0.0552308427077862</t>
  </si>
  <si>
    <t>1095</t>
  </si>
  <si>
    <t>Growth/differentiation factor 15 OS=Homo sapiens GN=GDF15 PE=1 SV=3</t>
  </si>
  <si>
    <t>P32969</t>
  </si>
  <si>
    <t>2.81256900212314</t>
  </si>
  <si>
    <t>0.0564651469977199</t>
  </si>
  <si>
    <t>60S ribosomal protein L9 OS=Homo sapiens GN=RPL9 PE=1 SV=1</t>
  </si>
  <si>
    <t>P06753</t>
  </si>
  <si>
    <t>1070</t>
  </si>
  <si>
    <t>Tropomyosin alpha-3 chain OS=Homo sapiens GN=TPM3 PE=1 SV=2</t>
  </si>
  <si>
    <t>P48163</t>
  </si>
  <si>
    <t>1138</t>
  </si>
  <si>
    <t>NADP-dependent malic enzyme OS=Homo sapiens GN=ME1 PE=1 SV=1</t>
  </si>
  <si>
    <t>Q9P258</t>
  </si>
  <si>
    <t>237</t>
  </si>
  <si>
    <t>Protein RCC2 OS=Homo sapiens GN=RCC2 PE=1 SV=2</t>
  </si>
  <si>
    <t>P54687</t>
  </si>
  <si>
    <t>670</t>
  </si>
  <si>
    <t>Branched-chain-amino-acid aminotransferase, cytosolic OS=Homo sapiens GN=BCAT1 PE=1 SV=3</t>
  </si>
  <si>
    <t>Q02790</t>
  </si>
  <si>
    <t>0.0580304192252896</t>
  </si>
  <si>
    <t>993</t>
  </si>
  <si>
    <t>Peptidyl-prolyl cis-trans isomerase FKBP4 OS=Homo sapiens GN=FKBP4 PE=1 SV=3</t>
  </si>
  <si>
    <t>Q99961</t>
  </si>
  <si>
    <t>324</t>
  </si>
  <si>
    <t>Endophilin-A2 OS=Homo sapiens GN=SH3GL1 PE=1 SV=1</t>
  </si>
  <si>
    <t>P46781</t>
  </si>
  <si>
    <t>782</t>
  </si>
  <si>
    <t>40S ribosomal protein S9 OS=Homo sapiens GN=RPS9 PE=1 SV=3</t>
  </si>
  <si>
    <t>Q99798</t>
  </si>
  <si>
    <t>784</t>
  </si>
  <si>
    <t>Aconitate hydratase, mitochondrial OS=Homo sapiens GN=ACO2 PE=1 SV=2</t>
  </si>
  <si>
    <t>Q9H4A4</t>
  </si>
  <si>
    <t>857</t>
  </si>
  <si>
    <t>Aminopeptidase B OS=Homo sapiens GN=RNPEP PE=1 SV=2</t>
  </si>
  <si>
    <t>O15371</t>
  </si>
  <si>
    <t>316</t>
  </si>
  <si>
    <t>Eukaryotic translation initiation factor 3 subunit D OS=Homo sapiens GN=EIF3D PE=1 SV=1</t>
  </si>
  <si>
    <t>P43686</t>
  </si>
  <si>
    <t>625</t>
  </si>
  <si>
    <t>26S proteasome regulatory subunit 6B OS=Homo sapiens GN=PSMC4 PE=1 SV=2</t>
  </si>
  <si>
    <t>P21399</t>
  </si>
  <si>
    <t>927</t>
  </si>
  <si>
    <t>Cytoplasmic aconitate hydratase OS=Homo sapiens GN=ACO1 PE=1 SV=3</t>
  </si>
  <si>
    <t>P19623</t>
  </si>
  <si>
    <t>184</t>
  </si>
  <si>
    <t>Spermidine synthase OS=Homo sapiens GN=SRM PE=1 SV=1</t>
  </si>
  <si>
    <t>P35222</t>
  </si>
  <si>
    <t>407</t>
  </si>
  <si>
    <t>Catenin beta-1 OS=Homo sapiens GN=CTNNB1 PE=1 SV=1</t>
  </si>
  <si>
    <t>Q9BSJ8</t>
  </si>
  <si>
    <t>412</t>
  </si>
  <si>
    <t>Extended synaptotagmin-1 OS=Homo sapiens GN=ESYT1 PE=1 SV=1</t>
  </si>
  <si>
    <t>Q9HC38</t>
  </si>
  <si>
    <t>0.0590596403289983</t>
  </si>
  <si>
    <t>179</t>
  </si>
  <si>
    <t>Glyoxalase domain-containing protein 4 OS=Homo sapiens GN=GLOD4 PE=1 SV=1</t>
  </si>
  <si>
    <t>P62701</t>
  </si>
  <si>
    <t>1163</t>
  </si>
  <si>
    <t>40S ribosomal protein S4, X isoform OS=Homo sapiens GN=RPS4X PE=1 SV=2</t>
  </si>
  <si>
    <t>P46782</t>
  </si>
  <si>
    <t>1007</t>
  </si>
  <si>
    <t>40S ribosomal protein S5 OS=Homo sapiens GN=RPS5 PE=1 SV=4</t>
  </si>
  <si>
    <t>P13473</t>
  </si>
  <si>
    <t>802</t>
  </si>
  <si>
    <t>Lysosome-associated membrane glycoprotein 2 OS=Homo sapiens GN=LAMP2 PE=1 SV=2</t>
  </si>
  <si>
    <t>O14980</t>
  </si>
  <si>
    <t>923</t>
  </si>
  <si>
    <t>Exportin-1 OS=Homo sapiens GN=XPO1 PE=1 SV=1</t>
  </si>
  <si>
    <t>Q92841</t>
  </si>
  <si>
    <t>774</t>
  </si>
  <si>
    <t>Probable ATP-dependent RNA helicase DDX17 OS=Homo sapiens GN=DDX17 PE=1 SV=2</t>
  </si>
  <si>
    <t>Q7L1Q6</t>
  </si>
  <si>
    <t>556</t>
  </si>
  <si>
    <t>Basic leucine zipper and W2 domain-containing protein 1 OS=Homo sapiens GN=BZW1 PE=1 SV=1</t>
  </si>
  <si>
    <t>P00568</t>
  </si>
  <si>
    <t>598</t>
  </si>
  <si>
    <t>Adenylate kinase isoenzyme 1 OS=Homo sapiens GN=AK1 PE=1 SV=3</t>
  </si>
  <si>
    <t>Q9Y3I0</t>
  </si>
  <si>
    <t>989</t>
  </si>
  <si>
    <t>tRNA-splicing ligase RtcB homolog OS=Homo sapiens GN=RTCB PE=1 SV=1</t>
  </si>
  <si>
    <t>P61923</t>
  </si>
  <si>
    <t>0.0674722741202805</t>
  </si>
  <si>
    <t>202</t>
  </si>
  <si>
    <t>Coatomer subunit zeta-1 OS=Homo sapiens GN=COPZ1 PE=1 SV=1</t>
  </si>
  <si>
    <t>P40306</t>
  </si>
  <si>
    <t>0.0745034180844995</t>
  </si>
  <si>
    <t>671</t>
  </si>
  <si>
    <t>Proteasome subunit beta type-10 OS=Homo sapiens GN=PSMB10 PE=1 SV=1</t>
  </si>
  <si>
    <t>Q96CG8</t>
  </si>
  <si>
    <t>673</t>
  </si>
  <si>
    <t>Collagen triple helix repeat-containing protein 1 OS=Homo sapiens GN=CTHRC1 PE=1 SV=1</t>
  </si>
  <si>
    <t>Q9BTY2</t>
  </si>
  <si>
    <t>447</t>
  </si>
  <si>
    <t>Plasma alpha-L-fucosidase OS=Homo sapiens GN=FUCA2 PE=1 SV=2</t>
  </si>
  <si>
    <t>Q9UH65</t>
  </si>
  <si>
    <t>1120</t>
  </si>
  <si>
    <t>Switch-associated protein 70 OS=Homo sapiens GN=SWAP70 PE=1 SV=1</t>
  </si>
  <si>
    <t>Q8NGI9</t>
  </si>
  <si>
    <t>832</t>
  </si>
  <si>
    <t>Olfactory receptor 5A2 OS=Homo sapiens GN=OR5A2 PE=2 SV=1</t>
  </si>
  <si>
    <t>P01009</t>
  </si>
  <si>
    <t>Alpha-1-antitrypsin OS=Homo sapiens GN=SERPINA1 PE=1 SV=3</t>
  </si>
  <si>
    <t>P18754</t>
  </si>
  <si>
    <t>0.0840942678177911</t>
  </si>
  <si>
    <t>925</t>
  </si>
  <si>
    <t>Regulator of chromosome condensation OS=Homo sapiens GN=RCC1 PE=1 SV=1</t>
  </si>
  <si>
    <t>Q16531</t>
  </si>
  <si>
    <t>852</t>
  </si>
  <si>
    <t>DNA damage-binding protein 1 OS=Homo sapiens GN=DDB1 PE=1 SV=1</t>
  </si>
  <si>
    <t>P39023</t>
  </si>
  <si>
    <t>1148</t>
  </si>
  <si>
    <t>60S ribosomal protein L3 OS=Homo sapiens GN=RPL3 PE=1 SV=2</t>
  </si>
  <si>
    <t>P08708</t>
  </si>
  <si>
    <t>1083</t>
  </si>
  <si>
    <t>40S ribosomal protein S17 OS=Homo sapiens GN=RPS17 PE=1 SV=2</t>
  </si>
  <si>
    <t>P07384</t>
  </si>
  <si>
    <t>986</t>
  </si>
  <si>
    <t>Calpain-1 catalytic subunit OS=Homo sapiens GN=CAPN1 PE=1 SV=1</t>
  </si>
  <si>
    <t>Q9NZN4</t>
  </si>
  <si>
    <t>0.0913527474668468</t>
  </si>
  <si>
    <t>851</t>
  </si>
  <si>
    <t>EH domain-containing protein 2 OS=Homo sapiens GN=EHD2 PE=1 SV=2</t>
  </si>
  <si>
    <t>Q9BTT0</t>
  </si>
  <si>
    <t>1165</t>
  </si>
  <si>
    <t>Acidic leucine-rich nuclear phosphoprotein 32 family member E OS=Homo sapiens GN=ANP32E PE=1 SV=1</t>
  </si>
  <si>
    <t>P16152</t>
  </si>
  <si>
    <t>981</t>
  </si>
  <si>
    <t>Carbonyl reductase [NADPH] 1 OS=Homo sapiens GN=CBR1 PE=1 SV=3</t>
  </si>
  <si>
    <t>P30085</t>
  </si>
  <si>
    <t>414</t>
  </si>
  <si>
    <t>UMP-CMP kinase OS=Homo sapiens GN=CMPK1 PE=1 SV=3</t>
  </si>
  <si>
    <t>P62269</t>
  </si>
  <si>
    <t>482</t>
  </si>
  <si>
    <t>40S ribosomal protein S18 OS=Homo sapiens GN=RPS18 PE=1 SV=3</t>
  </si>
  <si>
    <t>Q9BUF5</t>
  </si>
  <si>
    <t>382</t>
  </si>
  <si>
    <t>Tubulin beta-6 chain OS=Homo sapiens GN=TUBB6 PE=1 SV=1</t>
  </si>
  <si>
    <t>P22234</t>
  </si>
  <si>
    <t>860</t>
  </si>
  <si>
    <t>Multifunctional protein ADE2 OS=Homo sapiens GN=PAICS PE=1 SV=3</t>
  </si>
  <si>
    <t>P51665</t>
  </si>
  <si>
    <t>786</t>
  </si>
  <si>
    <t>26S proteasome non-ATPase regulatory subunit 7 OS=Homo sapiens GN=PSMD7 PE=1 SV=2</t>
  </si>
  <si>
    <t>P46060</t>
  </si>
  <si>
    <t>0.0953461238653154</t>
  </si>
  <si>
    <t>415</t>
  </si>
  <si>
    <t>Ran GTPase-activating protein 1 OS=Homo sapiens GN=RANGAP1 PE=1 SV=1</t>
  </si>
  <si>
    <t>Q12904</t>
  </si>
  <si>
    <t>1012</t>
  </si>
  <si>
    <t>Aminoacyl tRNA synthase complex-interacting multifunctional protein 1 OS=Homo sapiens GN=AIMP1 PE=1 SV=2</t>
  </si>
  <si>
    <t>P17174</t>
  </si>
  <si>
    <t>709</t>
  </si>
  <si>
    <t>Aspartate aminotransferase, cytoplasmic OS=Homo sapiens GN=GOT1 PE=1 SV=3</t>
  </si>
  <si>
    <t>P07910</t>
  </si>
  <si>
    <t>992</t>
  </si>
  <si>
    <t>Heterogeneous nuclear ribonucleoproteins C1/C2 OS=Homo sapiens GN=HNRNPC PE=1 SV=4</t>
  </si>
  <si>
    <t>P61353</t>
  </si>
  <si>
    <t>124</t>
  </si>
  <si>
    <t>60S ribosomal protein L27 OS=Homo sapiens GN=RPL27 PE=1 SV=2</t>
  </si>
  <si>
    <t>P49411</t>
  </si>
  <si>
    <t>189</t>
  </si>
  <si>
    <t>Elongation factor Tu, mitochondrial OS=Homo sapiens GN=TUFM PE=1 SV=2</t>
  </si>
  <si>
    <t>Q9NSD9</t>
  </si>
  <si>
    <t>794</t>
  </si>
  <si>
    <t>Phenylalanine--tRNA ligase beta subunit OS=Homo sapiens GN=FARSB PE=1 SV=3</t>
  </si>
  <si>
    <t>P60228</t>
  </si>
  <si>
    <t>713</t>
  </si>
  <si>
    <t>Eukaryotic translation initiation factor 3 subunit E OS=Homo sapiens GN=EIF3E PE=1 SV=1</t>
  </si>
  <si>
    <t>Q9Y3U8</t>
  </si>
  <si>
    <t>1006</t>
  </si>
  <si>
    <t>60S ribosomal protein L36 OS=Homo sapiens GN=RPL36 PE=1 SV=3</t>
  </si>
  <si>
    <t>P98179</t>
  </si>
  <si>
    <t>1092</t>
  </si>
  <si>
    <t>RNA-binding protein 3 OS=Homo sapiens GN=RBM3 PE=1 SV=1</t>
  </si>
  <si>
    <t>Q14152</t>
  </si>
  <si>
    <t>1005</t>
  </si>
  <si>
    <t>Eukaryotic translation initiation factor 3 subunit A OS=Homo sapiens GN=EIF3A PE=1 SV=1</t>
  </si>
  <si>
    <t>Q96K17</t>
  </si>
  <si>
    <t>793</t>
  </si>
  <si>
    <t>Transcription factor BTF3 homolog 4 OS=Homo sapiens GN=BTF3L4 PE=1 SV=1</t>
  </si>
  <si>
    <t>Q1KMD3</t>
  </si>
  <si>
    <t>1003</t>
  </si>
  <si>
    <t>Heterogeneous nuclear ribonucleoprotein U-like protein 2 OS=Homo sapiens GN=HNRNPUL2 PE=1 SV=1</t>
  </si>
  <si>
    <t>O43242</t>
  </si>
  <si>
    <t>1188</t>
  </si>
  <si>
    <t>26S proteasome non-ATPase regulatory subunit 3 OS=Homo sapiens GN=PSMD3 PE=1 SV=2</t>
  </si>
  <si>
    <t>P31153</t>
  </si>
  <si>
    <t>245</t>
  </si>
  <si>
    <t>S-adenosylmethionine synthase isoform type-2 OS=Homo sapiens GN=MAT2A PE=1 SV=1</t>
  </si>
  <si>
    <t>O95394</t>
  </si>
  <si>
    <t>257</t>
  </si>
  <si>
    <t>Phosphoacetylglucosamine mutase OS=Homo sapiens GN=PGM3 PE=1 SV=1</t>
  </si>
  <si>
    <t>Q13283</t>
  </si>
  <si>
    <t>408</t>
  </si>
  <si>
    <t>Ras GTPase-activating protein-binding protein 1 OS=Homo sapiens GN=G3BP1 PE=1 SV=1</t>
  </si>
  <si>
    <t>P52272</t>
  </si>
  <si>
    <t>333</t>
  </si>
  <si>
    <t>Heterogeneous nuclear ribonucleoprotein M OS=Homo sapiens GN=HNRNPM PE=1 SV=3</t>
  </si>
  <si>
    <t>P36871</t>
  </si>
  <si>
    <t>615</t>
  </si>
  <si>
    <t>Phosphoglucomutase-1 OS=Homo sapiens GN=PGM1 PE=1 SV=3</t>
  </si>
  <si>
    <t>P38606</t>
  </si>
  <si>
    <t>792</t>
  </si>
  <si>
    <t>V-type proton ATPase catalytic subunit A OS=Homo sapiens GN=ATP6V1A PE=1 SV=2</t>
  </si>
  <si>
    <t>P53999</t>
  </si>
  <si>
    <t>783</t>
  </si>
  <si>
    <t>Activated RNA polymerase II transcriptional coactivator p15 OS=Homo sapiens GN=SUB1 PE=1 SV=3</t>
  </si>
  <si>
    <t>P33176</t>
  </si>
  <si>
    <t>476</t>
  </si>
  <si>
    <t>Kinesin-1 heavy chain OS=Homo sapiens GN=KIF5B PE=1 SV=1</t>
  </si>
  <si>
    <t>Q9NUV9</t>
  </si>
  <si>
    <t>321</t>
  </si>
  <si>
    <t>GTPase IMAP family member 4 OS=Homo sapiens GN=GIMAP4 PE=1 SV=1</t>
  </si>
  <si>
    <t>Q9Y6E2</t>
  </si>
  <si>
    <t>472</t>
  </si>
  <si>
    <t>Basic leucine zipper and W2 domain-containing protein 2 OS=Homo sapiens GN=BZW2 PE=1 SV=1</t>
  </si>
  <si>
    <t>P12821</t>
  </si>
  <si>
    <t>605</t>
  </si>
  <si>
    <t>Angiotensin-converting enzyme OS=Homo sapiens GN=ACE PE=1 SV=1</t>
  </si>
  <si>
    <t>Q99733</t>
  </si>
  <si>
    <t>846</t>
  </si>
  <si>
    <t>Nucleosome assembly protein 1-like 4 OS=Homo sapiens GN=NAP1L4 PE=1 SV=1</t>
  </si>
  <si>
    <t>Q5VYK3</t>
  </si>
  <si>
    <t>342</t>
  </si>
  <si>
    <t>Proteasome-associated protein ECM29 homolog OS=Homo sapiens GN=ECM29 PE=1 SV=2</t>
  </si>
  <si>
    <t>P52788</t>
  </si>
  <si>
    <t>862</t>
  </si>
  <si>
    <t>Spermine synthase OS=Homo sapiens GN=SMS PE=1 SV=2</t>
  </si>
  <si>
    <t>P28482</t>
  </si>
  <si>
    <t>697</t>
  </si>
  <si>
    <t>Mitogen-activated protein kinase 1 OS=Homo sapiens GN=MAPK1 PE=1 SV=3</t>
  </si>
  <si>
    <t>P17858</t>
  </si>
  <si>
    <t>79</t>
  </si>
  <si>
    <t>ATP-dependent 6-phosphofructokinase, liver type OS=Homo sapiens GN=PFKL PE=1 SV=6</t>
  </si>
  <si>
    <t>Q13435</t>
  </si>
  <si>
    <t>Splicing factor 3B subunit 2 OS=Homo sapiens GN=SF3B2 PE=1 SV=2</t>
  </si>
  <si>
    <t>P11586</t>
  </si>
  <si>
    <t>941</t>
  </si>
  <si>
    <t>C-1-tetrahydrofolate synthase, cytoplasmic OS=Homo sapiens GN=MTHFD1 PE=1 SV=3</t>
  </si>
  <si>
    <t>P31150</t>
  </si>
  <si>
    <t>Rab GDP dissociation inhibitor alpha OS=Homo sapiens GN=GDI1 PE=1 SV=2</t>
  </si>
  <si>
    <t>Q16401</t>
  </si>
  <si>
    <t>865</t>
  </si>
  <si>
    <t>26S proteasome non-ATPase regulatory subunit 5 OS=Homo sapiens GN=PSMD5 PE=1 SV=3</t>
  </si>
  <si>
    <t>P49589</t>
  </si>
  <si>
    <t>323</t>
  </si>
  <si>
    <t>Cysteine--tRNA ligase, cytoplasmic OS=Homo sapiens GN=CARS PE=1 SV=3</t>
  </si>
  <si>
    <t>P22102</t>
  </si>
  <si>
    <t>108</t>
  </si>
  <si>
    <t>Trifunctional purine biosynthetic protein adenosine-3 OS=Homo sapiens GN=GART PE=1 SV=1</t>
  </si>
  <si>
    <t>Q14978</t>
  </si>
  <si>
    <t>881</t>
  </si>
  <si>
    <t>Nucleolar and coiled-body phosphoprotein 1 OS=Homo sapiens GN=NOLC1 PE=1 SV=2</t>
  </si>
  <si>
    <t>O76061</t>
  </si>
  <si>
    <t>0.0958199629837339</t>
  </si>
  <si>
    <t>1136</t>
  </si>
  <si>
    <t>Stanniocalcin-2 OS=Homo sapiens GN=STC2 PE=1 SV=1</t>
  </si>
  <si>
    <t>P54819</t>
  </si>
  <si>
    <t>868</t>
  </si>
  <si>
    <t>Adenylate kinase 2, mitochondrial OS=Homo sapiens GN=AK2 PE=1 SV=2</t>
  </si>
  <si>
    <t>Q13287</t>
  </si>
  <si>
    <t>0.139013309565686</t>
  </si>
  <si>
    <t>212</t>
  </si>
  <si>
    <t>N-myc-interactor OS=Homo sapiens GN=NMI PE=1 SV=2</t>
  </si>
  <si>
    <t>P22004</t>
  </si>
  <si>
    <t>827</t>
  </si>
  <si>
    <t>Bone morphogenetic protein 6 OS=Homo sapiens GN=BMP6 PE=1 SV=1</t>
  </si>
  <si>
    <t>Q13443</t>
  </si>
  <si>
    <t>521</t>
  </si>
  <si>
    <t>Disintegrin and metalloproteinase domain-containing protein 9 OS=Homo sapiens GN=ADAM9 PE=1 SV=1</t>
  </si>
  <si>
    <t>Q14624</t>
  </si>
  <si>
    <t>1121</t>
  </si>
  <si>
    <t>Inter-alpha-trypsin inhibitor heavy chain H4 OS=Homo sapiens GN=ITIH4 PE=1 SV=4</t>
  </si>
  <si>
    <t>P17405</t>
  </si>
  <si>
    <t>372</t>
  </si>
  <si>
    <t>Sphingomyelin phosphodiesterase OS=Homo sapiens GN=SMPD1 PE=1 SV=4</t>
  </si>
  <si>
    <t>P36959</t>
  </si>
  <si>
    <t>1124</t>
  </si>
  <si>
    <t>GMP reductase 1 OS=Homo sapiens GN=GMPR PE=1 SV=1</t>
  </si>
  <si>
    <t>P48723</t>
  </si>
  <si>
    <t>1048</t>
  </si>
  <si>
    <t>Heat shock 70 kDa protein 13 OS=Homo sapiens GN=HSPA13 PE=1 SV=1</t>
  </si>
  <si>
    <t>Q86YZ3</t>
  </si>
  <si>
    <t>522</t>
  </si>
  <si>
    <t>Hornerin OS=Homo sapiens GN=HRNR PE=1 SV=2</t>
  </si>
  <si>
    <t>P68871</t>
  </si>
  <si>
    <t>817</t>
  </si>
  <si>
    <t>Hemoglobin subunit beta OS=Homo sapiens GN=HBB PE=1 SV=2</t>
  </si>
  <si>
    <t>Q06033</t>
  </si>
  <si>
    <t>893</t>
  </si>
  <si>
    <t>Inter-alpha-trypsin inhibitor heavy chain H3 OS=Homo sapiens GN=ITIH3 PE=1 SV=2</t>
  </si>
  <si>
    <t>Q9UJJ9</t>
  </si>
  <si>
    <t>448</t>
  </si>
  <si>
    <t>N-acetylglucosamine-1-phosphotransferase subunit gamma OS=Homo sapiens GN=GNPTG PE=1 SV=1</t>
  </si>
  <si>
    <t>Q9NRN5</t>
  </si>
  <si>
    <t>149</t>
  </si>
  <si>
    <t>Olfactomedin-like protein 3 OS=Homo sapiens GN=OLFML3 PE=2 SV=1</t>
  </si>
  <si>
    <t>P53420</t>
  </si>
  <si>
    <t>1050</t>
  </si>
  <si>
    <t>Collagen alpha-4(IV) chain OS=Homo sapiens GN=COL4A4 PE=1 SV=3</t>
  </si>
  <si>
    <t>O95497</t>
  </si>
  <si>
    <t>1143</t>
  </si>
  <si>
    <t>Pantetheinase OS=Homo sapiens GN=VNN1 PE=1 SV=2</t>
  </si>
  <si>
    <t>P02768</t>
  </si>
  <si>
    <t>Serum albumin OS=Homo sapiens GN=ALB PE=1 SV=2</t>
  </si>
  <si>
    <t>Q9ULB4</t>
  </si>
  <si>
    <t>755</t>
  </si>
  <si>
    <t>Cadherin-9 OS=Homo sapiens GN=CDH9 PE=2 SV=2</t>
  </si>
  <si>
    <t>P19827</t>
  </si>
  <si>
    <t>672</t>
  </si>
  <si>
    <t>Inter-alpha-trypsin inhibitor heavy chain H1 OS=Homo sapiens GN=ITIH1 PE=1 SV=3</t>
  </si>
  <si>
    <t>P00734</t>
  </si>
  <si>
    <t>1047</t>
  </si>
  <si>
    <t>Prothrombin OS=Homo sapiens GN=F2 PE=1 SV=2</t>
  </si>
  <si>
    <t>P07911</t>
  </si>
  <si>
    <t>829</t>
  </si>
  <si>
    <t>Uromodulin OS=Homo sapiens GN=UMOD PE=1 SV=1</t>
  </si>
  <si>
    <t>P08581</t>
  </si>
  <si>
    <t>828</t>
  </si>
  <si>
    <t>Hepatocyte growth factor receptor OS=Homo sapiens GN=MET PE=1 SV=4</t>
  </si>
  <si>
    <t>Q9Y5P6</t>
  </si>
  <si>
    <t>965</t>
  </si>
  <si>
    <t>Mannose-1-phosphate guanyltransferase beta OS=Homo sapiens GN=GMPPB PE=1 SV=2</t>
  </si>
  <si>
    <t>P80303</t>
  </si>
  <si>
    <t>449</t>
  </si>
  <si>
    <t>Nucleobindin-2 OS=Homo sapiens GN=NUCB2 PE=1 SV=2</t>
  </si>
  <si>
    <t>Q99627</t>
  </si>
  <si>
    <t>450</t>
  </si>
  <si>
    <t>COP9 signalosome complex subunit 8 OS=Homo sapiens GN=COPS8 PE=1 SV=1</t>
  </si>
  <si>
    <t>Q9Y2E5</t>
  </si>
  <si>
    <t>826</t>
  </si>
  <si>
    <t>Epididymis-specific alpha-mannosidase OS=Homo sapiens GN=MAN2B2 PE=1 SV=4</t>
  </si>
  <si>
    <t>O60462</t>
  </si>
  <si>
    <t>373</t>
  </si>
  <si>
    <t>Neuropilin-2 OS=Homo sapiens GN=NRP2 PE=1 SV=2</t>
  </si>
  <si>
    <t>P19474</t>
  </si>
  <si>
    <t>748</t>
  </si>
  <si>
    <t>E3 ubiquitin-protein ligase TRIM21 OS=Homo sapiens GN=TRIM21 PE=1 SV=1</t>
  </si>
  <si>
    <t>Q8WXX5</t>
  </si>
  <si>
    <t>0.154318926341517</t>
  </si>
  <si>
    <t>332</t>
  </si>
  <si>
    <t>DnaJ homolog subfamily C member 9 OS=Homo sapiens GN=DNAJC9 PE=1 SV=1</t>
  </si>
  <si>
    <t>P62829</t>
  </si>
  <si>
    <t>622</t>
  </si>
  <si>
    <t>60S ribosomal protein L23 OS=Homo sapiens GN=RPL23 PE=1 SV=1</t>
  </si>
  <si>
    <t>O75608</t>
  </si>
  <si>
    <t>Acyl-protein thioesterase 1 OS=Homo sapiens GN=LYPLA1 PE=1 SV=1</t>
  </si>
  <si>
    <t>Q9H3U1</t>
  </si>
  <si>
    <t>563</t>
  </si>
  <si>
    <t>Protein unc-45 homolog A OS=Homo sapiens GN=UNC45A PE=1 SV=1</t>
  </si>
  <si>
    <t>Q13838</t>
  </si>
  <si>
    <t>660</t>
  </si>
  <si>
    <t>Spliceosome RNA helicase DDX39B OS=Homo sapiens GN=DDX39B PE=1 SV=1</t>
  </si>
  <si>
    <t>P14923</t>
  </si>
  <si>
    <t>541</t>
  </si>
  <si>
    <t>Junction plakoglobin OS=Homo sapiens GN=JUP PE=1 SV=3</t>
  </si>
  <si>
    <t>Q9UMS4</t>
  </si>
  <si>
    <t>255</t>
  </si>
  <si>
    <t>Pre-mRNA-processing factor 19 OS=Homo sapiens GN=PRPF19 PE=1 SV=1</t>
  </si>
  <si>
    <t>Q14980</t>
  </si>
  <si>
    <t>707</t>
  </si>
  <si>
    <t>Nuclear mitotic apparatus protein 1 OS=Homo sapiens GN=NUMA1 PE=1 SV=2</t>
  </si>
  <si>
    <t>P33316</t>
  </si>
  <si>
    <t>711</t>
  </si>
  <si>
    <t>Deoxyuridine 5'-triphosphate nucleotidohydrolase, mitochondrial OS=Homo sapiens GN=DUT PE=1 SV=4</t>
  </si>
  <si>
    <t>O43175</t>
  </si>
  <si>
    <t>617</t>
  </si>
  <si>
    <t>D-3-phosphoglycerate dehydrogenase OS=Homo sapiens GN=PHGDH PE=1 SV=4</t>
  </si>
  <si>
    <t>Q9C005</t>
  </si>
  <si>
    <t>1014</t>
  </si>
  <si>
    <t>Protein dpy-30 homolog OS=Homo sapiens GN=DPY30 PE=1 SV=1</t>
  </si>
  <si>
    <t>P62316</t>
  </si>
  <si>
    <t>934</t>
  </si>
  <si>
    <t>Small nuclear ribonucleoprotein Sm D2 OS=Homo sapiens GN=SNRPD2 PE=1 SV=1</t>
  </si>
  <si>
    <t>P61313</t>
  </si>
  <si>
    <t>422</t>
  </si>
  <si>
    <t>60S ribosomal protein L15 OS=Homo sapiens GN=RPL15 PE=1 SV=2</t>
  </si>
  <si>
    <t>Q99460</t>
  </si>
  <si>
    <t>612</t>
  </si>
  <si>
    <t>26S proteasome non-ATPase regulatory subunit 1 OS=Homo sapiens GN=PSMD1 PE=1 SV=2</t>
  </si>
  <si>
    <t>Q9UBE0</t>
  </si>
  <si>
    <t>552</t>
  </si>
  <si>
    <t>SUMO-activating enzyme subunit 1 OS=Homo sapiens GN=SAE1 PE=1 SV=1</t>
  </si>
  <si>
    <t>O00571</t>
  </si>
  <si>
    <t>599</t>
  </si>
  <si>
    <t>ATP-dependent RNA helicase DDX3X OS=Homo sapiens GN=DDX3X PE=1 SV=3</t>
  </si>
  <si>
    <t>Q15717</t>
  </si>
  <si>
    <t>1185</t>
  </si>
  <si>
    <t>ELAV-like protein 1 OS=Homo sapiens GN=ELAVL1 PE=1 SV=2</t>
  </si>
  <si>
    <t>P17980</t>
  </si>
  <si>
    <t>109</t>
  </si>
  <si>
    <t>26S proteasome regulatory subunit 6A OS=Homo sapiens GN=PSMC3 PE=1 SV=3</t>
  </si>
  <si>
    <t>Q14011</t>
  </si>
  <si>
    <t>953</t>
  </si>
  <si>
    <t>Cold-inducible RNA-binding protein OS=Homo sapiens GN=CIRBP PE=1 SV=1</t>
  </si>
  <si>
    <t>P63220</t>
  </si>
  <si>
    <t>739</t>
  </si>
  <si>
    <t>40S ribosomal protein S21 OS=Homo sapiens GN=RPS21 PE=1 SV=1</t>
  </si>
  <si>
    <t>O94973</t>
  </si>
  <si>
    <t>535</t>
  </si>
  <si>
    <t>AP-2 complex subunit alpha-2 OS=Homo sapiens GN=AP2A2 PE=1 SV=2</t>
  </si>
  <si>
    <t>Q03135</t>
  </si>
  <si>
    <t>125</t>
  </si>
  <si>
    <t>Caveolin-1 OS=Homo sapiens GN=CAV1 PE=1 SV=4</t>
  </si>
  <si>
    <t>O15347</t>
  </si>
  <si>
    <t>350</t>
  </si>
  <si>
    <t>High mobility group protein B3 OS=Homo sapiens GN=HMGB3 PE=1 SV=4</t>
  </si>
  <si>
    <t>Q9NQ30</t>
  </si>
  <si>
    <t>193</t>
  </si>
  <si>
    <t>Endothelial cell-specific molecule 1 OS=Homo sapiens GN=ESM1 PE=1 SV=2</t>
  </si>
  <si>
    <t>Q92598</t>
  </si>
  <si>
    <t>719</t>
  </si>
  <si>
    <t>Heat shock protein 105 kDa OS=Homo sapiens GN=HSPH1 PE=1 SV=1</t>
  </si>
  <si>
    <t>Q9NTK5</t>
  </si>
  <si>
    <t>1030</t>
  </si>
  <si>
    <t>Obg-like ATPase 1 OS=Homo sapiens GN=OLA1 PE=1 SV=2</t>
  </si>
  <si>
    <t>P17301</t>
  </si>
  <si>
    <t>1187</t>
  </si>
  <si>
    <t>Integrin alpha-2 OS=Homo sapiens GN=ITGA2 PE=1 SV=1</t>
  </si>
  <si>
    <t>P52943</t>
  </si>
  <si>
    <t>330</t>
  </si>
  <si>
    <t>Cysteine-rich protein 2 OS=Homo sapiens GN=CRIP2 PE=1 SV=1</t>
  </si>
  <si>
    <t>O95810</t>
  </si>
  <si>
    <t>477</t>
  </si>
  <si>
    <t>Caveolae-associated protein 2 OS=Homo sapiens GN=CAVIN2 PE=1 SV=3</t>
  </si>
  <si>
    <t>Q6UWH4</t>
  </si>
  <si>
    <t>621</t>
  </si>
  <si>
    <t>Protein FAM198B OS=Homo sapiens GN=FAM198B PE=2 SV=1</t>
  </si>
  <si>
    <t>P62333</t>
  </si>
  <si>
    <t>340</t>
  </si>
  <si>
    <t>26S proteasome regulatory subunit 10B OS=Homo sapiens GN=PSMC6 PE=1 SV=1</t>
  </si>
  <si>
    <t>O75533</t>
  </si>
  <si>
    <t>720</t>
  </si>
  <si>
    <t>Splicing factor 3B subunit 1 OS=Homo sapiens GN=SF3B1 PE=1 SV=3</t>
  </si>
  <si>
    <t>Q15257</t>
  </si>
  <si>
    <t>562</t>
  </si>
  <si>
    <t>Serine/threonine-protein phosphatase 2A activator OS=Homo sapiens GN=PTPA PE=1 SV=3</t>
  </si>
  <si>
    <t>Q9BYT8</t>
  </si>
  <si>
    <t>Neurolysin, mitochondrial OS=Homo sapiens GN=NLN PE=1 SV=1</t>
  </si>
  <si>
    <t>O94979</t>
  </si>
  <si>
    <t>877</t>
  </si>
  <si>
    <t>Protein transport protein Sec31A OS=Homo sapiens GN=SEC31A PE=1 SV=3</t>
  </si>
  <si>
    <t>#These identifications did not meet the fold and p-value criteria. (should be disconsidered - Red dots)</t>
  </si>
  <si>
    <t>P02787</t>
  </si>
  <si>
    <t>-1.59666864612061</t>
  </si>
  <si>
    <t>0.00123291588904355</t>
  </si>
  <si>
    <t>679</t>
  </si>
  <si>
    <t>97</t>
  </si>
  <si>
    <t>Serotransferrin OS=Homo sapiens GN=TF PE=1 SV=3</t>
  </si>
  <si>
    <t>P55072</t>
  </si>
  <si>
    <t>1.60316433121019</t>
  </si>
  <si>
    <t>0.00134707611092305</t>
  </si>
  <si>
    <t>677</t>
  </si>
  <si>
    <t>60</t>
  </si>
  <si>
    <t>114</t>
  </si>
  <si>
    <t>Transitional endoplasmic reticulum ATPase OS=Homo sapiens GN=VCP PE=1 SV=4</t>
  </si>
  <si>
    <t>P60174</t>
  </si>
  <si>
    <t>1.54691295116773</t>
  </si>
  <si>
    <t>0.00705910354934852</t>
  </si>
  <si>
    <t>840</t>
  </si>
  <si>
    <t>88</t>
  </si>
  <si>
    <t>Triosephosphate isomerase OS=Homo sapiens GN=TPI1 PE=1 SV=3</t>
  </si>
  <si>
    <t>Q16658</t>
  </si>
  <si>
    <t>1.6191275606817</t>
  </si>
  <si>
    <t>0.00814244405942308</t>
  </si>
  <si>
    <t>973</t>
  </si>
  <si>
    <t>37</t>
  </si>
  <si>
    <t>71</t>
  </si>
  <si>
    <t>Fascin OS=Homo sapiens GN=FSCN1 PE=1 SV=3</t>
  </si>
  <si>
    <t>O00391</t>
  </si>
  <si>
    <t>-1.59858265792368</t>
  </si>
  <si>
    <t>0.00950235764418607</t>
  </si>
  <si>
    <t>841</t>
  </si>
  <si>
    <t>58</t>
  </si>
  <si>
    <t>43</t>
  </si>
  <si>
    <t>Sulfhydryl oxidase 1 OS=Homo sapiens GN=QSOX1 PE=1 SV=3</t>
  </si>
  <si>
    <t>P26641</t>
  </si>
  <si>
    <t>1.95121974522293</t>
  </si>
  <si>
    <t>0.0114716084835943</t>
  </si>
  <si>
    <t>224</t>
  </si>
  <si>
    <t>Elongation factor 1-gamma OS=Homo sapiens GN=EEF1G PE=1 SV=3</t>
  </si>
  <si>
    <t>Q14974</t>
  </si>
  <si>
    <t>1.72269851380042</t>
  </si>
  <si>
    <t>0.0136286027734724</t>
  </si>
  <si>
    <t>1054</t>
  </si>
  <si>
    <t>Importin subunit beta-1 OS=Homo sapiens GN=KPNB1 PE=1 SV=2</t>
  </si>
  <si>
    <t>P14866</t>
  </si>
  <si>
    <t>1.98888808007279</t>
  </si>
  <si>
    <t>0.0141263768423321</t>
  </si>
  <si>
    <t>306</t>
  </si>
  <si>
    <t>Heterogeneous nuclear ribonucleoprotein L OS=Homo sapiens GN=HNRNPL PE=1 SV=2</t>
  </si>
  <si>
    <t>Q16270</t>
  </si>
  <si>
    <t>-1.44440900718642</t>
  </si>
  <si>
    <t>0.0143440228896279</t>
  </si>
  <si>
    <t>1177</t>
  </si>
  <si>
    <t>78</t>
  </si>
  <si>
    <t>Insulin-like growth factor-binding protein 7 OS=Homo sapiens GN=IGFBP7 PE=1 SV=1</t>
  </si>
  <si>
    <t>P22692</t>
  </si>
  <si>
    <t>-2.03169618593255</t>
  </si>
  <si>
    <t>0.0162495974150244</t>
  </si>
  <si>
    <t>547</t>
  </si>
  <si>
    <t>Insulin-like growth factor-binding protein 4 OS=Homo sapiens GN=IGFBP4 PE=1 SV=2</t>
  </si>
  <si>
    <t>P11142</t>
  </si>
  <si>
    <t>1.33433506147237</t>
  </si>
  <si>
    <t>0.017881299839697</t>
  </si>
  <si>
    <t>543</t>
  </si>
  <si>
    <t>Heat shock cognate 71 kDa protein OS=Homo sapiens GN=HSPA8 PE=1 SV=1</t>
  </si>
  <si>
    <t>Q9Y4K0</t>
  </si>
  <si>
    <t>-1.55941593218507</t>
  </si>
  <si>
    <t>0.0189775661727469</t>
  </si>
  <si>
    <t>645</t>
  </si>
  <si>
    <t>50</t>
  </si>
  <si>
    <t>Lysyl oxidase homolog 2 OS=Homo sapiens GN=LOXL2 PE=1 SV=1</t>
  </si>
  <si>
    <t>O15067</t>
  </si>
  <si>
    <t>1.85629554140127</t>
  </si>
  <si>
    <t>0.0223006951333287</t>
  </si>
  <si>
    <t>1128</t>
  </si>
  <si>
    <t>Phosphoribosylformylglycinamidine synthase OS=Homo sapiens GN=PFAS PE=1 SV=4</t>
  </si>
  <si>
    <t>P62826</t>
  </si>
  <si>
    <t>1.9687983014862</t>
  </si>
  <si>
    <t>0.0233677275020772</t>
  </si>
  <si>
    <t>173</t>
  </si>
  <si>
    <t>GTP-binding nuclear protein Ran OS=Homo sapiens GN=RAN PE=1 SV=3</t>
  </si>
  <si>
    <t>Q14103</t>
  </si>
  <si>
    <t>1.86834940855323</t>
  </si>
  <si>
    <t>0.0249334564160046</t>
  </si>
  <si>
    <t>300</t>
  </si>
  <si>
    <t>Heterogeneous nuclear ribonucleoprotein D0 OS=Homo sapiens GN=HNRNPD PE=1 SV=1</t>
  </si>
  <si>
    <t>P78539</t>
  </si>
  <si>
    <t>-1.81259169529277</t>
  </si>
  <si>
    <t>0.0271743304443327</t>
  </si>
  <si>
    <t>920</t>
  </si>
  <si>
    <t>Sushi repeat-containing protein SRPX OS=Homo sapiens GN=SRPX PE=1 SV=1</t>
  </si>
  <si>
    <t>P42785</t>
  </si>
  <si>
    <t>-2.04708782370477</t>
  </si>
  <si>
    <t>0.02770949414283</t>
  </si>
  <si>
    <t>317</t>
  </si>
  <si>
    <t>Lysosomal Pro-X carboxypeptidase OS=Homo sapiens GN=PRCP PE=1 SV=1</t>
  </si>
  <si>
    <t>P22626</t>
  </si>
  <si>
    <t>2.02504968152866</t>
  </si>
  <si>
    <t>0.0289533498927637</t>
  </si>
  <si>
    <t>82</t>
  </si>
  <si>
    <t>Heterogeneous nuclear ribonucleoproteins A2/B1 OS=Homo sapiens GN=HNRNPA2B1 PE=1 SV=2</t>
  </si>
  <si>
    <t>Q16555</t>
  </si>
  <si>
    <t>297</t>
  </si>
  <si>
    <t>Dihydropyrimidinase-related protein 2 OS=Homo sapiens GN=DPYSL2 PE=1 SV=1</t>
  </si>
  <si>
    <t>P35555</t>
  </si>
  <si>
    <t>-1.91448294443644</t>
  </si>
  <si>
    <t>0.0314951206726141</t>
  </si>
  <si>
    <t>694</t>
  </si>
  <si>
    <t>Fibrillin-1 OS=Homo sapiens GN=FBN1 PE=1 SV=3</t>
  </si>
  <si>
    <t>P20908</t>
  </si>
  <si>
    <t>-2.22216770336373</t>
  </si>
  <si>
    <t>0.0320103352622461</t>
  </si>
  <si>
    <t>406</t>
  </si>
  <si>
    <t>Collagen alpha-1(V) chain OS=Homo sapiens GN=COL5A1 PE=1 SV=3</t>
  </si>
  <si>
    <t>P14625</t>
  </si>
  <si>
    <t>1.47057179253867</t>
  </si>
  <si>
    <t>0.0342062622977963</t>
  </si>
  <si>
    <t>61</t>
  </si>
  <si>
    <t>Endoplasmin OS=Homo sapiens GN=HSP90B1 PE=1 SV=1</t>
  </si>
  <si>
    <t>P12956</t>
  </si>
  <si>
    <t>1.91766068326578</t>
  </si>
  <si>
    <t>0.034925850051696</t>
  </si>
  <si>
    <t>683</t>
  </si>
  <si>
    <t>X-ray repair cross-complementing protein 6 OS=Homo sapiens GN=XRCC6 PE=1 SV=2</t>
  </si>
  <si>
    <t>P00505</t>
  </si>
  <si>
    <t>0.0357528956510978</t>
  </si>
  <si>
    <t>302</t>
  </si>
  <si>
    <t>Aspartate aminotransferase, mitochondrial OS=Homo sapiens GN=GOT2 PE=1 SV=3</t>
  </si>
  <si>
    <t>P37837</t>
  </si>
  <si>
    <t>1.81735227829495</t>
  </si>
  <si>
    <t>0.0367717554341826</t>
  </si>
  <si>
    <t>164</t>
  </si>
  <si>
    <t>Transaldolase OS=Homo sapiens GN=TALDO1 PE=1 SV=2</t>
  </si>
  <si>
    <t>P30041</t>
  </si>
  <si>
    <t>912</t>
  </si>
  <si>
    <t>Peroxiredoxin-6 OS=Homo sapiens GN=PRDX6 PE=1 SV=3</t>
  </si>
  <si>
    <t>Q6NZI2</t>
  </si>
  <si>
    <t>2.16969608735214</t>
  </si>
  <si>
    <t>0.0396271273208215</t>
  </si>
  <si>
    <t>691</t>
  </si>
  <si>
    <t>Caveolae-associated protein 1 OS=Homo sapiens GN=CAVIN1 PE=1 SV=1</t>
  </si>
  <si>
    <t>P18065</t>
  </si>
  <si>
    <t>-1.93934635929925</t>
  </si>
  <si>
    <t>0.0402628523230569</t>
  </si>
  <si>
    <t>177</t>
  </si>
  <si>
    <t>Insulin-like growth factor-binding protein 2 OS=Homo sapiens GN=IGFBP2 PE=1 SV=2</t>
  </si>
  <si>
    <t>Q15084</t>
  </si>
  <si>
    <t>1.82816985138004</t>
  </si>
  <si>
    <t>0.0413174803344023</t>
  </si>
  <si>
    <t>305</t>
  </si>
  <si>
    <t>Protein disulfide-isomerase A6 OS=Homo sapiens GN=PDIA6 PE=1 SV=1</t>
  </si>
  <si>
    <t>P52209</t>
  </si>
  <si>
    <t>1.37112738853503</t>
  </si>
  <si>
    <t>0.0426689068070818</t>
  </si>
  <si>
    <t>381</t>
  </si>
  <si>
    <t>6-phosphogluconate dehydrogenase, decarboxylating OS=Homo sapiens GN=PGD PE=1 SV=3</t>
  </si>
  <si>
    <t>Q01105</t>
  </si>
  <si>
    <t>2.25005520169851</t>
  </si>
  <si>
    <t>0.0437869444692649</t>
  </si>
  <si>
    <t>170</t>
  </si>
  <si>
    <t>Protein SET OS=Homo sapiens GN=SET PE=1 SV=3</t>
  </si>
  <si>
    <t>P15880</t>
  </si>
  <si>
    <t>393</t>
  </si>
  <si>
    <t>40S ribosomal protein S2 OS=Homo sapiens GN=RPS2 PE=1 SV=2</t>
  </si>
  <si>
    <t>P62263</t>
  </si>
  <si>
    <t>233</t>
  </si>
  <si>
    <t>40S ribosomal protein S14 OS=Homo sapiens GN=RPS14 PE=1 SV=3</t>
  </si>
  <si>
    <t>P17096</t>
  </si>
  <si>
    <t>1.63790783064818</t>
  </si>
  <si>
    <t>0.0491769952931265</t>
  </si>
  <si>
    <t>1077</t>
  </si>
  <si>
    <t>High mobility group protein HMG-I/HMG-Y OS=Homo sapiens GN=HMGA1 PE=1 SV=3</t>
  </si>
  <si>
    <t>P30101</t>
  </si>
  <si>
    <t>1.39888300368756</t>
  </si>
  <si>
    <t>0.0512991993593505</t>
  </si>
  <si>
    <t>63</t>
  </si>
  <si>
    <t>Protein disulfide-isomerase A3 OS=Homo sapiens GN=PDIA3 PE=1 SV=4</t>
  </si>
  <si>
    <t>P00352</t>
  </si>
  <si>
    <t>0.052311105456307</t>
  </si>
  <si>
    <t>904</t>
  </si>
  <si>
    <t>Retinal dehydrogenase 1 OS=Homo sapiens GN=ALDH1A1 PE=1 SV=2</t>
  </si>
  <si>
    <t>Q01469</t>
  </si>
  <si>
    <t>1.75785562632696</t>
  </si>
  <si>
    <t>0.0542270791119369</t>
  </si>
  <si>
    <t>656</t>
  </si>
  <si>
    <t>Fatty acid-binding protein, epidermal OS=Homo sapiens GN=FABP5 PE=1 SV=3</t>
  </si>
  <si>
    <t>Q7KZF4</t>
  </si>
  <si>
    <t>304</t>
  </si>
  <si>
    <t>Staphylococcal nuclease domain-containing protein 1 OS=Homo sapiens GN=SND1 PE=1 SV=1</t>
  </si>
  <si>
    <t>P00441</t>
  </si>
  <si>
    <t>1.76424782860452</t>
  </si>
  <si>
    <t>0.0612455981001509</t>
  </si>
  <si>
    <t>666</t>
  </si>
  <si>
    <t>Superoxide dismutase [Cu-Zn] OS=Homo sapiens GN=SOD1 PE=1 SV=2</t>
  </si>
  <si>
    <t>Q08211</t>
  </si>
  <si>
    <t>0.0613713087844321</t>
  </si>
  <si>
    <t>844</t>
  </si>
  <si>
    <t>ATP-dependent RNA helicase A OS=Homo sapiens GN=DHX9 PE=1 SV=4</t>
  </si>
  <si>
    <t>P23526</t>
  </si>
  <si>
    <t>526</t>
  </si>
  <si>
    <t>Adenosylhomocysteinase OS=Homo sapiens GN=AHCY PE=1 SV=4</t>
  </si>
  <si>
    <t>P49720</t>
  </si>
  <si>
    <t>692</t>
  </si>
  <si>
    <t>Proteasome subunit beta type-3 OS=Homo sapiens GN=PSMB3 PE=1 SV=2</t>
  </si>
  <si>
    <t>P04083</t>
  </si>
  <si>
    <t>1.41535730429423</t>
  </si>
  <si>
    <t>0.0634646908657496</t>
  </si>
  <si>
    <t>161</t>
  </si>
  <si>
    <t>Annexin A1 OS=Homo sapiens GN=ANXA1 PE=1 SV=2</t>
  </si>
  <si>
    <t>P27695</t>
  </si>
  <si>
    <t>1.89848407643312</t>
  </si>
  <si>
    <t>0.0665094294170852</t>
  </si>
  <si>
    <t>91</t>
  </si>
  <si>
    <t>DNA-(apurinic or apyrimidinic site) lyase OS=Homo sapiens GN=APEX1 PE=1 SV=2</t>
  </si>
  <si>
    <t>O75390</t>
  </si>
  <si>
    <t>911</t>
  </si>
  <si>
    <t>Citrate synthase, mitochondrial OS=Homo sapiens GN=CS PE=1 SV=2</t>
  </si>
  <si>
    <t>P06744</t>
  </si>
  <si>
    <t>1.39749522292994</t>
  </si>
  <si>
    <t>0.0681705416047299</t>
  </si>
  <si>
    <t>385</t>
  </si>
  <si>
    <t>53</t>
  </si>
  <si>
    <t>Glucose-6-phosphate isomerase OS=Homo sapiens GN=GPI PE=1 SV=4</t>
  </si>
  <si>
    <t>P24534</t>
  </si>
  <si>
    <t>0.0685044160661964</t>
  </si>
  <si>
    <t>402</t>
  </si>
  <si>
    <t>Elongation factor 1-beta OS=Homo sapiens GN=EEF1B2 PE=1 SV=3</t>
  </si>
  <si>
    <t>P09382</t>
  </si>
  <si>
    <t>0.0691709631589164</t>
  </si>
  <si>
    <t>690</t>
  </si>
  <si>
    <t>Galectin-1 OS=Homo sapiens GN=LGALS1 PE=1 SV=2</t>
  </si>
  <si>
    <t>P25787</t>
  </si>
  <si>
    <t>1.77191847133758</t>
  </si>
  <si>
    <t>0.069285057162227</t>
  </si>
  <si>
    <t>400</t>
  </si>
  <si>
    <t>Proteasome subunit alpha type-2 OS=Homo sapiens GN=PSMA2 PE=1 SV=2</t>
  </si>
  <si>
    <t>P07437</t>
  </si>
  <si>
    <t>1.68754140127389</t>
  </si>
  <si>
    <t>0.0705128906792504</t>
  </si>
  <si>
    <t>160</t>
  </si>
  <si>
    <t>Tubulin beta chain OS=Homo sapiens GN=TUBB PE=1 SV=2</t>
  </si>
  <si>
    <t>P01024</t>
  </si>
  <si>
    <t>-1.92587867624857</t>
  </si>
  <si>
    <t>0.0710588983088628</t>
  </si>
  <si>
    <t>623</t>
  </si>
  <si>
    <t>Complement C3 OS=Homo sapiens GN=C3 PE=1 SV=2</t>
  </si>
  <si>
    <t>P01033</t>
  </si>
  <si>
    <t>-1.52377213944941</t>
  </si>
  <si>
    <t>0.073010496180822</t>
  </si>
  <si>
    <t>Metalloproteinase inhibitor 1 OS=Homo sapiens GN=TIMP1 PE=1 SV=1</t>
  </si>
  <si>
    <t>Q9BWD1</t>
  </si>
  <si>
    <t>1.92861874431301</t>
  </si>
  <si>
    <t>0.0751233774734285</t>
  </si>
  <si>
    <t>775</t>
  </si>
  <si>
    <t>Acetyl-CoA acetyltransferase, cytosolic OS=Homo sapiens GN=ACAT2 PE=1 SV=2</t>
  </si>
  <si>
    <t>P15121</t>
  </si>
  <si>
    <t>228</t>
  </si>
  <si>
    <t>Aldose reductase OS=Homo sapiens GN=AKR1B1 PE=1 SV=3</t>
  </si>
  <si>
    <t>P30084</t>
  </si>
  <si>
    <t>2.32036942675159</t>
  </si>
  <si>
    <t>0.0761831867548579</t>
  </si>
  <si>
    <t>98</t>
  </si>
  <si>
    <t>Enoyl-CoA hydratase, mitochondrial OS=Homo sapiens GN=ECHS1 PE=1 SV=4</t>
  </si>
  <si>
    <t>Q96P70</t>
  </si>
  <si>
    <t>929</t>
  </si>
  <si>
    <t>Importin-9 OS=Homo sapiens GN=IPO9 PE=1 SV=3</t>
  </si>
  <si>
    <t>Q14019</t>
  </si>
  <si>
    <t>1150</t>
  </si>
  <si>
    <t>Coactosin-like protein OS=Homo sapiens GN=COTL1 PE=1 SV=3</t>
  </si>
  <si>
    <t>P50395</t>
  </si>
  <si>
    <t>1.50990546429769</t>
  </si>
  <si>
    <t>0.0763487209233537</t>
  </si>
  <si>
    <t>Rab GDP dissociation inhibitor beta OS=Homo sapiens GN=GDI2 PE=1 SV=2</t>
  </si>
  <si>
    <t>O00299</t>
  </si>
  <si>
    <t>83</t>
  </si>
  <si>
    <t>Chloride intracellular channel protein 1 OS=Homo sapiens GN=CLIC1 PE=1 SV=4</t>
  </si>
  <si>
    <t>P62258</t>
  </si>
  <si>
    <t>1.40628450106157</t>
  </si>
  <si>
    <t>0.081901163243214</t>
  </si>
  <si>
    <t>296</t>
  </si>
  <si>
    <t>45</t>
  </si>
  <si>
    <t>14-3-3 protein epsilon OS=Homo sapiens GN=YWHAE PE=1 SV=1</t>
  </si>
  <si>
    <t>P06132</t>
  </si>
  <si>
    <t>0.0849506074852547</t>
  </si>
  <si>
    <t>779</t>
  </si>
  <si>
    <t>Uroporphyrinogen decarboxylase OS=Homo sapiens GN=UROD PE=1 SV=2</t>
  </si>
  <si>
    <t>P04792</t>
  </si>
  <si>
    <t>232</t>
  </si>
  <si>
    <t>Heat shock protein beta-1 OS=Homo sapiens GN=HSPB1 PE=1 SV=2</t>
  </si>
  <si>
    <t>P29692</t>
  </si>
  <si>
    <t>529</t>
  </si>
  <si>
    <t>Elongation factor 1-delta OS=Homo sapiens GN=EEF1D PE=1 SV=5</t>
  </si>
  <si>
    <t>O60687</t>
  </si>
  <si>
    <t>0.0860264796052325</t>
  </si>
  <si>
    <t>Sushi repeat-containing protein SRPX2 OS=Homo sapiens GN=SRPX2 PE=1 SV=1</t>
  </si>
  <si>
    <t>Q71DI3</t>
  </si>
  <si>
    <t>-1.6084261471966</t>
  </si>
  <si>
    <t>0.0876937336699497</t>
  </si>
  <si>
    <t>985</t>
  </si>
  <si>
    <t>Histone H3.2 OS=Homo sapiens GN=HIST2H3A PE=1 SV=3</t>
  </si>
  <si>
    <t>Q01082</t>
  </si>
  <si>
    <t>1.7930127388535</t>
  </si>
  <si>
    <t>0.0891919282915836</t>
  </si>
  <si>
    <t>226</t>
  </si>
  <si>
    <t>Spectrin beta chain, non-erythrocytic 1 OS=Homo sapiens GN=SPTBN1 PE=1 SV=2</t>
  </si>
  <si>
    <t>P43490</t>
  </si>
  <si>
    <t>Nicotinamide phosphoribosyltransferase OS=Homo sapiens GN=NAMPT PE=1 SV=1</t>
  </si>
  <si>
    <t>Q92626</t>
  </si>
  <si>
    <t>-1.31983293896755</t>
  </si>
  <si>
    <t>0.0900123645231437</t>
  </si>
  <si>
    <t>1067</t>
  </si>
  <si>
    <t>Peroxidasin homolog OS=Homo sapiens GN=PXDN PE=1 SV=2</t>
  </si>
  <si>
    <t>P68431</t>
  </si>
  <si>
    <t>-1.55551739235461</t>
  </si>
  <si>
    <t>0.0906287293492641</t>
  </si>
  <si>
    <t>984</t>
  </si>
  <si>
    <t>Histone H3.1 OS=Homo sapiens GN=HIST1H3A PE=1 SV=2</t>
  </si>
  <si>
    <t>P06703</t>
  </si>
  <si>
    <t>-1.97526018076776</t>
  </si>
  <si>
    <t>0.0928124589937921</t>
  </si>
  <si>
    <t>861</t>
  </si>
  <si>
    <t>Protein S100-A6 OS=Homo sapiens GN=S100A6 PE=1 SV=1</t>
  </si>
  <si>
    <t>P18669</t>
  </si>
  <si>
    <t>1.46549648005364</t>
  </si>
  <si>
    <t>0.0942128047438275</t>
  </si>
  <si>
    <t>905</t>
  </si>
  <si>
    <t>Phosphoglycerate mutase 1 OS=Homo sapiens GN=PGAM1 PE=1 SV=2</t>
  </si>
  <si>
    <t>Q12841</t>
  </si>
  <si>
    <t>-1.38949336854008</t>
  </si>
  <si>
    <t>0.0957313469582747</t>
  </si>
  <si>
    <t>462</t>
  </si>
  <si>
    <t>Follistatin-related protein 1 OS=Homo sapiens GN=FSTL1 PE=1 SV=1</t>
  </si>
  <si>
    <t>P49773</t>
  </si>
  <si>
    <t>0.0961607636713162</t>
  </si>
  <si>
    <t>698</t>
  </si>
  <si>
    <t>Histidine triad nucleotide-binding protein 1 OS=Homo sapiens GN=HINT1 PE=1 SV=2</t>
  </si>
  <si>
    <t>P52907</t>
  </si>
  <si>
    <t>171</t>
  </si>
  <si>
    <t>F-actin-capping protein subunit alpha-1 OS=Homo sapiens GN=CAPZA1 PE=1 SV=3</t>
  </si>
  <si>
    <t>P62942</t>
  </si>
  <si>
    <t>1.5187872611465</t>
  </si>
  <si>
    <t>0.0996860008763438</t>
  </si>
  <si>
    <t>847</t>
  </si>
  <si>
    <t>Peptidyl-prolyl cis-trans isomerase FKBP1A OS=Homo sapiens GN=FKBP1A PE=1 SV=2</t>
  </si>
  <si>
    <t>P53396</t>
  </si>
  <si>
    <t>1.80808007279345</t>
  </si>
  <si>
    <t>0.101564141504814</t>
  </si>
  <si>
    <t>460</t>
  </si>
  <si>
    <t>ATP-citrate synthase OS=Homo sapiens GN=ACLY PE=1 SV=3</t>
  </si>
  <si>
    <t>P60900</t>
  </si>
  <si>
    <t>1074</t>
  </si>
  <si>
    <t>Proteasome subunit alpha type-6 OS=Homo sapiens GN=PSMA6 PE=1 SV=1</t>
  </si>
  <si>
    <t>P00491</t>
  </si>
  <si>
    <t>1.38378394904459</t>
  </si>
  <si>
    <t>0.102261816784623</t>
  </si>
  <si>
    <t>227</t>
  </si>
  <si>
    <t>Purine nucleoside phosphorylase OS=Homo sapiens GN=PNP PE=1 SV=2</t>
  </si>
  <si>
    <t>Q01518</t>
  </si>
  <si>
    <t>1.4344101910828</t>
  </si>
  <si>
    <t>0.10250871267212</t>
  </si>
  <si>
    <t>766</t>
  </si>
  <si>
    <t>Adenylyl cyclase-associated protein 1 OS=Homo sapiens GN=CAP1 PE=1 SV=5</t>
  </si>
  <si>
    <t>P41250</t>
  </si>
  <si>
    <t>1.61083497394325</t>
  </si>
  <si>
    <t>0.103232960574067</t>
  </si>
  <si>
    <t>976</t>
  </si>
  <si>
    <t>Glycine--tRNA ligase OS=Homo sapiens GN=GARS PE=1 SV=3</t>
  </si>
  <si>
    <t>P07900</t>
  </si>
  <si>
    <t>-1.23902684066341</t>
  </si>
  <si>
    <t>0.105837837315038</t>
  </si>
  <si>
    <t>897</t>
  </si>
  <si>
    <t>66</t>
  </si>
  <si>
    <t>Heat shock protein HSP 90-alpha OS=Homo sapiens GN=HSP90AA1 PE=1 SV=5</t>
  </si>
  <si>
    <t>O43776</t>
  </si>
  <si>
    <t>0.10891305868047</t>
  </si>
  <si>
    <t>235</t>
  </si>
  <si>
    <t>Asparagine--tRNA ligase, cytoplasmic OS=Homo sapiens GN=NARS PE=1 SV=1</t>
  </si>
  <si>
    <t>P08865</t>
  </si>
  <si>
    <t>238</t>
  </si>
  <si>
    <t>40S ribosomal protein SA OS=Homo sapiens GN=RPSA PE=1 SV=4</t>
  </si>
  <si>
    <t>P56537</t>
  </si>
  <si>
    <t>Eukaryotic translation initiation factor 6 OS=Homo sapiens GN=EIF6 PE=1 SV=1</t>
  </si>
  <si>
    <t>P00558</t>
  </si>
  <si>
    <t>1.26565605095541</t>
  </si>
  <si>
    <t>0.109516454727341</t>
  </si>
  <si>
    <t>380</t>
  </si>
  <si>
    <t>Phosphoglycerate kinase 1 OS=Homo sapiens GN=PGK1 PE=1 SV=3</t>
  </si>
  <si>
    <t>Q9UNN8</t>
  </si>
  <si>
    <t>-1.65921855184492</t>
  </si>
  <si>
    <t>0.109880912146546</t>
  </si>
  <si>
    <t>322</t>
  </si>
  <si>
    <t>Endothelial protein C receptor OS=Homo sapiens GN=PROCR PE=1 SV=1</t>
  </si>
  <si>
    <t>P19338</t>
  </si>
  <si>
    <t>1.42108749580959</t>
  </si>
  <si>
    <t>0.115342376963167</t>
  </si>
  <si>
    <t>461</t>
  </si>
  <si>
    <t>Nucleolin OS=Homo sapiens GN=NCL PE=1 SV=3</t>
  </si>
  <si>
    <t>P35237</t>
  </si>
  <si>
    <t>0.116004050403929</t>
  </si>
  <si>
    <t>1131</t>
  </si>
  <si>
    <t>Serpin B6 OS=Homo sapiens GN=SERPINB6 PE=1 SV=3</t>
  </si>
  <si>
    <t>P47756</t>
  </si>
  <si>
    <t>464</t>
  </si>
  <si>
    <t>F-actin-capping protein subunit beta OS=Homo sapiens GN=CAPZB PE=1 SV=4</t>
  </si>
  <si>
    <t>P02774</t>
  </si>
  <si>
    <t>-1.54981952644855</t>
  </si>
  <si>
    <t>0.116311816217233</t>
  </si>
  <si>
    <t>536</t>
  </si>
  <si>
    <t>Vitamin D-binding protein OS=Homo sapiens GN=GC PE=1 SV=1</t>
  </si>
  <si>
    <t>P17655</t>
  </si>
  <si>
    <t>0.117674785065819</t>
  </si>
  <si>
    <t>390</t>
  </si>
  <si>
    <t>Calpain-2 catalytic subunit OS=Homo sapiens GN=CAPN2 PE=1 SV=6</t>
  </si>
  <si>
    <t>P63244</t>
  </si>
  <si>
    <t>770</t>
  </si>
  <si>
    <t>Receptor of activated protein C kinase 1 OS=Homo sapiens GN=RACK1 PE=1 SV=3</t>
  </si>
  <si>
    <t>P04275</t>
  </si>
  <si>
    <t>-1.18515610846066</t>
  </si>
  <si>
    <t>0.118839658038646</t>
  </si>
  <si>
    <t>542</t>
  </si>
  <si>
    <t>96</t>
  </si>
  <si>
    <t>von Willebrand factor OS=Homo sapiens GN=VWF PE=1 SV=4</t>
  </si>
  <si>
    <t>P16035</t>
  </si>
  <si>
    <t>-1.35446412395504</t>
  </si>
  <si>
    <t>0.119519712851492</t>
  </si>
  <si>
    <t>545</t>
  </si>
  <si>
    <t>Metalloproteinase inhibitor 2 OS=Homo sapiens GN=TIMP2 PE=1 SV=2</t>
  </si>
  <si>
    <t>P01008</t>
  </si>
  <si>
    <t>-2.07402318980615</t>
  </si>
  <si>
    <t>0.122404418625952</t>
  </si>
  <si>
    <t>343</t>
  </si>
  <si>
    <t>Antithrombin-III OS=Homo sapiens GN=SERPINC1 PE=1 SV=1</t>
  </si>
  <si>
    <t>O14786</t>
  </si>
  <si>
    <t>565</t>
  </si>
  <si>
    <t>Neuropilin-1 OS=Homo sapiens GN=NRP1 PE=1 SV=3</t>
  </si>
  <si>
    <t>Q8NC51</t>
  </si>
  <si>
    <t>0.123280239704257</t>
  </si>
  <si>
    <t>855</t>
  </si>
  <si>
    <t>Plasminogen activator inhibitor 1 RNA-binding protein OS=Homo sapiens GN=SERBP1 PE=1 SV=2</t>
  </si>
  <si>
    <t>P21926</t>
  </si>
  <si>
    <t>560</t>
  </si>
  <si>
    <t>CD9 antigen OS=Homo sapiens GN=CD9 PE=1 SV=4</t>
  </si>
  <si>
    <t>P63000</t>
  </si>
  <si>
    <t>Ras-related C3 botulinum toxin substrate 1 OS=Homo sapiens GN=RAC1 PE=1 SV=1</t>
  </si>
  <si>
    <t>P62314</t>
  </si>
  <si>
    <t>251</t>
  </si>
  <si>
    <t>Small nuclear ribonucleoprotein Sm D1 OS=Homo sapiens GN=SNRPD1 PE=1 SV=1</t>
  </si>
  <si>
    <t>Q9ULV4</t>
  </si>
  <si>
    <t>988</t>
  </si>
  <si>
    <t>Coronin-1C OS=Homo sapiens GN=CORO1C PE=1 SV=1</t>
  </si>
  <si>
    <t>O76003</t>
  </si>
  <si>
    <t>Glutaredoxin-3 OS=Homo sapiens GN=GLRX3 PE=1 SV=2</t>
  </si>
  <si>
    <t>P52565</t>
  </si>
  <si>
    <t>1.35737025754639</t>
  </si>
  <si>
    <t>0.127914639202127</t>
  </si>
  <si>
    <t>1076</t>
  </si>
  <si>
    <t>Rho GDP-dissociation inhibitor 1 OS=Homo sapiens GN=ARHGDIA PE=1 SV=3</t>
  </si>
  <si>
    <t>O95084</t>
  </si>
  <si>
    <t>-1.89624977353705</t>
  </si>
  <si>
    <t>0.130888662325493</t>
  </si>
  <si>
    <t>1089</t>
  </si>
  <si>
    <t>Serine protease 23 OS=Homo sapiens GN=PRSS23 PE=1 SV=1</t>
  </si>
  <si>
    <t>P62805</t>
  </si>
  <si>
    <t>1.24647944412276</t>
  </si>
  <si>
    <t>0.131678907488647</t>
  </si>
  <si>
    <t>655</t>
  </si>
  <si>
    <t>65</t>
  </si>
  <si>
    <t>Histone H4 OS=Homo sapiens GN=HIST1H4A PE=1 SV=2</t>
  </si>
  <si>
    <t>Q16543</t>
  </si>
  <si>
    <t>0.132988292794225</t>
  </si>
  <si>
    <t>693</t>
  </si>
  <si>
    <t>Hsp90 co-chaperone Cdc37 OS=Homo sapiens GN=CDC37 PE=1 SV=1</t>
  </si>
  <si>
    <t>P62906</t>
  </si>
  <si>
    <t>696</t>
  </si>
  <si>
    <t>60S ribosomal protein L10a OS=Homo sapiens GN=RPL10A PE=1 SV=2</t>
  </si>
  <si>
    <t>P62241</t>
  </si>
  <si>
    <t>397</t>
  </si>
  <si>
    <t>40S ribosomal protein S8 OS=Homo sapiens GN=RPS8 PE=1 SV=2</t>
  </si>
  <si>
    <t>P25788</t>
  </si>
  <si>
    <t>699</t>
  </si>
  <si>
    <t>Proteasome subunit alpha type-3 OS=Homo sapiens GN=PSMA3 PE=1 SV=2</t>
  </si>
  <si>
    <t>P61158</t>
  </si>
  <si>
    <t>1.42386305732484</t>
  </si>
  <si>
    <t>0.135333685556487</t>
  </si>
  <si>
    <t>301</t>
  </si>
  <si>
    <t>Actin-related protein 3 OS=Homo sapiens GN=ACTR3 PE=1 SV=3</t>
  </si>
  <si>
    <t>Q96KP4</t>
  </si>
  <si>
    <t>0.135477676129875</t>
  </si>
  <si>
    <t>454</t>
  </si>
  <si>
    <t>Cytosolic non-specific dipeptidase OS=Homo sapiens GN=CNDP2 PE=1 SV=2</t>
  </si>
  <si>
    <t>Q15181</t>
  </si>
  <si>
    <t>313</t>
  </si>
  <si>
    <t>Inorganic pyrophosphatase OS=Homo sapiens GN=PPA1 PE=1 SV=2</t>
  </si>
  <si>
    <t>P62937</t>
  </si>
  <si>
    <t>1.20341067140023</t>
  </si>
  <si>
    <t>0.135606423284437</t>
  </si>
  <si>
    <t>223</t>
  </si>
  <si>
    <t>87</t>
  </si>
  <si>
    <t>Peptidyl-prolyl cis-trans isomerase A OS=Homo sapiens GN=PPIA PE=1 SV=2</t>
  </si>
  <si>
    <t>Q9NPY3</t>
  </si>
  <si>
    <t>-1.77773416269098</t>
  </si>
  <si>
    <t>0.137352541100976</t>
  </si>
  <si>
    <t>Complement component C1q receptor OS=Homo sapiens GN=CD93 PE=1 SV=3</t>
  </si>
  <si>
    <t>O15145</t>
  </si>
  <si>
    <t>0.138985615285483</t>
  </si>
  <si>
    <t>611</t>
  </si>
  <si>
    <t>Actin-related protein 2/3 complex subunit 3 OS=Homo sapiens GN=ARPC3 PE=1 SV=3</t>
  </si>
  <si>
    <t>P10155</t>
  </si>
  <si>
    <t>555</t>
  </si>
  <si>
    <t>60 kDa SS-A/Ro ribonucleoprotein OS=Homo sapiens GN=TROVE2 PE=1 SV=2</t>
  </si>
  <si>
    <t>Q15046</t>
  </si>
  <si>
    <t>708</t>
  </si>
  <si>
    <t>Lysine--tRNA ligase OS=Homo sapiens GN=KARS PE=1 SV=3</t>
  </si>
  <si>
    <t>Q9Y265</t>
  </si>
  <si>
    <t>998</t>
  </si>
  <si>
    <t>RuvB-like 1 OS=Homo sapiens GN=RUVBL1 PE=1 SV=1</t>
  </si>
  <si>
    <t>Q07666</t>
  </si>
  <si>
    <t>1140</t>
  </si>
  <si>
    <t>KH domain-containing, RNA-binding, signal transduction-associated protein 1 OS=Homo sapiens GN=KHDRBS1 PE=1 SV=1</t>
  </si>
  <si>
    <t>P17813</t>
  </si>
  <si>
    <t>549</t>
  </si>
  <si>
    <t>Endoglin OS=Homo sapiens GN=ENG PE=1 SV=2</t>
  </si>
  <si>
    <t>P61163</t>
  </si>
  <si>
    <t>318</t>
  </si>
  <si>
    <t>Alpha-centractin OS=Homo sapiens GN=ACTR1A PE=1 SV=1</t>
  </si>
  <si>
    <t>O43390</t>
  </si>
  <si>
    <t>Heterogeneous nuclear ribonucleoprotein R OS=Homo sapiens GN=HNRNPR PE=1 SV=1</t>
  </si>
  <si>
    <t>Q16630</t>
  </si>
  <si>
    <t>248</t>
  </si>
  <si>
    <t>Cleavage and polyadenylation specificity factor subunit 6 OS=Homo sapiens GN=CPSF6 PE=1 SV=2</t>
  </si>
  <si>
    <t>O00303</t>
  </si>
  <si>
    <t>702</t>
  </si>
  <si>
    <t>Eukaryotic translation initiation factor 3 subunit F OS=Homo sapiens GN=EIF3F PE=1 SV=1</t>
  </si>
  <si>
    <t>P30566</t>
  </si>
  <si>
    <t>Adenylosuccinate lyase OS=Homo sapiens GN=ADSL PE=1 SV=2</t>
  </si>
  <si>
    <t>Q15293</t>
  </si>
  <si>
    <t>410</t>
  </si>
  <si>
    <t>Reticulocalbin-1 OS=Homo sapiens GN=RCN1 PE=1 SV=1</t>
  </si>
  <si>
    <t>P62750</t>
  </si>
  <si>
    <t>474</t>
  </si>
  <si>
    <t>60S ribosomal protein L23a OS=Homo sapiens GN=RPL23A PE=1 SV=1</t>
  </si>
  <si>
    <t>Q16851</t>
  </si>
  <si>
    <t>854</t>
  </si>
  <si>
    <t>UTP--glucose-1-phosphate uridylyltransferase OS=Homo sapiens GN=UGP2 PE=1 SV=5</t>
  </si>
  <si>
    <t>P26368</t>
  </si>
  <si>
    <t>546</t>
  </si>
  <si>
    <t>Splicing factor U2AF 65 kDa subunit OS=Homo sapiens GN=U2AF2 PE=1 SV=4</t>
  </si>
  <si>
    <t>Q10567</t>
  </si>
  <si>
    <t>1155</t>
  </si>
  <si>
    <t>AP-1 complex subunit beta-1 OS=Homo sapiens GN=AP1B1 PE=1 SV=2</t>
  </si>
  <si>
    <t>Q15366</t>
  </si>
  <si>
    <t>530</t>
  </si>
  <si>
    <t>Poly(rC)-binding protein 2 OS=Homo sapiens GN=PCBP2 PE=1 SV=1</t>
  </si>
  <si>
    <t>Q96QK1</t>
  </si>
  <si>
    <t>483</t>
  </si>
  <si>
    <t>Vacuolar protein sorting-associated protein 35 OS=Homo sapiens GN=VPS35 PE=1 SV=2</t>
  </si>
  <si>
    <t>Q9BRA2</t>
  </si>
  <si>
    <t>604</t>
  </si>
  <si>
    <t>Thioredoxin domain-containing protein 17 OS=Homo sapiens GN=TXNDC17 PE=1 SV=1</t>
  </si>
  <si>
    <t>Q13200</t>
  </si>
  <si>
    <t>105</t>
  </si>
  <si>
    <t>26S proteasome non-ATPase regulatory subunit 2 OS=Homo sapiens GN=PSMD2 PE=1 SV=3</t>
  </si>
  <si>
    <t>Q96CX2</t>
  </si>
  <si>
    <t>100</t>
  </si>
  <si>
    <t>BTB/POZ domain-containing protein KCTD12 OS=Homo sapiens GN=KCTD12 PE=1 SV=1</t>
  </si>
  <si>
    <t>O75083</t>
  </si>
  <si>
    <t>1.27844045551052</t>
  </si>
  <si>
    <t>0.139434812769881</t>
  </si>
  <si>
    <t>221</t>
  </si>
  <si>
    <t>WD repeat-containing protein 1 OS=Homo sapiens GN=WDR1 PE=1 SV=4</t>
  </si>
  <si>
    <t>P60842</t>
  </si>
  <si>
    <t>0.153167069867969</t>
  </si>
  <si>
    <t>916</t>
  </si>
  <si>
    <t>Eukaryotic initiation factor 4A-I OS=Homo sapiens GN=EIF4A1 PE=1 SV=1</t>
  </si>
  <si>
    <t>P21291</t>
  </si>
  <si>
    <t>1.58207006369427</t>
  </si>
  <si>
    <t>0.154445669567586</t>
  </si>
  <si>
    <t>94</t>
  </si>
  <si>
    <t>Cysteine and glycine-rich protein 1 OS=Homo sapiens GN=CSRP1 PE=1 SV=3</t>
  </si>
  <si>
    <t>P49593</t>
  </si>
  <si>
    <t>90</t>
  </si>
  <si>
    <t>Protein phosphatase 1F OS=Homo sapiens GN=PPM1F PE=1 SV=3</t>
  </si>
  <si>
    <t>P13598</t>
  </si>
  <si>
    <t>-1.38268212653743</t>
  </si>
  <si>
    <t>0.155337195344119</t>
  </si>
  <si>
    <t>606</t>
  </si>
  <si>
    <t>Intercellular adhesion molecule 2 OS=Homo sapiens GN=ICAM2 PE=1 SV=2</t>
  </si>
  <si>
    <t>O60841</t>
  </si>
  <si>
    <t>0.156082850149076</t>
  </si>
  <si>
    <t>849</t>
  </si>
  <si>
    <t>Eukaryotic translation initiation factor 5B OS=Homo sapiens GN=EIF5B PE=1 SV=4</t>
  </si>
  <si>
    <t>P49588</t>
  </si>
  <si>
    <t>533</t>
  </si>
  <si>
    <t>Alanine--tRNA ligase, cytoplasmic OS=Homo sapiens GN=AARS PE=1 SV=2</t>
  </si>
  <si>
    <t>P27348</t>
  </si>
  <si>
    <t>1.42791964723175</t>
  </si>
  <si>
    <t>0.159862057477401</t>
  </si>
  <si>
    <t>650</t>
  </si>
  <si>
    <t>14-3-3 protein theta OS=Homo sapiens GN=YWHAQ PE=1 SV=1</t>
  </si>
  <si>
    <t>P00338</t>
  </si>
  <si>
    <t>1.21062752700083</t>
  </si>
  <si>
    <t>0.162523121048582</t>
  </si>
  <si>
    <t>1175</t>
  </si>
  <si>
    <t>L-lactate dehydrogenase A chain OS=Homo sapiens GN=LDHA PE=1 SV=2</t>
  </si>
  <si>
    <t>P21741</t>
  </si>
  <si>
    <t>0.163069023852544</t>
  </si>
  <si>
    <t>813</t>
  </si>
  <si>
    <t>Midkine OS=Homo sapiens GN=MDK PE=1 SV=1</t>
  </si>
  <si>
    <t>P62491</t>
  </si>
  <si>
    <t>995</t>
  </si>
  <si>
    <t>Ras-related protein Rab-11A OS=Homo sapiens GN=RAB11A PE=1 SV=3</t>
  </si>
  <si>
    <t>Q9UHL4</t>
  </si>
  <si>
    <t>554</t>
  </si>
  <si>
    <t>Dipeptidyl peptidase 2 OS=Homo sapiens GN=DPP7 PE=1 SV=3</t>
  </si>
  <si>
    <t>Q9UNW1</t>
  </si>
  <si>
    <t>889</t>
  </si>
  <si>
    <t>Multiple inositol polyphosphate phosphatase 1 OS=Homo sapiens GN=MINPP1 PE=1 SV=1</t>
  </si>
  <si>
    <t>P30530</t>
  </si>
  <si>
    <t>1041</t>
  </si>
  <si>
    <t>Tyrosine-protein kinase receptor UFO OS=Homo sapiens GN=AXL PE=1 SV=3</t>
  </si>
  <si>
    <t>P11047</t>
  </si>
  <si>
    <t>-1.25922836523945</t>
  </si>
  <si>
    <t>0.173207906766848</t>
  </si>
  <si>
    <t>544</t>
  </si>
  <si>
    <t>Laminin subunit gamma-1 OS=Homo sapiens GN=LAMC1 PE=1 SV=3</t>
  </si>
  <si>
    <t>P61160</t>
  </si>
  <si>
    <t>1.38619472247498</t>
  </si>
  <si>
    <t>0.173559320093116</t>
  </si>
  <si>
    <t>92</t>
  </si>
  <si>
    <t>Actin-related protein 2 OS=Homo sapiens GN=ACTR2 PE=1 SV=1</t>
  </si>
  <si>
    <t>P63104</t>
  </si>
  <si>
    <t>1.22124706671136</t>
  </si>
  <si>
    <t>0.17495219393831</t>
  </si>
  <si>
    <t>1176</t>
  </si>
  <si>
    <t>55</t>
  </si>
  <si>
    <t>14-3-3 protein zeta/delta OS=Homo sapiens GN=YWHAZ PE=1 SV=1</t>
  </si>
  <si>
    <t>P18206</t>
  </si>
  <si>
    <t>1.20002944090587</t>
  </si>
  <si>
    <t>0.177294711839386</t>
  </si>
  <si>
    <t>219</t>
  </si>
  <si>
    <t>Vinculin OS=Homo sapiens GN=VCL PE=1 SV=4</t>
  </si>
  <si>
    <t>Q9NY33</t>
  </si>
  <si>
    <t>0.177467699834443</t>
  </si>
  <si>
    <t>996</t>
  </si>
  <si>
    <t>Dipeptidyl peptidase 3 OS=Homo sapiens GN=DPP3 PE=1 SV=2</t>
  </si>
  <si>
    <t>O00629</t>
  </si>
  <si>
    <t>409</t>
  </si>
  <si>
    <t>Importin subunit alpha-3 OS=Homo sapiens GN=KPNA4 PE=1 SV=1</t>
  </si>
  <si>
    <t>P62249</t>
  </si>
  <si>
    <t>620</t>
  </si>
  <si>
    <t>40S ribosomal protein S16 OS=Homo sapiens GN=RPS16 PE=1 SV=2</t>
  </si>
  <si>
    <t>P12081</t>
  </si>
  <si>
    <t>Histidine--tRNA ligase, cytoplasmic OS=Homo sapiens GN=HARS PE=1 SV=2</t>
  </si>
  <si>
    <t>P60903</t>
  </si>
  <si>
    <t>111</t>
  </si>
  <si>
    <t>Protein S100-A10 OS=Homo sapiens GN=S100A10 PE=1 SV=2</t>
  </si>
  <si>
    <t>P16401</t>
  </si>
  <si>
    <t>869</t>
  </si>
  <si>
    <t>Histone H1.5 OS=Homo sapiens GN=HIST1H1B PE=1 SV=3</t>
  </si>
  <si>
    <t>P05198</t>
  </si>
  <si>
    <t>469</t>
  </si>
  <si>
    <t>Eukaryotic translation initiation factor 2 subunit 1 OS=Homo sapiens GN=EIF2S1 PE=1 SV=3</t>
  </si>
  <si>
    <t>Q96AP7</t>
  </si>
  <si>
    <t>0.177887705553313</t>
  </si>
  <si>
    <t>57</t>
  </si>
  <si>
    <t>Endothelial cell-selective adhesion molecule OS=Homo sapiens GN=ESAM PE=1 SV=1</t>
  </si>
  <si>
    <t>P28300</t>
  </si>
  <si>
    <t>959</t>
  </si>
  <si>
    <t>Protein-lysine 6-oxidase OS=Homo sapiens GN=LOX PE=1 SV=2</t>
  </si>
  <si>
    <t>Q8WZ75</t>
  </si>
  <si>
    <t>200</t>
  </si>
  <si>
    <t>Roundabout homolog 4 OS=Homo sapiens GN=ROBO4 PE=1 SV=1</t>
  </si>
  <si>
    <t>P26038</t>
  </si>
  <si>
    <t>1.17269826190219</t>
  </si>
  <si>
    <t>0.177928366482184</t>
  </si>
  <si>
    <t>758</t>
  </si>
  <si>
    <t>59</t>
  </si>
  <si>
    <t>Moesin OS=Homo sapiens GN=MSN PE=1 SV=3</t>
  </si>
  <si>
    <t>P60981</t>
  </si>
  <si>
    <t>1.56700272975432</t>
  </si>
  <si>
    <t>0.178110936241276</t>
  </si>
  <si>
    <t>175</t>
  </si>
  <si>
    <t>Destrin OS=Homo sapiens GN=DSTN PE=1 SV=3</t>
  </si>
  <si>
    <t>P28070</t>
  </si>
  <si>
    <t>0.180918776916817</t>
  </si>
  <si>
    <t>Proteasome subunit beta type-4 OS=Homo sapiens GN=PSMB4 PE=1 SV=4</t>
  </si>
  <si>
    <t>P46777</t>
  </si>
  <si>
    <t>1134</t>
  </si>
  <si>
    <t>60S ribosomal protein L5 OS=Homo sapiens GN=RPL5 PE=1 SV=3</t>
  </si>
  <si>
    <t>Q14767</t>
  </si>
  <si>
    <t>0.182004637753217</t>
  </si>
  <si>
    <t>389</t>
  </si>
  <si>
    <t>Latent-transforming growth factor beta-binding protein 2 OS=Homo sapiens GN=LTBP2 PE=1 SV=3</t>
  </si>
  <si>
    <t>Q16881</t>
  </si>
  <si>
    <t>1.2273028372901</t>
  </si>
  <si>
    <t>0.186318560139505</t>
  </si>
  <si>
    <t>1059</t>
  </si>
  <si>
    <t>Thioredoxin reductase 1, cytoplasmic OS=Homo sapiens GN=TXNRD1 PE=1 SV=3</t>
  </si>
  <si>
    <t>O43505</t>
  </si>
  <si>
    <t>0.187507585237691</t>
  </si>
  <si>
    <t>639</t>
  </si>
  <si>
    <t>Beta-1,4-glucuronyltransferase 1 OS=Homo sapiens GN=B4GAT1 PE=1 SV=1</t>
  </si>
  <si>
    <t>P13010</t>
  </si>
  <si>
    <t>1.28574582954201</t>
  </si>
  <si>
    <t>0.190473122946634</t>
  </si>
  <si>
    <t>843</t>
  </si>
  <si>
    <t>X-ray repair cross-complementing protein 5 OS=Homo sapiens GN=XRCC5 PE=1 SV=3</t>
  </si>
  <si>
    <t>P07998</t>
  </si>
  <si>
    <t>0.193908509003387</t>
  </si>
  <si>
    <t>120</t>
  </si>
  <si>
    <t>Ribonuclease pancreatic OS=Homo sapiens GN=RNASE1 PE=1 SV=4</t>
  </si>
  <si>
    <t>P13797</t>
  </si>
  <si>
    <t>1.21602248032971</t>
  </si>
  <si>
    <t>0.194312411218418</t>
  </si>
  <si>
    <t>972</t>
  </si>
  <si>
    <t>Plastin-3 OS=Homo sapiens GN=PLS3 PE=1 SV=4</t>
  </si>
  <si>
    <t>Q06830</t>
  </si>
  <si>
    <t>1.22482843640847</t>
  </si>
  <si>
    <t>0.19659546444247</t>
  </si>
  <si>
    <t>Peroxiredoxin-1 OS=Homo sapiens GN=PRDX1 PE=1 SV=1</t>
  </si>
  <si>
    <t>P50453</t>
  </si>
  <si>
    <t>-1.58020814461421</t>
  </si>
  <si>
    <t>0.198181936405885</t>
  </si>
  <si>
    <t>Serpin B9 OS=Homo sapiens GN=SERPINB9 PE=1 SV=1</t>
  </si>
  <si>
    <t>P13693</t>
  </si>
  <si>
    <t>1.47659872611465</t>
  </si>
  <si>
    <t>0.199065553551863</t>
  </si>
  <si>
    <t>776</t>
  </si>
  <si>
    <t>Translationally-controlled tumor protein OS=Homo sapiens GN=TPT1 PE=1 SV=1</t>
  </si>
  <si>
    <t>P34932</t>
  </si>
  <si>
    <t>771</t>
  </si>
  <si>
    <t>Heat shock 70 kDa protein 4 OS=Homo sapiens GN=HSPA4 PE=1 SV=4</t>
  </si>
  <si>
    <t>Q92820</t>
  </si>
  <si>
    <t>0.200981229825526</t>
  </si>
  <si>
    <t>Gamma-glutamyl hydrolase OS=Homo sapiens GN=GGH PE=1 SV=2</t>
  </si>
  <si>
    <t>P68036</t>
  </si>
  <si>
    <t>0.206643351040042</t>
  </si>
  <si>
    <t>183</t>
  </si>
  <si>
    <t>Ubiquitin-conjugating enzyme E2 L3 OS=Homo sapiens GN=UBE2L3 PE=1 SV=1</t>
  </si>
  <si>
    <t>P15531</t>
  </si>
  <si>
    <t>229</t>
  </si>
  <si>
    <t>Nucleoside diphosphate kinase A OS=Homo sapiens GN=NME1 PE=1 SV=1</t>
  </si>
  <si>
    <t>Q96CN7</t>
  </si>
  <si>
    <t>0.207293237785393</t>
  </si>
  <si>
    <t>940</t>
  </si>
  <si>
    <t>Isochorismatase domain-containing protein 1 OS=Homo sapiens GN=ISOC1 PE=1 SV=3</t>
  </si>
  <si>
    <t>P83731</t>
  </si>
  <si>
    <t>1023</t>
  </si>
  <si>
    <t>60S ribosomal protein L24 OS=Homo sapiens GN=RPL24 PE=1 SV=1</t>
  </si>
  <si>
    <t>P55010</t>
  </si>
  <si>
    <t>715</t>
  </si>
  <si>
    <t>Eukaryotic translation initiation factor 5 OS=Homo sapiens GN=EIF5 PE=1 SV=2</t>
  </si>
  <si>
    <t>Q9NQW7</t>
  </si>
  <si>
    <t>Xaa-Pro aminopeptidase 1 OS=Homo sapiens GN=XPNPEP1 PE=1 SV=3</t>
  </si>
  <si>
    <t>Q15404</t>
  </si>
  <si>
    <t>Ras suppressor protein 1 OS=Homo sapiens GN=RSU1 PE=1 SV=3</t>
  </si>
  <si>
    <t>Q9Y5B9</t>
  </si>
  <si>
    <t>795</t>
  </si>
  <si>
    <t>FACT complex subunit SPT16 OS=Homo sapiens GN=SUPT16H PE=1 SV=1</t>
  </si>
  <si>
    <t>P20290</t>
  </si>
  <si>
    <t>1011</t>
  </si>
  <si>
    <t>Transcription factor BTF3 OS=Homo sapiens GN=BTF3 PE=1 SV=1</t>
  </si>
  <si>
    <t>P26373</t>
  </si>
  <si>
    <t>60S ribosomal protein L13 OS=Homo sapiens GN=RPL13 PE=1 SV=4</t>
  </si>
  <si>
    <t>P42766</t>
  </si>
  <si>
    <t>729</t>
  </si>
  <si>
    <t>60S ribosomal protein L35 OS=Homo sapiens GN=RPL35 PE=1 SV=2</t>
  </si>
  <si>
    <t>P27635</t>
  </si>
  <si>
    <t>559</t>
  </si>
  <si>
    <t>60S ribosomal protein L10 OS=Homo sapiens GN=RPL10 PE=1 SV=4</t>
  </si>
  <si>
    <t>Q99873</t>
  </si>
  <si>
    <t>931</t>
  </si>
  <si>
    <t>Protein arginine N-methyltransferase 1 OS=Homo sapiens GN=PRMT1 PE=1 SV=2</t>
  </si>
  <si>
    <t>P55263</t>
  </si>
  <si>
    <t>558</t>
  </si>
  <si>
    <t>Adenosine kinase OS=Homo sapiens GN=ADK PE=1 SV=2</t>
  </si>
  <si>
    <t>P62913</t>
  </si>
  <si>
    <t>870</t>
  </si>
  <si>
    <t>60S ribosomal protein L11 OS=Homo sapiens GN=RPL11 PE=1 SV=2</t>
  </si>
  <si>
    <t>P26639</t>
  </si>
  <si>
    <t>0.211448676448804</t>
  </si>
  <si>
    <t>Threonine--tRNA ligase, cytoplasmic OS=Homo sapiens GN=TARS PE=1 SV=3</t>
  </si>
  <si>
    <t>Q99729</t>
  </si>
  <si>
    <t>601</t>
  </si>
  <si>
    <t>Heterogeneous nuclear ribonucleoprotein A/B OS=Homo sapiens GN=HNRNPAB PE=1 SV=2</t>
  </si>
  <si>
    <t>P99999</t>
  </si>
  <si>
    <t>103</t>
  </si>
  <si>
    <t>Cytochrome c OS=Homo sapiens GN=CYCS PE=1 SV=2</t>
  </si>
  <si>
    <t>P39019</t>
  </si>
  <si>
    <t>411</t>
  </si>
  <si>
    <t>40S ribosomal protein S19 OS=Homo sapiens GN=RPS19 PE=1 SV=2</t>
  </si>
  <si>
    <t>Q9Y678</t>
  </si>
  <si>
    <t>311</t>
  </si>
  <si>
    <t>Coatomer subunit gamma-1 OS=Homo sapiens GN=COPG1 PE=1 SV=1</t>
  </si>
  <si>
    <t>P52926</t>
  </si>
  <si>
    <t>994</t>
  </si>
  <si>
    <t>High mobility group protein HMGI-C OS=Homo sapiens GN=HMGA2 PE=1 SV=1</t>
  </si>
  <si>
    <t>P30044</t>
  </si>
  <si>
    <t>405</t>
  </si>
  <si>
    <t>Peroxiredoxin-5, mitochondrial OS=Homo sapiens GN=PRDX5 PE=1 SV=4</t>
  </si>
  <si>
    <t>P26583</t>
  </si>
  <si>
    <t>0.218979918457809</t>
  </si>
  <si>
    <t>646</t>
  </si>
  <si>
    <t>High mobility group protein B2 OS=Homo sapiens GN=HMGB2 PE=1 SV=2</t>
  </si>
  <si>
    <t>P62841</t>
  </si>
  <si>
    <t>791</t>
  </si>
  <si>
    <t>40S ribosomal protein S15 OS=Homo sapiens GN=RPS15 PE=1 SV=2</t>
  </si>
  <si>
    <t>P31946</t>
  </si>
  <si>
    <t>1.21877990092003</t>
  </si>
  <si>
    <t>0.219630556454588</t>
  </si>
  <si>
    <t>1052</t>
  </si>
  <si>
    <t>14-3-3 protein beta/alpha OS=Homo sapiens GN=YWHAB PE=1 SV=3</t>
  </si>
  <si>
    <t>P12814</t>
  </si>
  <si>
    <t>1.15207153356198</t>
  </si>
  <si>
    <t>0.222382957852975</t>
  </si>
  <si>
    <t>Alpha-actinin-1 OS=Homo sapiens GN=ACTN1 PE=1 SV=2</t>
  </si>
  <si>
    <t>P25786</t>
  </si>
  <si>
    <t>1.33597027600849</t>
  </si>
  <si>
    <t>0.224300695271997</t>
  </si>
  <si>
    <t>688</t>
  </si>
  <si>
    <t>Proteasome subunit alpha type-1 OS=Homo sapiens GN=PSMA1 PE=1 SV=1</t>
  </si>
  <si>
    <t>P14324</t>
  </si>
  <si>
    <t>230</t>
  </si>
  <si>
    <t>Farnesyl pyrophosphate synthase OS=Homo sapiens GN=FDPS PE=1 SV=4</t>
  </si>
  <si>
    <t>P21810</t>
  </si>
  <si>
    <t>-1.23256235279908</t>
  </si>
  <si>
    <t>0.225547693424473</t>
  </si>
  <si>
    <t>915</t>
  </si>
  <si>
    <t>Biglycan OS=Homo sapiens GN=BGN PE=1 SV=2</t>
  </si>
  <si>
    <t>P28072</t>
  </si>
  <si>
    <t>1.44646405823476</t>
  </si>
  <si>
    <t>0.230514906818634</t>
  </si>
  <si>
    <t>550</t>
  </si>
  <si>
    <t>Proteasome subunit beta type-6 OS=Homo sapiens GN=PSMB6 PE=1 SV=4</t>
  </si>
  <si>
    <t>P08572</t>
  </si>
  <si>
    <t>1.35003312101911</t>
  </si>
  <si>
    <t>0.237906597065254</t>
  </si>
  <si>
    <t>917</t>
  </si>
  <si>
    <t>Collagen alpha-2(IV) chain OS=Homo sapiens GN=COL4A2 PE=1 SV=4</t>
  </si>
  <si>
    <t>P14618</t>
  </si>
  <si>
    <t>1.08873638791864</t>
  </si>
  <si>
    <t>0.24085048683207</t>
  </si>
  <si>
    <t>898</t>
  </si>
  <si>
    <t>Pyruvate kinase PKM OS=Homo sapiens GN=PKM PE=1 SV=4</t>
  </si>
  <si>
    <t>P29279</t>
  </si>
  <si>
    <t>-1.11991815753622</t>
  </si>
  <si>
    <t>0.241233307284998</t>
  </si>
  <si>
    <t>902</t>
  </si>
  <si>
    <t>Connective tissue growth factor OS=Homo sapiens GN=CTGF PE=1 SV=2</t>
  </si>
  <si>
    <t>P61604</t>
  </si>
  <si>
    <t>0.241675092242966</t>
  </si>
  <si>
    <t>603</t>
  </si>
  <si>
    <t>10 kDa heat shock protein, mitochondrial OS=Homo sapiens GN=HSPE1 PE=1 SV=2</t>
  </si>
  <si>
    <t>Q9UHY7</t>
  </si>
  <si>
    <t>614</t>
  </si>
  <si>
    <t>Enolase-phosphatase E1 OS=Homo sapiens GN=ENOPH1 PE=1 SV=1</t>
  </si>
  <si>
    <t>P07814</t>
  </si>
  <si>
    <t>1078</t>
  </si>
  <si>
    <t>Bifunctional glutamate/proline--tRNA ligase OS=Homo sapiens GN=EPRS PE=1 SV=5</t>
  </si>
  <si>
    <t>P15311</t>
  </si>
  <si>
    <t>1065</t>
  </si>
  <si>
    <t>Ezrin OS=Homo sapiens GN=EZR PE=1 SV=4</t>
  </si>
  <si>
    <t>P42285</t>
  </si>
  <si>
    <t>0.244929197458242</t>
  </si>
  <si>
    <t>Superkiller viralicidic activity 2-like 2 OS=Homo sapiens GN=SKIV2L2 PE=1 SV=3</t>
  </si>
  <si>
    <t>O75937</t>
  </si>
  <si>
    <t>337</t>
  </si>
  <si>
    <t>DnaJ homolog subfamily C member 8 OS=Homo sapiens GN=DNAJC8 PE=1 SV=2</t>
  </si>
  <si>
    <t>Q9Y3A5</t>
  </si>
  <si>
    <t>1111</t>
  </si>
  <si>
    <t>Ribosome maturation protein SBDS OS=Homo sapiens GN=SBDS PE=1 SV=4</t>
  </si>
  <si>
    <t>Q6P587</t>
  </si>
  <si>
    <t>430</t>
  </si>
  <si>
    <t>Acylpyruvase FAHD1, mitochondrial OS=Homo sapiens GN=FAHD1 PE=1 SV=2</t>
  </si>
  <si>
    <t>O43747</t>
  </si>
  <si>
    <t>1110</t>
  </si>
  <si>
    <t>AP-1 complex subunit gamma-1 OS=Homo sapiens GN=AP1G1 PE=1 SV=5</t>
  </si>
  <si>
    <t>P29353</t>
  </si>
  <si>
    <t>426</t>
  </si>
  <si>
    <t>SHC-transforming protein 1 OS=Homo sapiens GN=SHC1 PE=1 SV=4</t>
  </si>
  <si>
    <t>Q9BS40</t>
  </si>
  <si>
    <t>569</t>
  </si>
  <si>
    <t>Latexin OS=Homo sapiens GN=LXN PE=1 SV=2</t>
  </si>
  <si>
    <t>Q9Y4B5</t>
  </si>
  <si>
    <t>144</t>
  </si>
  <si>
    <t>Microtubule cross-linking factor 1 OS=Homo sapiens GN=MTCL1 PE=1 SV=5</t>
  </si>
  <si>
    <t>Q13620</t>
  </si>
  <si>
    <t>577</t>
  </si>
  <si>
    <t>Cullin-4B OS=Homo sapiens GN=CUL4B PE=1 SV=4</t>
  </si>
  <si>
    <t>P83916</t>
  </si>
  <si>
    <t>921</t>
  </si>
  <si>
    <t>Chromobox protein homolog 1 OS=Homo sapiens GN=CBX1 PE=1 SV=1</t>
  </si>
  <si>
    <t>P07741</t>
  </si>
  <si>
    <t>567</t>
  </si>
  <si>
    <t>Adenine phosphoribosyltransferase OS=Homo sapiens GN=APRT PE=1 SV=2</t>
  </si>
  <si>
    <t>Q9UHD8</t>
  </si>
  <si>
    <t>512</t>
  </si>
  <si>
    <t>Septin-9 OS=Homo sapiens GN=SEPT9 PE=1 SV=2</t>
  </si>
  <si>
    <t>A6NDG6</t>
  </si>
  <si>
    <t>137</t>
  </si>
  <si>
    <t>Glycerol-3-phosphate phosphatase OS=Homo sapiens GN=PGP PE=1 SV=1</t>
  </si>
  <si>
    <t>P56192</t>
  </si>
  <si>
    <t>427</t>
  </si>
  <si>
    <t>Methionine--tRNA ligase, cytoplasmic OS=Homo sapiens GN=MARS PE=1 SV=2</t>
  </si>
  <si>
    <t>Q9P0L0</t>
  </si>
  <si>
    <t>867</t>
  </si>
  <si>
    <t>Vesicle-associated membrane protein-associated protein A OS=Homo sapiens GN=VAPA PE=1 SV=3</t>
  </si>
  <si>
    <t>Q9P287</t>
  </si>
  <si>
    <t>425</t>
  </si>
  <si>
    <t>BRCA2 and CDKN1A-interacting protein OS=Homo sapiens GN=BCCIP PE=1 SV=1</t>
  </si>
  <si>
    <t>Q14118</t>
  </si>
  <si>
    <t>947</t>
  </si>
  <si>
    <t>Dystroglycan OS=Homo sapiens GN=DAG1 PE=1 SV=2</t>
  </si>
  <si>
    <t>P30154</t>
  </si>
  <si>
    <t>391</t>
  </si>
  <si>
    <t>Serine/threonine-protein phosphatase 2A 65 kDa regulatory subunit A beta isoform OS=Homo sapiens GN=PPP2R1B PE=1 SV=3</t>
  </si>
  <si>
    <t>P53992</t>
  </si>
  <si>
    <t>349</t>
  </si>
  <si>
    <t>Protein transport protein Sec24C OS=Homo sapiens GN=SEC24C PE=1 SV=3</t>
  </si>
  <si>
    <t>Q7LBC6</t>
  </si>
  <si>
    <t>518</t>
  </si>
  <si>
    <t>Lysine-specific demethylase 3B OS=Homo sapiens GN=KDM3B PE=1 SV=2</t>
  </si>
  <si>
    <t>P42704</t>
  </si>
  <si>
    <t>1195</t>
  </si>
  <si>
    <t>Leucine-rich PPR motif-containing protein, mitochondrial OS=Homo sapiens GN=LRPPRC PE=1 SV=3</t>
  </si>
  <si>
    <t>Q7Z4W1</t>
  </si>
  <si>
    <t>127</t>
  </si>
  <si>
    <t>L-xylulose reductase OS=Homo sapiens GN=DCXR PE=1 SV=2</t>
  </si>
  <si>
    <t>Q96F85</t>
  </si>
  <si>
    <t>1026</t>
  </si>
  <si>
    <t>CB1 cannabinoid receptor-interacting protein 1 OS=Homo sapiens GN=CNRIP1 PE=1 SV=1</t>
  </si>
  <si>
    <t>P49915</t>
  </si>
  <si>
    <t>875</t>
  </si>
  <si>
    <t>GMP synthase [glutamine-hydrolyzing] OS=Homo sapiens GN=GMPS PE=1 SV=1</t>
  </si>
  <si>
    <t>O14662</t>
  </si>
  <si>
    <t>442</t>
  </si>
  <si>
    <t>Syntaxin-16 OS=Homo sapiens GN=STX16 PE=1 SV=3</t>
  </si>
  <si>
    <t>Q13492</t>
  </si>
  <si>
    <t>339</t>
  </si>
  <si>
    <t>Phosphatidylinositol-binding clathrin assembly protein OS=Homo sapiens GN=PICALM PE=1 SV=2</t>
  </si>
  <si>
    <t>P61026</t>
  </si>
  <si>
    <t>132</t>
  </si>
  <si>
    <t>Ras-related protein Rab-10 OS=Homo sapiens GN=RAB10 PE=1 SV=1</t>
  </si>
  <si>
    <t>Q8WYA6</t>
  </si>
  <si>
    <t>576</t>
  </si>
  <si>
    <t>Beta-catenin-like protein 1 OS=Homo sapiens GN=CTNNBL1 PE=1 SV=1</t>
  </si>
  <si>
    <t>Q9Y237</t>
  </si>
  <si>
    <t>574</t>
  </si>
  <si>
    <t>Peptidyl-prolyl cis-trans isomerase NIMA-interacting 4 OS=Homo sapiens GN=PIN4 PE=1 SV=1</t>
  </si>
  <si>
    <t>P49207</t>
  </si>
  <si>
    <t>1116</t>
  </si>
  <si>
    <t>60S ribosomal protein L34 OS=Homo sapiens GN=RPL34 PE=1 SV=3</t>
  </si>
  <si>
    <t>P05114</t>
  </si>
  <si>
    <t>561</t>
  </si>
  <si>
    <t>Non-histone chromosomal protein HMG-14 OS=Homo sapiens GN=HMGN1 PE=1 SV=3</t>
  </si>
  <si>
    <t>Q9Y617</t>
  </si>
  <si>
    <t>47</t>
  </si>
  <si>
    <t>Phosphoserine aminotransferase OS=Homo sapiens GN=PSAT1 PE=1 SV=2</t>
  </si>
  <si>
    <t>Q10713</t>
  </si>
  <si>
    <t>812</t>
  </si>
  <si>
    <t>Mitochondrial-processing peptidase subunit alpha OS=Homo sapiens GN=PMPCA PE=1 SV=2</t>
  </si>
  <si>
    <t>P63151</t>
  </si>
  <si>
    <t>1190</t>
  </si>
  <si>
    <t>Serine/threonine-protein phosphatase 2A 55 kDa regulatory subunit B alpha isoform OS=Homo sapiens GN=PPP2R2A PE=1 SV=1</t>
  </si>
  <si>
    <t>P18077</t>
  </si>
  <si>
    <t>822</t>
  </si>
  <si>
    <t>60S ribosomal protein L35a OS=Homo sapiens GN=RPL35A PE=1 SV=2</t>
  </si>
  <si>
    <t>P40121</t>
  </si>
  <si>
    <t>119</t>
  </si>
  <si>
    <t>Macrophage-capping protein OS=Homo sapiens GN=CAPG PE=1 SV=2</t>
  </si>
  <si>
    <t>P15559</t>
  </si>
  <si>
    <t>118</t>
  </si>
  <si>
    <t>NAD(P)H dehydrogenase [quinone] 1 OS=Homo sapiens GN=NQO1 PE=1 SV=1</t>
  </si>
  <si>
    <t>P62195</t>
  </si>
  <si>
    <t>344</t>
  </si>
  <si>
    <t>26S proteasome regulatory subunit 8 OS=Homo sapiens GN=PSMC5 PE=1 SV=1</t>
  </si>
  <si>
    <t>P04844</t>
  </si>
  <si>
    <t>Dolichyl-diphosphooligosaccharide--protein glycosyltransferase subunit 2 OS=Homo sapiens GN=RPN2 PE=1 SV=3</t>
  </si>
  <si>
    <t>P06756</t>
  </si>
  <si>
    <t>366</t>
  </si>
  <si>
    <t>Integrin alpha-V OS=Homo sapiens GN=ITGAV PE=1 SV=2</t>
  </si>
  <si>
    <t>P11216</t>
  </si>
  <si>
    <t>876</t>
  </si>
  <si>
    <t>Glycogen phosphorylase, brain form OS=Homo sapiens GN=PYGB PE=1 SV=5</t>
  </si>
  <si>
    <t>P08621</t>
  </si>
  <si>
    <t>186</t>
  </si>
  <si>
    <t>U1 small nuclear ribonucleoprotein 70 kDa OS=Homo sapiens GN=SNRNP70 PE=1 SV=2</t>
  </si>
  <si>
    <t>P35613</t>
  </si>
  <si>
    <t>1181</t>
  </si>
  <si>
    <t>Basigin OS=Homo sapiens GN=BSG PE=1 SV=2</t>
  </si>
  <si>
    <t>P41227</t>
  </si>
  <si>
    <t>1186</t>
  </si>
  <si>
    <t>N-alpha-acetyltransferase 10 OS=Homo sapiens GN=NAA10 PE=1 SV=1</t>
  </si>
  <si>
    <t>Q9HB71</t>
  </si>
  <si>
    <t>335</t>
  </si>
  <si>
    <t>Calcyclin-binding protein OS=Homo sapiens GN=CACYBP PE=1 SV=2</t>
  </si>
  <si>
    <t>Q8IZ83</t>
  </si>
  <si>
    <t>507</t>
  </si>
  <si>
    <t>Aldehyde dehydrogenase family 16 member A1 OS=Homo sapiens GN=ALDH16A1 PE=1 SV=2</t>
  </si>
  <si>
    <t>Q9HB07</t>
  </si>
  <si>
    <t>138</t>
  </si>
  <si>
    <t>UPF0160 protein MYG1, mitochondrial OS=Homo sapiens GN=C12orf10 PE=1 SV=2</t>
  </si>
  <si>
    <t>O94903</t>
  </si>
  <si>
    <t>955</t>
  </si>
  <si>
    <t>Pyridoxal phosphate homeostasis protein OS=Homo sapiens GN=PROSC PE=1 SV=1</t>
  </si>
  <si>
    <t>P35998</t>
  </si>
  <si>
    <t>1100</t>
  </si>
  <si>
    <t>26S proteasome regulatory subunit 7 OS=Homo sapiens GN=PSMC2 PE=1 SV=3</t>
  </si>
  <si>
    <t>Q9BR76</t>
  </si>
  <si>
    <t>631</t>
  </si>
  <si>
    <t>Coronin-1B OS=Homo sapiens GN=CORO1B PE=1 SV=1</t>
  </si>
  <si>
    <t>O95831</t>
  </si>
  <si>
    <t>62</t>
  </si>
  <si>
    <t>Apoptosis-inducing factor 1, mitochondrial OS=Homo sapiens GN=AIFM1 PE=1 SV=1</t>
  </si>
  <si>
    <t>P54105</t>
  </si>
  <si>
    <t>721</t>
  </si>
  <si>
    <t>Methylosome subunit pICln OS=Homo sapiens GN=CLNS1A PE=1 SV=1</t>
  </si>
  <si>
    <t>Q86X55</t>
  </si>
  <si>
    <t>206</t>
  </si>
  <si>
    <t>Histone-arginine methyltransferase CARM1 OS=Homo sapiens GN=CARM1 PE=1 SV=3</t>
  </si>
  <si>
    <t>Q12931</t>
  </si>
  <si>
    <t>722</t>
  </si>
  <si>
    <t>Heat shock protein 75 kDa, mitochondrial OS=Homo sapiens GN=TRAP1 PE=1 SV=3</t>
  </si>
  <si>
    <t>Q9P2E9</t>
  </si>
  <si>
    <t>Ribosome-binding protein 1 OS=Homo sapiens GN=RRBP1 PE=1 SV=4</t>
  </si>
  <si>
    <t>Q07960</t>
  </si>
  <si>
    <t>714</t>
  </si>
  <si>
    <t>Rho GTPase-activating protein 1 OS=Homo sapiens GN=ARHGAP1 PE=1 SV=1</t>
  </si>
  <si>
    <t>P61758</t>
  </si>
  <si>
    <t>706</t>
  </si>
  <si>
    <t>Prefoldin subunit 3 OS=Homo sapiens GN=VBP1 PE=1 SV=3</t>
  </si>
  <si>
    <t>Q08623</t>
  </si>
  <si>
    <t>801</t>
  </si>
  <si>
    <t>Pseudouridine-5'-phosphatase OS=Homo sapiens GN=PUDP PE=1 SV=3</t>
  </si>
  <si>
    <t>P15090</t>
  </si>
  <si>
    <t>1004</t>
  </si>
  <si>
    <t>Fatty acid-binding protein, adipocyte OS=Homo sapiens GN=FABP4 PE=1 SV=3</t>
  </si>
  <si>
    <t>Q9Y5Z4</t>
  </si>
  <si>
    <t>1035</t>
  </si>
  <si>
    <t>Heme-binding protein 2 OS=Homo sapiens GN=HEBP2 PE=1 SV=1</t>
  </si>
  <si>
    <t>P05091</t>
  </si>
  <si>
    <t>618</t>
  </si>
  <si>
    <t>Aldehyde dehydrogenase, mitochondrial OS=Homo sapiens GN=ALDH2 PE=1 SV=2</t>
  </si>
  <si>
    <t>O00429</t>
  </si>
  <si>
    <t>712</t>
  </si>
  <si>
    <t>Dynamin-1-like protein OS=Homo sapiens GN=DNM1L PE=1 SV=2</t>
  </si>
  <si>
    <t>P11279</t>
  </si>
  <si>
    <t>1046</t>
  </si>
  <si>
    <t>Lysosome-associated membrane glycoprotein 1 OS=Homo sapiens GN=LAMP1 PE=1 SV=3</t>
  </si>
  <si>
    <t>Q9UHX1</t>
  </si>
  <si>
    <t>803</t>
  </si>
  <si>
    <t>Poly(U)-binding-splicing factor PUF60 OS=Homo sapiens GN=PUF60 PE=1 SV=1</t>
  </si>
  <si>
    <t>P46776</t>
  </si>
  <si>
    <t>266</t>
  </si>
  <si>
    <t>60S ribosomal protein L27a OS=Homo sapiens GN=RPL27A PE=1 SV=2</t>
  </si>
  <si>
    <t>Q14008</t>
  </si>
  <si>
    <t>198</t>
  </si>
  <si>
    <t>Cytoskeleton-associated protein 5 OS=Homo sapiens GN=CKAP5 PE=1 SV=3</t>
  </si>
  <si>
    <t>O00231</t>
  </si>
  <si>
    <t>267</t>
  </si>
  <si>
    <t>26S proteasome non-ATPase regulatory subunit 11 OS=Homo sapiens GN=PSMD11 PE=1 SV=3</t>
  </si>
  <si>
    <t>P62191</t>
  </si>
  <si>
    <t>798</t>
  </si>
  <si>
    <t>26S proteasome regulatory subunit 4 OS=Homo sapiens GN=PSMC1 PE=1 SV=1</t>
  </si>
  <si>
    <t>P17844</t>
  </si>
  <si>
    <t>689</t>
  </si>
  <si>
    <t>Probable ATP-dependent RNA helicase DDX5 OS=Homo sapiens GN=DDX5 PE=1 SV=1</t>
  </si>
  <si>
    <t>Q15075</t>
  </si>
  <si>
    <t>1097</t>
  </si>
  <si>
    <t>Early endosome antigen 1 OS=Homo sapiens GN=EEA1 PE=1 SV=2</t>
  </si>
  <si>
    <t>Q9UHN6</t>
  </si>
  <si>
    <t>247</t>
  </si>
  <si>
    <t>Cell surface hyaluronidase OS=Homo sapiens GN=TMEM2 PE=1 SV=1</t>
  </si>
  <si>
    <t>P61201</t>
  </si>
  <si>
    <t>1031</t>
  </si>
  <si>
    <t>COP9 signalosome complex subunit 2 OS=Homo sapiens GN=COPS2 PE=1 SV=1</t>
  </si>
  <si>
    <t>P00813</t>
  </si>
  <si>
    <t>498</t>
  </si>
  <si>
    <t>Adenosine deaminase OS=Homo sapiens GN=ADA PE=1 SV=3</t>
  </si>
  <si>
    <t>Q9ULA0</t>
  </si>
  <si>
    <t>949</t>
  </si>
  <si>
    <t>Aspartyl aminopeptidase OS=Homo sapiens GN=DNPEP PE=1 SV=1</t>
  </si>
  <si>
    <t>Q96FQ6</t>
  </si>
  <si>
    <t>Protein S100-A16 OS=Homo sapiens GN=S100A16 PE=1 SV=1</t>
  </si>
  <si>
    <t>Q9H3S7</t>
  </si>
  <si>
    <t>806</t>
  </si>
  <si>
    <t>Tyrosine-protein phosphatase non-receptor type 23 OS=Homo sapiens GN=PTPN23 PE=1 SV=1</t>
  </si>
  <si>
    <t>O60610</t>
  </si>
  <si>
    <t>629</t>
  </si>
  <si>
    <t>Protein diaphanous homolog 1 OS=Homo sapiens GN=DIAPH1 PE=1 SV=2</t>
  </si>
  <si>
    <t>Q03252</t>
  </si>
  <si>
    <t>760</t>
  </si>
  <si>
    <t>Lamin-B2 OS=Homo sapiens GN=LMNB2 PE=1 SV=4</t>
  </si>
  <si>
    <t>P36543</t>
  </si>
  <si>
    <t>V-type proton ATPase subunit E 1 OS=Homo sapiens GN=ATP6V1E1 PE=1 SV=1</t>
  </si>
  <si>
    <t>P36551</t>
  </si>
  <si>
    <t>Oxygen-dependent coproporphyrinogen-III oxidase, mitochondrial OS=Homo sapiens GN=CPOX PE=1 SV=3</t>
  </si>
  <si>
    <t>O43681</t>
  </si>
  <si>
    <t>635</t>
  </si>
  <si>
    <t>ATPase ASNA1 OS=Homo sapiens GN=ASNA1 PE=1 SV=2</t>
  </si>
  <si>
    <t>O43143</t>
  </si>
  <si>
    <t>1106</t>
  </si>
  <si>
    <t>Pre-mRNA-splicing factor ATP-dependent RNA helicase DHX15 OS=Homo sapiens GN=DHX15 PE=1 SV=2</t>
  </si>
  <si>
    <t>P36776</t>
  </si>
  <si>
    <t>Lon protease homolog, mitochondrial OS=Homo sapiens GN=LONP1 PE=1 SV=2</t>
  </si>
  <si>
    <t>P49756</t>
  </si>
  <si>
    <t>110</t>
  </si>
  <si>
    <t>RNA-binding protein 25 OS=Homo sapiens GN=RBM25 PE=1 SV=3</t>
  </si>
  <si>
    <t>P53004</t>
  </si>
  <si>
    <t>99</t>
  </si>
  <si>
    <t>Biliverdin reductase A OS=Homo sapiens GN=BLVRA PE=1 SV=2</t>
  </si>
  <si>
    <t>P10644</t>
  </si>
  <si>
    <t>cAMP-dependent protein kinase type I-alpha regulatory subunit OS=Homo sapiens GN=PRKAR1A PE=1 SV=1</t>
  </si>
  <si>
    <t>Q9NVA2</t>
  </si>
  <si>
    <t>273</t>
  </si>
  <si>
    <t>Septin-11 OS=Homo sapiens GN=SEPT11 PE=1 SV=3</t>
  </si>
  <si>
    <t>O75146</t>
  </si>
  <si>
    <t>566</t>
  </si>
  <si>
    <t>Huntingtin-interacting protein 1-related protein OS=Homo sapiens GN=HIP1R PE=1 SV=2</t>
  </si>
  <si>
    <t>P62736</t>
  </si>
  <si>
    <t>1170</t>
  </si>
  <si>
    <t>Actin, aortic smooth muscle OS=Homo sapiens GN=ACTA2 PE=1 SV=1</t>
  </si>
  <si>
    <t>P35556</t>
  </si>
  <si>
    <t>948</t>
  </si>
  <si>
    <t>Fibrillin-2 OS=Homo sapiens GN=FBN2 PE=1 SV=3</t>
  </si>
  <si>
    <t>Q9Y295</t>
  </si>
  <si>
    <t>486</t>
  </si>
  <si>
    <t>Developmentally-regulated GTP-binding protein 1 OS=Homo sapiens GN=DRG1 PE=1 SV=1</t>
  </si>
  <si>
    <t>P28074</t>
  </si>
  <si>
    <t>488</t>
  </si>
  <si>
    <t>Proteasome subunit beta type-5 OS=Homo sapiens GN=PSMB5 PE=1 SV=3</t>
  </si>
  <si>
    <t>Q15393</t>
  </si>
  <si>
    <t>491</t>
  </si>
  <si>
    <t>Splicing factor 3B subunit 3 OS=Homo sapiens GN=SF3B3 PE=1 SV=4</t>
  </si>
  <si>
    <t>Q14258</t>
  </si>
  <si>
    <t>957</t>
  </si>
  <si>
    <t>E3 ubiquitin/ISG15 ligase TRIM25 OS=Homo sapiens GN=TRIM25 PE=1 SV=2</t>
  </si>
  <si>
    <t>O75874</t>
  </si>
  <si>
    <t>0.246762662569634</t>
  </si>
  <si>
    <t>974</t>
  </si>
  <si>
    <t>Isocitrate dehydrogenase [NADP] cytoplasmic OS=Homo sapiens GN=IDH1 PE=1 SV=2</t>
  </si>
  <si>
    <t>P37108</t>
  </si>
  <si>
    <t>0.250128973528966</t>
  </si>
  <si>
    <t>1091</t>
  </si>
  <si>
    <t>Signal recognition particle 14 kDa protein OS=Homo sapiens GN=SRP14 PE=1 SV=2</t>
  </si>
  <si>
    <t>P62280</t>
  </si>
  <si>
    <t>991</t>
  </si>
  <si>
    <t>40S ribosomal protein S11 OS=Homo sapiens GN=RPS11 PE=1 SV=3</t>
  </si>
  <si>
    <t>P61970</t>
  </si>
  <si>
    <t>924</t>
  </si>
  <si>
    <t>Nuclear transport factor 2 OS=Homo sapiens GN=NUTF2 PE=1 SV=1</t>
  </si>
  <si>
    <t>P35268</t>
  </si>
  <si>
    <t>935</t>
  </si>
  <si>
    <t>60S ribosomal protein L22 OS=Homo sapiens GN=RPL22 PE=1 SV=2</t>
  </si>
  <si>
    <t>P29144</t>
  </si>
  <si>
    <t>723</t>
  </si>
  <si>
    <t>Tripeptidyl-peptidase 2 OS=Homo sapiens GN=TPP2 PE=1 SV=4</t>
  </si>
  <si>
    <t>P27824</t>
  </si>
  <si>
    <t>1010</t>
  </si>
  <si>
    <t>Calnexin OS=Homo sapiens GN=CANX PE=1 SV=2</t>
  </si>
  <si>
    <t>Q13185</t>
  </si>
  <si>
    <t>Chromobox protein homolog 3 OS=Homo sapiens GN=CBX3 PE=1 SV=4</t>
  </si>
  <si>
    <t>P63173</t>
  </si>
  <si>
    <t>240</t>
  </si>
  <si>
    <t>60S ribosomal protein L38 OS=Homo sapiens GN=RPL38 PE=1 SV=2</t>
  </si>
  <si>
    <t>P46783</t>
  </si>
  <si>
    <t>704</t>
  </si>
  <si>
    <t>40S ribosomal protein S10 OS=Homo sapiens GN=RPS10 PE=1 SV=1</t>
  </si>
  <si>
    <t>P28065</t>
  </si>
  <si>
    <t>0.251784656306685</t>
  </si>
  <si>
    <t>831</t>
  </si>
  <si>
    <t>Proteasome subunit beta type-9 OS=Homo sapiens GN=PSMB9 PE=1 SV=2</t>
  </si>
  <si>
    <t>P41091</t>
  </si>
  <si>
    <t>51</t>
  </si>
  <si>
    <t>Eukaryotic translation initiation factor 2 subunit 3 OS=Homo sapiens GN=EIF2S3 PE=1 SV=3</t>
  </si>
  <si>
    <t>Q4G0J3</t>
  </si>
  <si>
    <t>597</t>
  </si>
  <si>
    <t>La-related protein 7 OS=Homo sapiens GN=LARP7 PE=1 SV=1</t>
  </si>
  <si>
    <t>Q14232</t>
  </si>
  <si>
    <t>379</t>
  </si>
  <si>
    <t>Translation initiation factor eIF-2B subunit alpha OS=Homo sapiens GN=EIF2B1 PE=1 SV=1</t>
  </si>
  <si>
    <t>Q13217</t>
  </si>
  <si>
    <t>752</t>
  </si>
  <si>
    <t>DnaJ homolog subfamily C member 3 OS=Homo sapiens GN=DNAJC3 PE=1 SV=1</t>
  </si>
  <si>
    <t>Q92520</t>
  </si>
  <si>
    <t>213</t>
  </si>
  <si>
    <t>Protein FAM3C OS=Homo sapiens GN=FAM3C PE=1 SV=1</t>
  </si>
  <si>
    <t>P31151</t>
  </si>
  <si>
    <t>966</t>
  </si>
  <si>
    <t>Protein S100-A7 OS=Homo sapiens GN=S100A7 PE=1 SV=4</t>
  </si>
  <si>
    <t>Q5JTJ3</t>
  </si>
  <si>
    <t>524</t>
  </si>
  <si>
    <t>Cytochrome c oxidase assembly factor 6 homolog OS=Homo sapiens GN=COA6 PE=1 SV=1</t>
  </si>
  <si>
    <t>Q9UK45</t>
  </si>
  <si>
    <t>830</t>
  </si>
  <si>
    <t>U6 snRNA-associated Sm-like protein LSm7 OS=Homo sapiens GN=LSM7 PE=1 SV=1</t>
  </si>
  <si>
    <t>Q14162</t>
  </si>
  <si>
    <t>1125</t>
  </si>
  <si>
    <t>Scavenger receptor class F member 1 OS=Homo sapiens GN=SCARF1 PE=1 SV=3</t>
  </si>
  <si>
    <t>O15372</t>
  </si>
  <si>
    <t>596</t>
  </si>
  <si>
    <t>Eukaryotic translation initiation factor 3 subunit H OS=Homo sapiens GN=EIF3H PE=1 SV=1</t>
  </si>
  <si>
    <t>Q14112</t>
  </si>
  <si>
    <t>754</t>
  </si>
  <si>
    <t>Nidogen-2 OS=Homo sapiens GN=NID2 PE=1 SV=3</t>
  </si>
  <si>
    <t>O00743</t>
  </si>
  <si>
    <t>969</t>
  </si>
  <si>
    <t>Serine/threonine-protein phosphatase 6 catalytic subunit OS=Homo sapiens GN=PPP6C PE=1 SV=1</t>
  </si>
  <si>
    <t>P51884</t>
  </si>
  <si>
    <t>148</t>
  </si>
  <si>
    <t>Lumican OS=Homo sapiens GN=LUM PE=1 SV=2</t>
  </si>
  <si>
    <t>P09914</t>
  </si>
  <si>
    <t>523</t>
  </si>
  <si>
    <t>Interferon-induced protein with tetratricopeptide repeats 1 OS=Homo sapiens GN=IFIT1 PE=1 SV=2</t>
  </si>
  <si>
    <t>O75830</t>
  </si>
  <si>
    <t>1062</t>
  </si>
  <si>
    <t>Serpin I2 OS=Homo sapiens GN=SERPINI2 PE=1 SV=1</t>
  </si>
  <si>
    <t>Q9Y240</t>
  </si>
  <si>
    <t>151</t>
  </si>
  <si>
    <t>C-type lectin domain family 11 member A OS=Homo sapiens GN=CLEC11A PE=1 SV=1</t>
  </si>
  <si>
    <t>O95336</t>
  </si>
  <si>
    <t>6-phosphogluconolactonase OS=Homo sapiens GN=PGLS PE=1 SV=2</t>
  </si>
  <si>
    <t>Q13155</t>
  </si>
  <si>
    <t>290</t>
  </si>
  <si>
    <t>Aminoacyl tRNA synthase complex-interacting multifunctional protein 2 OS=Homo sapiens GN=AIMP2 PE=1 SV=2</t>
  </si>
  <si>
    <t>Q8TBY9</t>
  </si>
  <si>
    <t>1156</t>
  </si>
  <si>
    <t>Cilia- and flagella-associated protein 251 OS=Homo sapiens GN=WDR66 PE=2 SV=2</t>
  </si>
  <si>
    <t>Q9Y383</t>
  </si>
  <si>
    <t>153</t>
  </si>
  <si>
    <t>Putative RNA-binding protein Luc7-like 2 OS=Homo sapiens GN=LUC7L2 PE=1 SV=2</t>
  </si>
  <si>
    <t>P19174</t>
  </si>
  <si>
    <t>1159</t>
  </si>
  <si>
    <t>1-phosphatidylinositol 4,5-bisphosphate phosphodiesterase gamma-1 OS=Homo sapiens GN=PLCG1 PE=1 SV=1</t>
  </si>
  <si>
    <t>Q96EU7</t>
  </si>
  <si>
    <t>C1GALT1-specific chaperone 1 OS=Homo sapiens GN=C1GALT1C1 PE=1 SV=1</t>
  </si>
  <si>
    <t>P14210</t>
  </si>
  <si>
    <t>73</t>
  </si>
  <si>
    <t>Hepatocyte growth factor OS=Homo sapiens GN=HGF PE=1 SV=2</t>
  </si>
  <si>
    <t>Q9Y2B0</t>
  </si>
  <si>
    <t>1123</t>
  </si>
  <si>
    <t>Protein canopy homolog 2 OS=Homo sapiens GN=CNPY2 PE=1 SV=1</t>
  </si>
  <si>
    <t>Q15198</t>
  </si>
  <si>
    <t>289</t>
  </si>
  <si>
    <t>Platelet-derived growth factor receptor-like protein OS=Homo sapiens GN=PDGFRL PE=1 SV=1</t>
  </si>
  <si>
    <t>P29317</t>
  </si>
  <si>
    <t>1160</t>
  </si>
  <si>
    <t>Ephrin type-A receptor 2 OS=Homo sapiens GN=EPHA2 PE=1 SV=2</t>
  </si>
  <si>
    <t>P08779</t>
  </si>
  <si>
    <t>663</t>
  </si>
  <si>
    <t>Keratin, type I cytoskeletal 16 OS=Homo sapiens GN=KRT16 PE=1 SV=4</t>
  </si>
  <si>
    <t>Q8NHP8</t>
  </si>
  <si>
    <t>150</t>
  </si>
  <si>
    <t>Putative phospholipase B-like 2 OS=Homo sapiens GN=PLBD2 PE=1 SV=2</t>
  </si>
  <si>
    <t>Q9NRX4</t>
  </si>
  <si>
    <t>210</t>
  </si>
  <si>
    <t>14 kDa phosphohistidine phosphatase OS=Homo sapiens GN=PHPT1 PE=1 SV=1</t>
  </si>
  <si>
    <t>Q7Z7A1</t>
  </si>
  <si>
    <t>291</t>
  </si>
  <si>
    <t>Centriolin OS=Homo sapiens GN=CNTRL PE=1 SV=2</t>
  </si>
  <si>
    <t>P25774</t>
  </si>
  <si>
    <t>1126</t>
  </si>
  <si>
    <t>Cathepsin S OS=Homo sapiens GN=CTSS PE=1 SV=3</t>
  </si>
  <si>
    <t>Q11201</t>
  </si>
  <si>
    <t>967</t>
  </si>
  <si>
    <t>CMP-N-acetylneuraminate-beta-galactosamide-alpha-2,3-sialyltransferase 1 OS=Homo sapiens GN=ST3GAL1 PE=2 SV=1</t>
  </si>
  <si>
    <t>O00487</t>
  </si>
  <si>
    <t>211</t>
  </si>
  <si>
    <t>26S proteasome non-ATPase regulatory subunit 14 OS=Homo sapiens GN=PSMD14 PE=1 SV=1</t>
  </si>
  <si>
    <t>Q9Y6K5</t>
  </si>
  <si>
    <t>374</t>
  </si>
  <si>
    <t>2'-5'-oligoadenylate synthase 3 OS=Homo sapiens GN=OAS3 PE=1 SV=3</t>
  </si>
  <si>
    <t>P18085</t>
  </si>
  <si>
    <t>933</t>
  </si>
  <si>
    <t>ADP-ribosylation factor 4 OS=Homo sapiens GN=ARF4 PE=1 SV=3</t>
  </si>
  <si>
    <t>O00151</t>
  </si>
  <si>
    <t>214</t>
  </si>
  <si>
    <t>PDZ and LIM domain protein 1 OS=Homo sapiens GN=PDLIM1 PE=1 SV=4</t>
  </si>
  <si>
    <t>P05155</t>
  </si>
  <si>
    <t>674</t>
  </si>
  <si>
    <t>Plasma protease C1 inhibitor OS=Homo sapiens GN=SERPING1 PE=1 SV=2</t>
  </si>
  <si>
    <t>Q6ZSJ9</t>
  </si>
  <si>
    <t>1127</t>
  </si>
  <si>
    <t>Protein shisa-6 homolog OS=Homo sapiens GN=SHISA6 PE=2 SV=2</t>
  </si>
  <si>
    <t>Q15582</t>
  </si>
  <si>
    <t>751</t>
  </si>
  <si>
    <t>Transforming growth factor-beta-induced protein ig-h3 OS=Homo sapiens GN=TGFBI PE=1 SV=1</t>
  </si>
  <si>
    <t>Q9UHI8</t>
  </si>
  <si>
    <t>753</t>
  </si>
  <si>
    <t>A disintegrin and metalloproteinase with thrombospondin motifs 1 OS=Homo sapiens GN=ADAMTS1 PE=1 SV=4</t>
  </si>
  <si>
    <t>O15212</t>
  </si>
  <si>
    <t>376</t>
  </si>
  <si>
    <t>Prefoldin subunit 6 OS=Homo sapiens GN=PFDN6 PE=1 SV=1</t>
  </si>
  <si>
    <t>O00115</t>
  </si>
  <si>
    <t>378</t>
  </si>
  <si>
    <t>Deoxyribonuclease-2-alpha OS=Homo sapiens GN=DNASE2 PE=1 SV=2</t>
  </si>
  <si>
    <t>P30481</t>
  </si>
  <si>
    <t>548</t>
  </si>
  <si>
    <t>HLA class I histocompatibility antigen, B-44 alpha chain OS=Homo sapiens GN=HLA-B PE=1 SV=1</t>
  </si>
  <si>
    <t>Q76FK4</t>
  </si>
  <si>
    <t>675</t>
  </si>
  <si>
    <t>Nucleolar protein 8 OS=Homo sapiens GN=NOL8 PE=1 SV=1</t>
  </si>
  <si>
    <t>P07108</t>
  </si>
  <si>
    <t>1135</t>
  </si>
  <si>
    <t>Acyl-CoA-binding protein OS=Homo sapiens GN=DBI PE=1 SV=2</t>
  </si>
  <si>
    <t>O14994</t>
  </si>
  <si>
    <t>833</t>
  </si>
  <si>
    <t>Synapsin-3 OS=Homo sapiens GN=SYN3 PE=1 SV=2</t>
  </si>
  <si>
    <t>Q9Y3B8</t>
  </si>
  <si>
    <t>375</t>
  </si>
  <si>
    <t>Oligoribonuclease, mitochondrial OS=Homo sapiens GN=REXO2 PE=1 SV=3</t>
  </si>
  <si>
    <t>Q9HAT2</t>
  </si>
  <si>
    <t>377</t>
  </si>
  <si>
    <t>Sialate O-acetylesterase OS=Homo sapiens GN=SIAE PE=1 SV=1</t>
  </si>
  <si>
    <t>Q8N6G6</t>
  </si>
  <si>
    <t>451</t>
  </si>
  <si>
    <t>ADAMTS-like protein 1 OS=Homo sapiens GN=ADAMTSL1 PE=1 SV=4</t>
  </si>
  <si>
    <t>P45877</t>
  </si>
  <si>
    <t>595</t>
  </si>
  <si>
    <t>Peptidyl-prolyl cis-trans isomerase C OS=Homo sapiens GN=PPIC PE=1 SV=1</t>
  </si>
  <si>
    <t>Q8NCL4</t>
  </si>
  <si>
    <t>895</t>
  </si>
  <si>
    <t>Polypeptide N-acetylgalactosaminyltransferase 6 OS=Homo sapiens GN=GALNT6 PE=2 SV=2</t>
  </si>
  <si>
    <t>contaminant_UBIQUITIN02</t>
  </si>
  <si>
    <t>649</t>
  </si>
  <si>
    <t>Q9H7Y0</t>
  </si>
  <si>
    <t>1154</t>
  </si>
  <si>
    <t>Deleted in autism-related protein 1 OS=Homo sapiens GN=CXorf36 PE=2 SV=3</t>
  </si>
  <si>
    <t>P19971</t>
  </si>
  <si>
    <t>1122</t>
  </si>
  <si>
    <t>Thymidine phosphorylase OS=Homo sapiens GN=TYMP PE=1 SV=2</t>
  </si>
  <si>
    <t>O00469</t>
  </si>
  <si>
    <t>1051</t>
  </si>
  <si>
    <t>Procollagen-lysine,2-oxoglutarate 5-dioxygenase 2 OS=Homo sapiens GN=PLOD2 PE=1 SV=2</t>
  </si>
  <si>
    <t>P31689</t>
  </si>
  <si>
    <t>1049</t>
  </si>
  <si>
    <t>DnaJ homolog subfamily A member 1 OS=Homo sapiens GN=DNAJA1 PE=1 SV=2</t>
  </si>
  <si>
    <t>P62310</t>
  </si>
  <si>
    <t>750</t>
  </si>
  <si>
    <t>U6 snRNA-associated Sm-like protein LSm3 OS=Homo sapiens GN=LSM3 PE=1 SV=2</t>
  </si>
  <si>
    <t>P08582</t>
  </si>
  <si>
    <t>592</t>
  </si>
  <si>
    <t>Melanotransferrin OS=Homo sapiens GN=MELTF PE=1 SV=2</t>
  </si>
  <si>
    <t>Q86UD1</t>
  </si>
  <si>
    <t>968</t>
  </si>
  <si>
    <t>Out at first protein homolog OS=Homo sapiens GN=OAF PE=2 SV=1</t>
  </si>
  <si>
    <t>P49747</t>
  </si>
  <si>
    <t>900</t>
  </si>
  <si>
    <t>Cartilage oligomeric matrix protein OS=Homo sapiens GN=COMP PE=1 SV=2</t>
  </si>
  <si>
    <t>Q9BQ51</t>
  </si>
  <si>
    <t>594</t>
  </si>
  <si>
    <t>Programmed cell death 1 ligand 2 OS=Homo sapiens GN=PDCD1LG2 PE=1 SV=2</t>
  </si>
  <si>
    <t>P25398</t>
  </si>
  <si>
    <t>896</t>
  </si>
  <si>
    <t>40S ribosomal protein S12 OS=Homo sapiens GN=RPS12 PE=1 SV=3</t>
  </si>
  <si>
    <t>Q9NZ08</t>
  </si>
  <si>
    <t>593</t>
  </si>
  <si>
    <t>Endoplasmic reticulum aminopeptidase 1 OS=Homo sapiens GN=ERAP1 PE=1 SV=3</t>
  </si>
  <si>
    <t>P13497</t>
  </si>
  <si>
    <t>894</t>
  </si>
  <si>
    <t>Bone morphogenetic protein 1 OS=Homo sapiens GN=BMP1 PE=1 SV=2</t>
  </si>
  <si>
    <t>Q9UL46</t>
  </si>
  <si>
    <t>0.25271914143623</t>
  </si>
  <si>
    <t>314</t>
  </si>
  <si>
    <t>Proteasome activator complex subunit 2 OS=Homo sapiens GN=PSME2 PE=1 SV=4</t>
  </si>
  <si>
    <t>P78417</t>
  </si>
  <si>
    <t>1.24083926564256</t>
  </si>
  <si>
    <t>0.253492200940089</t>
  </si>
  <si>
    <t>686</t>
  </si>
  <si>
    <t>Glutathione S-transferase omega-1 OS=Homo sapiens GN=GSTO1 PE=1 SV=2</t>
  </si>
  <si>
    <t>P61916</t>
  </si>
  <si>
    <t>-1.28391911749904</t>
  </si>
  <si>
    <t>0.263510099271943</t>
  </si>
  <si>
    <t>531</t>
  </si>
  <si>
    <t>Epididymal secretory protein E1 OS=Homo sapiens GN=NPC2 PE=1 SV=1</t>
  </si>
  <si>
    <t>P15291</t>
  </si>
  <si>
    <t>0.268033092528059</t>
  </si>
  <si>
    <t>508</t>
  </si>
  <si>
    <t>Beta-1,4-galactosyltransferase 1 OS=Homo sapiens GN=B4GALT1 PE=1 SV=5</t>
  </si>
  <si>
    <t>Q9NR50</t>
  </si>
  <si>
    <t>745</t>
  </si>
  <si>
    <t>Translation initiation factor eIF-2B subunit gamma OS=Homo sapiens GN=EIF2B3 PE=1 SV=1</t>
  </si>
  <si>
    <t>P05543</t>
  </si>
  <si>
    <t>740</t>
  </si>
  <si>
    <t>Thyroxine-binding globulin OS=Homo sapiens GN=SERPINA7 PE=1 SV=2</t>
  </si>
  <si>
    <t>P23142</t>
  </si>
  <si>
    <t>278</t>
  </si>
  <si>
    <t>Fibulin-1 OS=Homo sapiens GN=FBLN1 PE=1 SV=4</t>
  </si>
  <si>
    <t>O75787</t>
  </si>
  <si>
    <t>632</t>
  </si>
  <si>
    <t>Renin receptor OS=Homo sapiens GN=ATP6AP2 PE=1 SV=2</t>
  </si>
  <si>
    <t>Q15435</t>
  </si>
  <si>
    <t>424</t>
  </si>
  <si>
    <t>Protein phosphatase 1 regulatory subunit 7 OS=Homo sapiens GN=PPP1R7 PE=1 SV=1</t>
  </si>
  <si>
    <t>Q01638</t>
  </si>
  <si>
    <t>355</t>
  </si>
  <si>
    <t>Interleukin-1 receptor-like 1 OS=Homo sapiens GN=IL1RL1 PE=1 SV=4</t>
  </si>
  <si>
    <t>Q9GZP0</t>
  </si>
  <si>
    <t>360</t>
  </si>
  <si>
    <t>Platelet-derived growth factor D OS=Homo sapiens GN=PDGFD PE=1 SV=1</t>
  </si>
  <si>
    <t>P01042</t>
  </si>
  <si>
    <t>443</t>
  </si>
  <si>
    <t>Kininogen-1 OS=Homo sapiens GN=KNG1 PE=1 SV=2</t>
  </si>
  <si>
    <t>Q9P1F3</t>
  </si>
  <si>
    <t>259</t>
  </si>
  <si>
    <t>Costars family protein ABRACL OS=Homo sapiens GN=ABRACL PE=1 SV=1</t>
  </si>
  <si>
    <t>P28062</t>
  </si>
  <si>
    <t>636</t>
  </si>
  <si>
    <t>Proteasome subunit beta type-8 OS=Homo sapiens GN=PSMB8 PE=1 SV=3</t>
  </si>
  <si>
    <t>Q92743</t>
  </si>
  <si>
    <t>0.26879133114157</t>
  </si>
  <si>
    <t>1133</t>
  </si>
  <si>
    <t>Serine protease HTRA1 OS=Homo sapiens GN=HTRA1 PE=1 SV=1</t>
  </si>
  <si>
    <t>P27105</t>
  </si>
  <si>
    <t>534</t>
  </si>
  <si>
    <t>Erythrocyte band 7 integral membrane protein OS=Homo sapiens GN=STOM PE=1 SV=3</t>
  </si>
  <si>
    <t>P08253</t>
  </si>
  <si>
    <t>1.11961881430671</t>
  </si>
  <si>
    <t>0.273098582588257</t>
  </si>
  <si>
    <t>220</t>
  </si>
  <si>
    <t>72 kDa type IV collagenase OS=Homo sapiens GN=MMP2 PE=1 SV=2</t>
  </si>
  <si>
    <t>P55786</t>
  </si>
  <si>
    <t>1.3125322009908</t>
  </si>
  <si>
    <t>0.273432026858991</t>
  </si>
  <si>
    <t>307</t>
  </si>
  <si>
    <t>Puromycin-sensitive aminopeptidase OS=Homo sapiens GN=NPEPPS PE=1 SV=2</t>
  </si>
  <si>
    <t>P20742</t>
  </si>
  <si>
    <t>-1.33330062201824</t>
  </si>
  <si>
    <t>0.274315166357307</t>
  </si>
  <si>
    <t>647</t>
  </si>
  <si>
    <t>Pregnancy zone protein OS=Homo sapiens GN=PZP PE=1 SV=4</t>
  </si>
  <si>
    <t>P09603</t>
  </si>
  <si>
    <t>0.275150791967227</t>
  </si>
  <si>
    <t>1098</t>
  </si>
  <si>
    <t>Macrophage colony-stimulating factor 1 OS=Homo sapiens GN=CSF1 PE=1 SV=2</t>
  </si>
  <si>
    <t>Q9NQ88</t>
  </si>
  <si>
    <t>1145</t>
  </si>
  <si>
    <t>Fructose-2,6-bisphosphatase TIGAR OS=Homo sapiens GN=TIGAR PE=1 SV=1</t>
  </si>
  <si>
    <t>Q86T13</t>
  </si>
  <si>
    <t>246</t>
  </si>
  <si>
    <t>C-type lectin domain family 14 member A OS=Homo sapiens GN=CLEC14A PE=1 SV=1</t>
  </si>
  <si>
    <t>Q06323</t>
  </si>
  <si>
    <t>808</t>
  </si>
  <si>
    <t>Proteasome activator complex subunit 1 OS=Homo sapiens GN=PSME1 PE=1 SV=1</t>
  </si>
  <si>
    <t>P84243</t>
  </si>
  <si>
    <t>0.277934971240577</t>
  </si>
  <si>
    <t>1080</t>
  </si>
  <si>
    <t>Histone H3.3 OS=Homo sapiens GN=H3F3A PE=1 SV=2</t>
  </si>
  <si>
    <t>Q86V81</t>
  </si>
  <si>
    <t>434</t>
  </si>
  <si>
    <t>THO complex subunit 4 OS=Homo sapiens GN=ALYREF PE=1 SV=3</t>
  </si>
  <si>
    <t>O00560</t>
  </si>
  <si>
    <t>809</t>
  </si>
  <si>
    <t>Syntenin-1 OS=Homo sapiens GN=SDCBP PE=1 SV=1</t>
  </si>
  <si>
    <t>Q9UBS4</t>
  </si>
  <si>
    <t>-1.48144513557582</t>
  </si>
  <si>
    <t>0.27803704663882</t>
  </si>
  <si>
    <t>192</t>
  </si>
  <si>
    <t>DnaJ homolog subfamily B member 11 OS=Homo sapiens GN=DNAJB11 PE=1 SV=1</t>
  </si>
  <si>
    <t>Q9BZZ5</t>
  </si>
  <si>
    <t>1142</t>
  </si>
  <si>
    <t>Apoptosis inhibitor 5 OS=Homo sapiens GN=API5 PE=1 SV=3</t>
  </si>
  <si>
    <t>P55001</t>
  </si>
  <si>
    <t>-1.42218733015279</t>
  </si>
  <si>
    <t>0.278652018494126</t>
  </si>
  <si>
    <t>439</t>
  </si>
  <si>
    <t>Microfibrillar-associated protein 2 OS=Homo sapiens GN=MFAP2 PE=2 SV=1</t>
  </si>
  <si>
    <t>Q9Y266</t>
  </si>
  <si>
    <t>Nuclear migration protein nudC OS=Homo sapiens GN=NUDC PE=1 SV=1</t>
  </si>
  <si>
    <t>P62851</t>
  </si>
  <si>
    <t>0.285842620094815</t>
  </si>
  <si>
    <t>703</t>
  </si>
  <si>
    <t>40S ribosomal protein S25 OS=Homo sapiens GN=RPS25 PE=1 SV=1</t>
  </si>
  <si>
    <t>P48444</t>
  </si>
  <si>
    <t>Coatomer subunit delta OS=Homo sapiens GN=ARCN1 PE=1 SV=1</t>
  </si>
  <si>
    <t>O14579</t>
  </si>
  <si>
    <t>320</t>
  </si>
  <si>
    <t>Coatomer subunit epsilon OS=Homo sapiens GN=COPE PE=1 SV=3</t>
  </si>
  <si>
    <t>P30520</t>
  </si>
  <si>
    <t>1086</t>
  </si>
  <si>
    <t>Adenylosuccinate synthetase isozyme 2 OS=Homo sapiens GN=ADSS PE=1 SV=3</t>
  </si>
  <si>
    <t>P15586</t>
  </si>
  <si>
    <t>667</t>
  </si>
  <si>
    <t>N-acetylglucosamine-6-sulfatase OS=Homo sapiens GN=GNS PE=1 SV=3</t>
  </si>
  <si>
    <t>O15144</t>
  </si>
  <si>
    <t>0.292812456829271</t>
  </si>
  <si>
    <t>396</t>
  </si>
  <si>
    <t>Actin-related protein 2/3 complex subunit 2 OS=Homo sapiens GN=ARPC2 PE=1 SV=1</t>
  </si>
  <si>
    <t>P12955</t>
  </si>
  <si>
    <t>1.3259253867152</t>
  </si>
  <si>
    <t>0.293318495424556</t>
  </si>
  <si>
    <t>168</t>
  </si>
  <si>
    <t>Xaa-Pro dipeptidase OS=Homo sapiens GN=PEPD PE=1 SV=3</t>
  </si>
  <si>
    <t>Q13011</t>
  </si>
  <si>
    <t>0.30175093253202</t>
  </si>
  <si>
    <t>112</t>
  </si>
  <si>
    <t>Delta(3,5)-Delta(2,4)-dienoyl-CoA isomerase, mitochondrial OS=Homo sapiens GN=ECH1 PE=1 SV=2</t>
  </si>
  <si>
    <t>Q9UPN3</t>
  </si>
  <si>
    <t>128</t>
  </si>
  <si>
    <t>Microtubule-actin cross-linking factor 1, isoforms 1/2/3/5 OS=Homo sapiens GN=MACF1 PE=1 SV=4</t>
  </si>
  <si>
    <t>P05388</t>
  </si>
  <si>
    <t>89</t>
  </si>
  <si>
    <t>60S acidic ribosomal protein P0 OS=Homo sapiens GN=RPLP0 PE=1 SV=1</t>
  </si>
  <si>
    <t>O43396</t>
  </si>
  <si>
    <t>710</t>
  </si>
  <si>
    <t>Thioredoxin-like protein 1 OS=Homo sapiens GN=TXNL1 PE=1 SV=3</t>
  </si>
  <si>
    <t>P68371</t>
  </si>
  <si>
    <t>761</t>
  </si>
  <si>
    <t>Tubulin beta-4B chain OS=Homo sapiens GN=TUBB4B PE=1 SV=1</t>
  </si>
  <si>
    <t>Q13509</t>
  </si>
  <si>
    <t>971</t>
  </si>
  <si>
    <t>Tubulin beta-3 chain OS=Homo sapiens GN=TUBB3 PE=1 SV=2</t>
  </si>
  <si>
    <t>Q9NY15</t>
  </si>
  <si>
    <t>887</t>
  </si>
  <si>
    <t>Stabilin-1 OS=Homo sapiens GN=STAB1 PE=1 SV=3</t>
  </si>
  <si>
    <t>O00764</t>
  </si>
  <si>
    <t>727</t>
  </si>
  <si>
    <t>Pyridoxal kinase OS=Homo sapiens GN=PDXK PE=1 SV=1</t>
  </si>
  <si>
    <t>O75347</t>
  </si>
  <si>
    <t>608</t>
  </si>
  <si>
    <t>Tubulin-specific chaperone A OS=Homo sapiens GN=TBCA PE=1 SV=3</t>
  </si>
  <si>
    <t>P51991</t>
  </si>
  <si>
    <t>383</t>
  </si>
  <si>
    <t>Heterogeneous nuclear ribonucleoprotein A3 OS=Homo sapiens GN=HNRNPA3 PE=1 SV=2</t>
  </si>
  <si>
    <t>P43034</t>
  </si>
  <si>
    <t>1151</t>
  </si>
  <si>
    <t>Platelet-activating factor acetylhydrolase IB subunit alpha OS=Homo sapiens GN=PAFAH1B1 PE=1 SV=2</t>
  </si>
  <si>
    <t>P30048</t>
  </si>
  <si>
    <t>254</t>
  </si>
  <si>
    <t>Thioredoxin-dependent peroxide reductase, mitochondrial OS=Homo sapiens GN=PRDX3 PE=1 SV=3</t>
  </si>
  <si>
    <t>Q15233</t>
  </si>
  <si>
    <t>1147</t>
  </si>
  <si>
    <t>Non-POU domain-containing octamer-binding protein OS=Homo sapiens GN=NONO PE=1 SV=4</t>
  </si>
  <si>
    <t>Q96AG4</t>
  </si>
  <si>
    <t>481</t>
  </si>
  <si>
    <t>Leucine-rich repeat-containing protein 59 OS=Homo sapiens GN=LRRC59 PE=1 SV=1</t>
  </si>
  <si>
    <t>P15927</t>
  </si>
  <si>
    <t>264</t>
  </si>
  <si>
    <t>Replication protein A 32 kDa subunit OS=Homo sapiens GN=RPA2 PE=1 SV=1</t>
  </si>
  <si>
    <t>Q15942</t>
  </si>
  <si>
    <t>571</t>
  </si>
  <si>
    <t>Zyxin OS=Homo sapiens GN=ZYX PE=1 SV=1</t>
  </si>
  <si>
    <t>P53618</t>
  </si>
  <si>
    <t>731</t>
  </si>
  <si>
    <t>Coatomer subunit beta OS=Homo sapiens GN=COPB1 PE=1 SV=3</t>
  </si>
  <si>
    <t>Q10471</t>
  </si>
  <si>
    <t>946</t>
  </si>
  <si>
    <t>Polypeptide N-acetylgalactosaminyltransferase 2 OS=Homo sapiens GN=GALNT2 PE=1 SV=1</t>
  </si>
  <si>
    <t>P35080</t>
  </si>
  <si>
    <t>1008</t>
  </si>
  <si>
    <t>Profilin-2 OS=Homo sapiens GN=PFN2 PE=1 SV=3</t>
  </si>
  <si>
    <t>Q12874</t>
  </si>
  <si>
    <t>1101</t>
  </si>
  <si>
    <t>Splicing factor 3A subunit 3 OS=Homo sapiens GN=SF3A3 PE=1 SV=1</t>
  </si>
  <si>
    <t>P24752</t>
  </si>
  <si>
    <t>191</t>
  </si>
  <si>
    <t>Acetyl-CoA acetyltransferase, mitochondrial OS=Homo sapiens GN=ACAT1 PE=1 SV=1</t>
  </si>
  <si>
    <t>P49321</t>
  </si>
  <si>
    <t>416</t>
  </si>
  <si>
    <t>Nuclear autoantigenic sperm protein OS=Homo sapiens GN=NASP PE=1 SV=2</t>
  </si>
  <si>
    <t>Q9BRF8</t>
  </si>
  <si>
    <t>485</t>
  </si>
  <si>
    <t>Serine/threonine-protein phosphatase CPPED1 OS=Homo sapiens GN=CPPED1 PE=1 SV=3</t>
  </si>
  <si>
    <t>P30419</t>
  </si>
  <si>
    <t>796</t>
  </si>
  <si>
    <t>Glycylpeptide N-tetradecanoyltransferase 1 OS=Homo sapiens GN=NMT1 PE=1 SV=2</t>
  </si>
  <si>
    <t>P52597</t>
  </si>
  <si>
    <t>319</t>
  </si>
  <si>
    <t>Heterogeneous nuclear ribonucleoprotein F OS=Homo sapiens GN=HNRNPF PE=1 SV=3</t>
  </si>
  <si>
    <t>P48739</t>
  </si>
  <si>
    <t>799</t>
  </si>
  <si>
    <t>Phosphatidylinositol transfer protein beta isoform OS=Homo sapiens GN=PITPNB PE=1 SV=2</t>
  </si>
  <si>
    <t>O15511</t>
  </si>
  <si>
    <t>1040</t>
  </si>
  <si>
    <t>Actin-related protein 2/3 complex subunit 5 OS=Homo sapiens GN=ARPC5 PE=1 SV=3</t>
  </si>
  <si>
    <t>P46821</t>
  </si>
  <si>
    <t>1081</t>
  </si>
  <si>
    <t>Microtubule-associated protein 1B OS=Homo sapiens GN=MAP1B PE=1 SV=2</t>
  </si>
  <si>
    <t>Q07020</t>
  </si>
  <si>
    <t>1096</t>
  </si>
  <si>
    <t>60S ribosomal protein L18 OS=Homo sapiens GN=RPL18 PE=1 SV=2</t>
  </si>
  <si>
    <t>Q9P2J5</t>
  </si>
  <si>
    <t>Leucine--tRNA ligase, cytoplasmic OS=Homo sapiens GN=LARS PE=1 SV=2</t>
  </si>
  <si>
    <t>Q96C90</t>
  </si>
  <si>
    <t>879</t>
  </si>
  <si>
    <t>Protein phosphatase 1 regulatory subunit 14B OS=Homo sapiens GN=PPP1R14B PE=1 SV=3</t>
  </si>
  <si>
    <t>P62979</t>
  </si>
  <si>
    <t>93</t>
  </si>
  <si>
    <t>Ubiquitin-40S ribosomal protein S27a OS=Homo sapiens GN=RPS27A PE=1 SV=2</t>
  </si>
  <si>
    <t>P37802</t>
  </si>
  <si>
    <t>0.306500096227038</t>
  </si>
  <si>
    <t>Transgelin-2 OS=Homo sapiens GN=TAGLN2 PE=1 SV=3</t>
  </si>
  <si>
    <t>P13987</t>
  </si>
  <si>
    <t>0.31567135900684</t>
  </si>
  <si>
    <t>616</t>
  </si>
  <si>
    <t>CD59 glycoprotein OS=Homo sapiens GN=CD59 PE=1 SV=1</t>
  </si>
  <si>
    <t>Q16576</t>
  </si>
  <si>
    <t>0.316355568294308</t>
  </si>
  <si>
    <t>1132</t>
  </si>
  <si>
    <t>Histone-binding protein RBBP7 OS=Homo sapiens GN=RBBP7 PE=1 SV=1</t>
  </si>
  <si>
    <t>Q16836</t>
  </si>
  <si>
    <t>1137</t>
  </si>
  <si>
    <t>Hydroxyacyl-coenzyme A dehydrogenase, mitochondrial OS=Homo sapiens GN=HADH PE=1 SV=3</t>
  </si>
  <si>
    <t>P22392</t>
  </si>
  <si>
    <t>978</t>
  </si>
  <si>
    <t>Nucleoside diphosphate kinase B OS=Homo sapiens GN=NME2 PE=1 SV=1</t>
  </si>
  <si>
    <t>P09211</t>
  </si>
  <si>
    <t>-1.13472393363254</t>
  </si>
  <si>
    <t>0.319741304210348</t>
  </si>
  <si>
    <t>Glutathione S-transferase P OS=Homo sapiens GN=GSTP1 PE=1 SV=2</t>
  </si>
  <si>
    <t>P50454</t>
  </si>
  <si>
    <t>1.18127898089172</t>
  </si>
  <si>
    <t>0.319847646097741</t>
  </si>
  <si>
    <t>Serpin H1 OS=Homo sapiens GN=SERPINH1 PE=1 SV=2</t>
  </si>
  <si>
    <t>P29966</t>
  </si>
  <si>
    <t>0.342935617786548</t>
  </si>
  <si>
    <t>864</t>
  </si>
  <si>
    <t>Myristoylated alanine-rich C-kinase substrate OS=Homo sapiens GN=MARCKS PE=1 SV=4</t>
  </si>
  <si>
    <t>Q9H1E3</t>
  </si>
  <si>
    <t>932</t>
  </si>
  <si>
    <t>Nuclear ubiquitous casein and cyclin-dependent kinase substrate 1 OS=Homo sapiens GN=NUCKS1 PE=1 SV=1</t>
  </si>
  <si>
    <t>P47755</t>
  </si>
  <si>
    <t>0.343908482785213</t>
  </si>
  <si>
    <t>918</t>
  </si>
  <si>
    <t>F-actin-capping protein subunit alpha-2 OS=Homo sapiens GN=CAPZA2 PE=1 SV=3</t>
  </si>
  <si>
    <t>Q15631</t>
  </si>
  <si>
    <t>557</t>
  </si>
  <si>
    <t>Translin OS=Homo sapiens GN=TSN PE=1 SV=1</t>
  </si>
  <si>
    <t>P49591</t>
  </si>
  <si>
    <t>600</t>
  </si>
  <si>
    <t>Serine--tRNA ligase, cytoplasmic OS=Homo sapiens GN=SARS PE=1 SV=3</t>
  </si>
  <si>
    <t>P62873</t>
  </si>
  <si>
    <t>1085</t>
  </si>
  <si>
    <t>Guanine nucleotide-binding protein G(I)/G(S)/G(T) subunit beta-1 OS=Homo sapiens GN=GNB1 PE=1 SV=3</t>
  </si>
  <si>
    <t>Q00688</t>
  </si>
  <si>
    <t>788</t>
  </si>
  <si>
    <t>Peptidyl-prolyl cis-trans isomerase FKBP3 OS=Homo sapiens GN=FKBP3 PE=1 SV=1</t>
  </si>
  <si>
    <t>P62495</t>
  </si>
  <si>
    <t>789</t>
  </si>
  <si>
    <t>Eukaryotic peptide chain release factor subunit 1 OS=Homo sapiens GN=ETF1 PE=1 SV=3</t>
  </si>
  <si>
    <t>Q9UBT2</t>
  </si>
  <si>
    <t>1087</t>
  </si>
  <si>
    <t>SUMO-activating enzyme subunit 2 OS=Homo sapiens GN=UBA2 PE=1 SV=2</t>
  </si>
  <si>
    <t>P00390</t>
  </si>
  <si>
    <t>188</t>
  </si>
  <si>
    <t>Glutathione reductase, mitochondrial OS=Homo sapiens GN=GSR PE=1 SV=2</t>
  </si>
  <si>
    <t>P09622</t>
  </si>
  <si>
    <t>327</t>
  </si>
  <si>
    <t>Dihydrolipoyl dehydrogenase, mitochondrial OS=Homo sapiens GN=DLD PE=1 SV=2</t>
  </si>
  <si>
    <t>Q13409</t>
  </si>
  <si>
    <t>1016</t>
  </si>
  <si>
    <t>Cytoplasmic dynein 1 intermediate chain 2 OS=Homo sapiens GN=DYNC1I2 PE=1 SV=3</t>
  </si>
  <si>
    <t>P00492</t>
  </si>
  <si>
    <t>Hypoxanthine-guanine phosphoribosyltransferase OS=Homo sapiens GN=HPRT1 PE=1 SV=2</t>
  </si>
  <si>
    <t>P68402</t>
  </si>
  <si>
    <t>1153</t>
  </si>
  <si>
    <t>Platelet-activating factor acetylhydrolase IB subunit beta OS=Homo sapiens GN=PAFAH1B2 PE=1 SV=1</t>
  </si>
  <si>
    <t>P38919</t>
  </si>
  <si>
    <t>979</t>
  </si>
  <si>
    <t>Eukaryotic initiation factor 4A-III OS=Homo sapiens GN=EIF4A3 PE=1 SV=4</t>
  </si>
  <si>
    <t>Q96AC1</t>
  </si>
  <si>
    <t>613</t>
  </si>
  <si>
    <t>Fermitin family homolog 2 OS=Homo sapiens GN=FERMT2 PE=1 SV=1</t>
  </si>
  <si>
    <t>P23588</t>
  </si>
  <si>
    <t>338</t>
  </si>
  <si>
    <t>Eukaryotic translation initiation factor 4B OS=Homo sapiens GN=EIF4B PE=1 SV=2</t>
  </si>
  <si>
    <t>P14314</t>
  </si>
  <si>
    <t>Glucosidase 2 subunit beta OS=Homo sapiens GN=PRKCSH PE=1 SV=2</t>
  </si>
  <si>
    <t>Q96G03</t>
  </si>
  <si>
    <t>329</t>
  </si>
  <si>
    <t>Phosphoglucomutase-2 OS=Homo sapiens GN=PGM2 PE=1 SV=4</t>
  </si>
  <si>
    <t>Q5JRX3</t>
  </si>
  <si>
    <t>705</t>
  </si>
  <si>
    <t>Presequence protease, mitochondrial OS=Homo sapiens GN=PITRM1 PE=1 SV=3</t>
  </si>
  <si>
    <t>Q14697</t>
  </si>
  <si>
    <t>1.16829789318961</t>
  </si>
  <si>
    <t>0.344276436203663</t>
  </si>
  <si>
    <t>654</t>
  </si>
  <si>
    <t>Neutral alpha-glucosidase AB OS=Homo sapiens GN=GANAB PE=1 SV=3</t>
  </si>
  <si>
    <t>Q8NBS9</t>
  </si>
  <si>
    <t>1.09945879173905</t>
  </si>
  <si>
    <t>0.346647342489745</t>
  </si>
  <si>
    <t>Thioredoxin domain-containing protein 5 OS=Homo sapiens GN=TXNDC5 PE=1 SV=2</t>
  </si>
  <si>
    <t>P55058</t>
  </si>
  <si>
    <t>0.35386295015325</t>
  </si>
  <si>
    <t>797</t>
  </si>
  <si>
    <t>Phospholipid transfer protein OS=Homo sapiens GN=PLTP PE=1 SV=1</t>
  </si>
  <si>
    <t>P29622</t>
  </si>
  <si>
    <t>0.369081296765941</t>
  </si>
  <si>
    <t>Kallistatin OS=Homo sapiens GN=SERPINA4 PE=1 SV=3</t>
  </si>
  <si>
    <t>P49721</t>
  </si>
  <si>
    <t>471</t>
  </si>
  <si>
    <t>Proteasome subunit beta type-2 OS=Homo sapiens GN=PSMB2 PE=1 SV=1</t>
  </si>
  <si>
    <t>P55209</t>
  </si>
  <si>
    <t>1.15059640995947</t>
  </si>
  <si>
    <t>0.372675525576933</t>
  </si>
  <si>
    <t>1072</t>
  </si>
  <si>
    <t>Nucleosome assembly protein 1-like 1 OS=Homo sapiens GN=NAP1L1 PE=1 SV=1</t>
  </si>
  <si>
    <t>P09972</t>
  </si>
  <si>
    <t>0.377286202494382</t>
  </si>
  <si>
    <t>538</t>
  </si>
  <si>
    <t>Fructose-bisphosphate aldolase C OS=Homo sapiens GN=ALDOC PE=1 SV=2</t>
  </si>
  <si>
    <t>P50914</t>
  </si>
  <si>
    <t>187</t>
  </si>
  <si>
    <t>60S ribosomal protein L14 OS=Homo sapiens GN=RPL14 PE=1 SV=4</t>
  </si>
  <si>
    <t>P21589</t>
  </si>
  <si>
    <t>1139</t>
  </si>
  <si>
    <t>5'-nucleotidase OS=Homo sapiens GN=NT5E PE=1 SV=1</t>
  </si>
  <si>
    <t>P14174</t>
  </si>
  <si>
    <t>807</t>
  </si>
  <si>
    <t>Macrophage migration inhibitory factor OS=Homo sapiens GN=MIF PE=1 SV=4</t>
  </si>
  <si>
    <t>P62753</t>
  </si>
  <si>
    <t>250</t>
  </si>
  <si>
    <t>40S ribosomal protein S6 OS=Homo sapiens GN=RPS6 PE=1 SV=1</t>
  </si>
  <si>
    <t>P04080</t>
  </si>
  <si>
    <t>417</t>
  </si>
  <si>
    <t>Cystatin-B OS=Homo sapiens GN=CSTB PE=1 SV=2</t>
  </si>
  <si>
    <t>Q9BQE3</t>
  </si>
  <si>
    <t>Tubulin alpha-1C chain OS=Homo sapiens GN=TUBA1C PE=1 SV=1</t>
  </si>
  <si>
    <t>P20962</t>
  </si>
  <si>
    <t>1105</t>
  </si>
  <si>
    <t>Parathymosin OS=Homo sapiens GN=PTMS PE=1 SV=2</t>
  </si>
  <si>
    <t>O15143</t>
  </si>
  <si>
    <t>0.377519446233323</t>
  </si>
  <si>
    <t>853</t>
  </si>
  <si>
    <t>Actin-related protein 2/3 complex subunit 1B OS=Homo sapiens GN=ARPC1B PE=1 SV=3</t>
  </si>
  <si>
    <t>O43852</t>
  </si>
  <si>
    <t>413</t>
  </si>
  <si>
    <t>Calumenin OS=Homo sapiens GN=CALU PE=1 SV=2</t>
  </si>
  <si>
    <t>Q92890</t>
  </si>
  <si>
    <t>0.378580847907671</t>
  </si>
  <si>
    <t>Ubiquitin recognition factor in ER-associated degradation protein 1 OS=Homo sapiens GN=UFD1 PE=1 SV=3</t>
  </si>
  <si>
    <t>Q8NCH0</t>
  </si>
  <si>
    <t>145</t>
  </si>
  <si>
    <t>Carbohydrate sulfotransferase 14 OS=Homo sapiens GN=CHST14 PE=1 SV=2</t>
  </si>
  <si>
    <t>P49247</t>
  </si>
  <si>
    <t>815</t>
  </si>
  <si>
    <t>Ribose-5-phosphate isomerase OS=Homo sapiens GN=RPIA PE=1 SV=3</t>
  </si>
  <si>
    <t>Q8NDH3</t>
  </si>
  <si>
    <t>Probable aminopeptidase NPEPL1 OS=Homo sapiens GN=NPEPL1 PE=1 SV=3</t>
  </si>
  <si>
    <t>Q8TEX9</t>
  </si>
  <si>
    <t>Importin-4 OS=Homo sapiens GN=IPO4 PE=1 SV=2</t>
  </si>
  <si>
    <t>P60891</t>
  </si>
  <si>
    <t>260</t>
  </si>
  <si>
    <t>Ribose-phosphate pyrophosphokinase 1 OS=Homo sapiens GN=PRPS1 PE=1 SV=2</t>
  </si>
  <si>
    <t>P04899</t>
  </si>
  <si>
    <t>367</t>
  </si>
  <si>
    <t>Guanine nucleotide-binding protein G(i) subunit alpha-2 OS=Homo sapiens GN=GNAI2 PE=1 SV=3</t>
  </si>
  <si>
    <t>Q07157</t>
  </si>
  <si>
    <t>368</t>
  </si>
  <si>
    <t>Tight junction protein ZO-1 OS=Homo sapiens GN=TJP1 PE=1 SV=3</t>
  </si>
  <si>
    <t>P35749</t>
  </si>
  <si>
    <t>456</t>
  </si>
  <si>
    <t>Myosin-11 OS=Homo sapiens GN=MYH11 PE=1 SV=3</t>
  </si>
  <si>
    <t>O75367</t>
  </si>
  <si>
    <t>453</t>
  </si>
  <si>
    <t>Core histone macro-H2A.1 OS=Homo sapiens GN=H2AFY PE=1 SV=4</t>
  </si>
  <si>
    <t>Q86UP2</t>
  </si>
  <si>
    <t>445</t>
  </si>
  <si>
    <t>Kinectin OS=Homo sapiens GN=KTN1 PE=1 SV=1</t>
  </si>
  <si>
    <t>Q13868</t>
  </si>
  <si>
    <t>444</t>
  </si>
  <si>
    <t>Exosome complex component RRP4 OS=Homo sapiens GN=EXOSC2 PE=1 SV=2</t>
  </si>
  <si>
    <t>Q7L014</t>
  </si>
  <si>
    <t>514</t>
  </si>
  <si>
    <t>Probable ATP-dependent RNA helicase DDX46 OS=Homo sapiens GN=DDX46 PE=1 SV=2</t>
  </si>
  <si>
    <t>Q86U42</t>
  </si>
  <si>
    <t>735</t>
  </si>
  <si>
    <t>Polyadenylate-binding protein 2 OS=Homo sapiens GN=PABPN1 PE=1 SV=3</t>
  </si>
  <si>
    <t>Q01970</t>
  </si>
  <si>
    <t>495</t>
  </si>
  <si>
    <t>1-phosphatidylinositol 4,5-bisphosphate phosphodiesterase beta-3 OS=Homo sapiens GN=PLCB3 PE=1 SV=2</t>
  </si>
  <si>
    <t>P63279</t>
  </si>
  <si>
    <t>499</t>
  </si>
  <si>
    <t>SUMO-conjugating enzyme UBC9 OS=Homo sapiens GN=UBE2I PE=1 SV=1</t>
  </si>
  <si>
    <t>O60784</t>
  </si>
  <si>
    <t>742</t>
  </si>
  <si>
    <t>Target of Myb protein 1 OS=Homo sapiens GN=TOM1 PE=1 SV=2</t>
  </si>
  <si>
    <t>P48147</t>
  </si>
  <si>
    <t>580</t>
  </si>
  <si>
    <t>Prolyl endopeptidase OS=Homo sapiens GN=PREP PE=1 SV=2</t>
  </si>
  <si>
    <t>Q12765</t>
  </si>
  <si>
    <t>743</t>
  </si>
  <si>
    <t>Secernin-1 OS=Homo sapiens GN=SCRN1 PE=1 SV=2</t>
  </si>
  <si>
    <t>Q9NQG5</t>
  </si>
  <si>
    <t>579</t>
  </si>
  <si>
    <t>Regulation of nuclear pre-mRNA domain-containing protein 1B OS=Homo sapiens GN=RPRD1B PE=1 SV=1</t>
  </si>
  <si>
    <t>O43684</t>
  </si>
  <si>
    <t>884</t>
  </si>
  <si>
    <t>Mitotic checkpoint protein BUB3 OS=Homo sapiens GN=BUB3 PE=1 SV=1</t>
  </si>
  <si>
    <t>Q14247</t>
  </si>
  <si>
    <t>575</t>
  </si>
  <si>
    <t>Src substrate cortactin OS=Homo sapiens GN=CTTN PE=1 SV=2</t>
  </si>
  <si>
    <t>O00154</t>
  </si>
  <si>
    <t>886</t>
  </si>
  <si>
    <t>Cytosolic acyl coenzyme A thioester hydrolase OS=Homo sapiens GN=ACOT7 PE=1 SV=3</t>
  </si>
  <si>
    <t>Q8N392</t>
  </si>
  <si>
    <t>578</t>
  </si>
  <si>
    <t>Rho GTPase-activating protein 18 OS=Homo sapiens GN=ARHGAP18 PE=1 SV=3</t>
  </si>
  <si>
    <t>P67775</t>
  </si>
  <si>
    <t>241</t>
  </si>
  <si>
    <t>Serine/threonine-protein phosphatase 2A catalytic subunit alpha isoform OS=Homo sapiens GN=PPP2CA PE=1 SV=1</t>
  </si>
  <si>
    <t>Q15797</t>
  </si>
  <si>
    <t>572</t>
  </si>
  <si>
    <t>Mothers against decapentaplegic homolog 1 OS=Homo sapiens GN=SMAD1 PE=1 SV=1</t>
  </si>
  <si>
    <t>P25705</t>
  </si>
  <si>
    <t>ATP synthase subunit alpha, mitochondrial OS=Homo sapiens GN=ATP5A1 PE=1 SV=1</t>
  </si>
  <si>
    <t>Q09328</t>
  </si>
  <si>
    <t>890</t>
  </si>
  <si>
    <t>Alpha-1,6-mannosylglycoprotein 6-beta-N-acetylglucosaminyltransferase A OS=Homo sapiens GN=MGAT5 PE=2 SV=1</t>
  </si>
  <si>
    <t>Q9Y263</t>
  </si>
  <si>
    <t>570</t>
  </si>
  <si>
    <t>Phospholipase A-2-activating protein OS=Homo sapiens GN=PLAA PE=1 SV=2</t>
  </si>
  <si>
    <t>O43818</t>
  </si>
  <si>
    <t>348</t>
  </si>
  <si>
    <t>U3 small nucleolar RNA-interacting protein 2 OS=Homo sapiens GN=RRP9 PE=1 SV=1</t>
  </si>
  <si>
    <t>Q15008</t>
  </si>
  <si>
    <t>265</t>
  </si>
  <si>
    <t>26S proteasome non-ATPase regulatory subunit 6 OS=Homo sapiens GN=PSMD6 PE=1 SV=1</t>
  </si>
  <si>
    <t>Q14568</t>
  </si>
  <si>
    <t>678</t>
  </si>
  <si>
    <t>Heat shock protein HSP 90-alpha A2 OS=Homo sapiens GN=HSP90AA2P PE=1 SV=2</t>
  </si>
  <si>
    <t>O43169</t>
  </si>
  <si>
    <t>268</t>
  </si>
  <si>
    <t>Cytochrome b5 type B OS=Homo sapiens GN=CYB5B PE=1 SV=2</t>
  </si>
  <si>
    <t>O43592</t>
  </si>
  <si>
    <t>440</t>
  </si>
  <si>
    <t>Exportin-T OS=Homo sapiens GN=XPOT PE=1 SV=2</t>
  </si>
  <si>
    <t>P61011</t>
  </si>
  <si>
    <t>270</t>
  </si>
  <si>
    <t>Signal recognition particle 54 kDa protein OS=Homo sapiens GN=SRP54 PE=1 SV=1</t>
  </si>
  <si>
    <t>O60763</t>
  </si>
  <si>
    <t>275</t>
  </si>
  <si>
    <t>General vesicular transport factor p115 OS=Homo sapiens GN=USO1 PE=1 SV=2</t>
  </si>
  <si>
    <t>Q15637</t>
  </si>
  <si>
    <t>133</t>
  </si>
  <si>
    <t>Splicing factor 1 OS=Homo sapiens GN=SF1 PE=1 SV=4</t>
  </si>
  <si>
    <t>Q00341</t>
  </si>
  <si>
    <t>277</t>
  </si>
  <si>
    <t>Vigilin OS=Homo sapiens GN=HDLBP PE=1 SV=2</t>
  </si>
  <si>
    <t>Q13347</t>
  </si>
  <si>
    <t>585</t>
  </si>
  <si>
    <t>Eukaryotic translation initiation factor 3 subunit I OS=Homo sapiens GN=EIF3I PE=1 SV=1</t>
  </si>
  <si>
    <t>O43823</t>
  </si>
  <si>
    <t>584</t>
  </si>
  <si>
    <t>A-kinase anchor protein 8 OS=Homo sapiens GN=AKAP8 PE=1 SV=1</t>
  </si>
  <si>
    <t>P36405</t>
  </si>
  <si>
    <t>583</t>
  </si>
  <si>
    <t>ADP-ribosylation factor-like protein 3 OS=Homo sapiens GN=ARL3 PE=1 SV=2</t>
  </si>
  <si>
    <t>P63172</t>
  </si>
  <si>
    <t>564</t>
  </si>
  <si>
    <t>Dynein light chain Tctex-type 1 OS=Homo sapiens GN=DYNLT1 PE=1 SV=1</t>
  </si>
  <si>
    <t>O95865</t>
  </si>
  <si>
    <t>239</t>
  </si>
  <si>
    <t>N(G),N(G)-dimethylarginine dimethylaminohydrolase 2 OS=Homo sapiens GN=DDAH2 PE=1 SV=1</t>
  </si>
  <si>
    <t>P62847</t>
  </si>
  <si>
    <t>334</t>
  </si>
  <si>
    <t>40S ribosomal protein S24 OS=Homo sapiens GN=RPS24 PE=1 SV=1</t>
  </si>
  <si>
    <t>Q01844</t>
  </si>
  <si>
    <t>489</t>
  </si>
  <si>
    <t>RNA-binding protein EWS OS=Homo sapiens GN=EWSR1 PE=1 SV=1</t>
  </si>
  <si>
    <t>P35606</t>
  </si>
  <si>
    <t>352</t>
  </si>
  <si>
    <t>Coatomer subunit beta' OS=Homo sapiens GN=COPB2 PE=1 SV=2</t>
  </si>
  <si>
    <t>Q9NPJ3</t>
  </si>
  <si>
    <t>353</t>
  </si>
  <si>
    <t>Acyl-coenzyme A thioesterase 13 OS=Homo sapiens GN=ACOT13 PE=1 SV=1</t>
  </si>
  <si>
    <t>P42677</t>
  </si>
  <si>
    <t>480</t>
  </si>
  <si>
    <t>40S ribosomal protein S27 OS=Homo sapiens GN=RPS27 PE=1 SV=3</t>
  </si>
  <si>
    <t>Q9BS26</t>
  </si>
  <si>
    <t>478</t>
  </si>
  <si>
    <t>Endoplasmic reticulum resident protein 44 OS=Homo sapiens GN=ERP44 PE=1 SV=1</t>
  </si>
  <si>
    <t>Q9Y219</t>
  </si>
  <si>
    <t>354</t>
  </si>
  <si>
    <t>Protein jagged-2 OS=Homo sapiens GN=JAG2 PE=1 SV=3</t>
  </si>
  <si>
    <t>Q16181</t>
  </si>
  <si>
    <t>436</t>
  </si>
  <si>
    <t>Septin-7 OS=Homo sapiens GN=SEPT7 PE=1 SV=2</t>
  </si>
  <si>
    <t>Q9UIJ7</t>
  </si>
  <si>
    <t>357</t>
  </si>
  <si>
    <t>GTP:AMP phosphotransferase AK3, mitochondrial OS=Homo sapiens GN=AK3 PE=1 SV=4</t>
  </si>
  <si>
    <t>P11766</t>
  </si>
  <si>
    <t>359</t>
  </si>
  <si>
    <t>Alcohol dehydrogenase class-3 OS=Homo sapiens GN=ADH5 PE=1 SV=4</t>
  </si>
  <si>
    <t>P23434</t>
  </si>
  <si>
    <t>361</t>
  </si>
  <si>
    <t>Glycine cleavage system H protein, mitochondrial OS=Homo sapiens GN=GCSH PE=1 SV=2</t>
  </si>
  <si>
    <t>Q08257</t>
  </si>
  <si>
    <t>362</t>
  </si>
  <si>
    <t>Quinone oxidoreductase OS=Homo sapiens GN=CRYZ PE=1 SV=1</t>
  </si>
  <si>
    <t>O14744</t>
  </si>
  <si>
    <t>331</t>
  </si>
  <si>
    <t>Protein arginine N-methyltransferase 5 OS=Homo sapiens GN=PRMT5 PE=1 SV=4</t>
  </si>
  <si>
    <t>Q9NS86</t>
  </si>
  <si>
    <t>345</t>
  </si>
  <si>
    <t>LanC-like protein 2 OS=Homo sapiens GN=LANCL2 PE=1 SV=1</t>
  </si>
  <si>
    <t>P50213</t>
  </si>
  <si>
    <t>437</t>
  </si>
  <si>
    <t>Isocitrate dehydrogenase [NAD] subunit alpha, mitochondrial OS=Homo sapiens GN=IDH3A PE=1 SV=1</t>
  </si>
  <si>
    <t>Q9Y3F4</t>
  </si>
  <si>
    <t>823</t>
  </si>
  <si>
    <t>Serine-threonine kinase receptor-associated protein OS=Homo sapiens GN=STRAP PE=1 SV=1</t>
  </si>
  <si>
    <t>Q9UPT5</t>
  </si>
  <si>
    <t>341</t>
  </si>
  <si>
    <t>Exocyst complex component 7 OS=Homo sapiens GN=EXOC7 PE=1 SV=3</t>
  </si>
  <si>
    <t>Q6XQN6</t>
  </si>
  <si>
    <t>Nicotinate phosphoribosyltransferase OS=Homo sapiens GN=NAPRT PE=1 SV=2</t>
  </si>
  <si>
    <t>Q96IJ6</t>
  </si>
  <si>
    <t>738</t>
  </si>
  <si>
    <t>Mannose-1-phosphate guanyltransferase alpha OS=Homo sapiens GN=GMPPA PE=1 SV=1</t>
  </si>
  <si>
    <t>Q99714</t>
  </si>
  <si>
    <t>741</t>
  </si>
  <si>
    <t>3-hydroxyacyl-CoA dehydrogenase type-2 OS=Homo sapiens GN=HSD17B10 PE=1 SV=3</t>
  </si>
  <si>
    <t>Q9UHB9</t>
  </si>
  <si>
    <t>141</t>
  </si>
  <si>
    <t>Signal recognition particle subunit SRP68 OS=Homo sapiens GN=SRP68 PE=1 SV=2</t>
  </si>
  <si>
    <t>Q13564</t>
  </si>
  <si>
    <t>820</t>
  </si>
  <si>
    <t>NEDD8-activating enzyme E1 regulatory subunit OS=Homo sapiens GN=NAE1 PE=1 SV=1</t>
  </si>
  <si>
    <t>O00232</t>
  </si>
  <si>
    <t>504</t>
  </si>
  <si>
    <t>26S proteasome non-ATPase regulatory subunit 12 OS=Homo sapiens GN=PSMD12 PE=1 SV=3</t>
  </si>
  <si>
    <t>Q9NQC3</t>
  </si>
  <si>
    <t>505</t>
  </si>
  <si>
    <t>Reticulon-4 OS=Homo sapiens GN=RTN4 PE=1 SV=2</t>
  </si>
  <si>
    <t>Q13045</t>
  </si>
  <si>
    <t>363</t>
  </si>
  <si>
    <t>Protein flightless-1 homolog OS=Homo sapiens GN=FLII PE=1 SV=2</t>
  </si>
  <si>
    <t>Q14166</t>
  </si>
  <si>
    <t>365</t>
  </si>
  <si>
    <t>Tubulin--tyrosine ligase-like protein 12 OS=Homo sapiens GN=TTLL12 PE=1 SV=2</t>
  </si>
  <si>
    <t>Q9UKK9</t>
  </si>
  <si>
    <t>513</t>
  </si>
  <si>
    <t>ADP-sugar pyrophosphatase OS=Homo sapiens GN=NUDT5 PE=1 SV=1</t>
  </si>
  <si>
    <t>Q9Y4D7</t>
  </si>
  <si>
    <t>885</t>
  </si>
  <si>
    <t>Plexin-D1 OS=Homo sapiens GN=PLXND1 PE=1 SV=3</t>
  </si>
  <si>
    <t>P16278</t>
  </si>
  <si>
    <t>143</t>
  </si>
  <si>
    <t>Beta-galactosidase OS=Homo sapiens GN=GLB1 PE=1 SV=2</t>
  </si>
  <si>
    <t>Q9GZL7</t>
  </si>
  <si>
    <t>737</t>
  </si>
  <si>
    <t>Ribosome biogenesis protein WDR12 OS=Homo sapiens GN=WDR12 PE=1 SV=2</t>
  </si>
  <si>
    <t>Q9H488</t>
  </si>
  <si>
    <t>892</t>
  </si>
  <si>
    <t>GDP-fucose protein O-fucosyltransferase 1 OS=Homo sapiens GN=POFUT1 PE=1 SV=1</t>
  </si>
  <si>
    <t>P08397</t>
  </si>
  <si>
    <t>263</t>
  </si>
  <si>
    <t>Porphobilinogen deaminase OS=Homo sapiens GN=HMBS PE=1 SV=2</t>
  </si>
  <si>
    <t>P30042</t>
  </si>
  <si>
    <t>490</t>
  </si>
  <si>
    <t>ES1 protein homolog, mitochondrial OS=Homo sapiens GN=C21orf33 PE=1 SV=3</t>
  </si>
  <si>
    <t>P42765</t>
  </si>
  <si>
    <t>511</t>
  </si>
  <si>
    <t>3-ketoacyl-CoA thiolase, mitochondrial OS=Homo sapiens GN=ACAA2 PE=1 SV=2</t>
  </si>
  <si>
    <t>Q9NZV1</t>
  </si>
  <si>
    <t>744</t>
  </si>
  <si>
    <t>Cysteine-rich motor neuron 1 protein OS=Homo sapiens GN=CRIM1 PE=1 SV=1</t>
  </si>
  <si>
    <t>Q9H4M9</t>
  </si>
  <si>
    <t>399</t>
  </si>
  <si>
    <t>EH domain-containing protein 1 OS=Homo sapiens GN=EHD1 PE=1 SV=2</t>
  </si>
  <si>
    <t>O94826</t>
  </si>
  <si>
    <t>262</t>
  </si>
  <si>
    <t>Mitochondrial import receptor subunit TOM70 OS=Homo sapiens GN=TOMM70 PE=1 SV=1</t>
  </si>
  <si>
    <t>P17812</t>
  </si>
  <si>
    <t>816</t>
  </si>
  <si>
    <t>CTP synthase 1 OS=Homo sapiens GN=CTPS1 PE=1 SV=2</t>
  </si>
  <si>
    <t>P30519</t>
  </si>
  <si>
    <t>891</t>
  </si>
  <si>
    <t>Heme oxygenase 2 OS=Homo sapiens GN=HMOX2 PE=1 SV=2</t>
  </si>
  <si>
    <t>O00592</t>
  </si>
  <si>
    <t>888</t>
  </si>
  <si>
    <t>Podocalyxin OS=Homo sapiens GN=PODXL PE=1 SV=2</t>
  </si>
  <si>
    <t>P50452</t>
  </si>
  <si>
    <t>231</t>
  </si>
  <si>
    <t>Serpin B8 OS=Homo sapiens GN=SERPINB8 PE=1 SV=2</t>
  </si>
  <si>
    <t>Q9BV20</t>
  </si>
  <si>
    <t>510</t>
  </si>
  <si>
    <t>Methylthioribose-1-phosphate isomerase OS=Homo sapiens GN=MRI1 PE=1 SV=1</t>
  </si>
  <si>
    <t>Q9H3K6</t>
  </si>
  <si>
    <t>492</t>
  </si>
  <si>
    <t>BolA-like protein 2 OS=Homo sapiens GN=BOLA2 PE=1 SV=1</t>
  </si>
  <si>
    <t>P61106</t>
  </si>
  <si>
    <t>364</t>
  </si>
  <si>
    <t>Ras-related protein Rab-14 OS=Homo sapiens GN=RAB14 PE=1 SV=4</t>
  </si>
  <si>
    <t>O60216</t>
  </si>
  <si>
    <t>819</t>
  </si>
  <si>
    <t>Double-strand-break repair protein rad21 homolog OS=Homo sapiens GN=RAD21 PE=1 SV=2</t>
  </si>
  <si>
    <t>P54760</t>
  </si>
  <si>
    <t>516</t>
  </si>
  <si>
    <t>Ephrin type-B receptor 4 OS=Homo sapiens GN=EPHB4 PE=1 SV=2</t>
  </si>
  <si>
    <t>Q9P2A4</t>
  </si>
  <si>
    <t>821</t>
  </si>
  <si>
    <t>ABI gene family member 3 OS=Homo sapiens GN=ABI3 PE=1 SV=2</t>
  </si>
  <si>
    <t>Q08174</t>
  </si>
  <si>
    <t>347</t>
  </si>
  <si>
    <t>Protocadherin-1 OS=Homo sapiens GN=PCDH1 PE=1 SV=2</t>
  </si>
  <si>
    <t>Q6P1J9</t>
  </si>
  <si>
    <t>503</t>
  </si>
  <si>
    <t>Parafibromin OS=Homo sapiens GN=CDC73 PE=1 SV=1</t>
  </si>
  <si>
    <t>P63165</t>
  </si>
  <si>
    <t>501</t>
  </si>
  <si>
    <t>Small ubiquitin-related modifier 1 OS=Homo sapiens GN=SUMO1 PE=1 SV=1</t>
  </si>
  <si>
    <t>P27816</t>
  </si>
  <si>
    <t>500</t>
  </si>
  <si>
    <t>Microtubule-associated protein 4 OS=Homo sapiens GN=MAP4 PE=1 SV=3</t>
  </si>
  <si>
    <t>Q5GJ75</t>
  </si>
  <si>
    <t>497</t>
  </si>
  <si>
    <t>Tumor necrosis factor alpha-induced protein 8-like protein 3 OS=Homo sapiens GN=TNFAIP8L3 PE=1 SV=1</t>
  </si>
  <si>
    <t>Q9UHY1</t>
  </si>
  <si>
    <t>736</t>
  </si>
  <si>
    <t>Nuclear receptor-binding protein OS=Homo sapiens GN=NRBP1 PE=1 SV=1</t>
  </si>
  <si>
    <t>Q66K74</t>
  </si>
  <si>
    <t>438</t>
  </si>
  <si>
    <t>Microtubule-associated protein 1S OS=Homo sapiens GN=MAP1S PE=1 SV=2</t>
  </si>
  <si>
    <t>P35658</t>
  </si>
  <si>
    <t>824</t>
  </si>
  <si>
    <t>Nuclear pore complex protein Nup214 OS=Homo sapiens GN=NUP214 PE=1 SV=2</t>
  </si>
  <si>
    <t>contaminant_KERATIN13</t>
  </si>
  <si>
    <t>768</t>
  </si>
  <si>
    <t>Q58FF6</t>
  </si>
  <si>
    <t>216</t>
  </si>
  <si>
    <t>Putative heat shock protein HSP 90-beta 4 OS=Homo sapiens GN=HSP90AB4P PE=5 SV=1</t>
  </si>
  <si>
    <t>Q07065</t>
  </si>
  <si>
    <t>880</t>
  </si>
  <si>
    <t>Cytoskeleton-associated protein 4 OS=Homo sapiens GN=CKAP4 PE=1 SV=2</t>
  </si>
  <si>
    <t>Q9HAV4</t>
  </si>
  <si>
    <t>878</t>
  </si>
  <si>
    <t>Exportin-5 OS=Homo sapiens GN=XPO5 PE=1 SV=1</t>
  </si>
  <si>
    <t>Q53FA7</t>
  </si>
  <si>
    <t>208</t>
  </si>
  <si>
    <t>Quinone oxidoreductase PIG3 OS=Homo sapiens GN=TP53I3 PE=1 SV=2</t>
  </si>
  <si>
    <t>O60361</t>
  </si>
  <si>
    <t>166</t>
  </si>
  <si>
    <t>Putative nucleoside diphosphate kinase OS=Homo sapiens GN=NME2P1 PE=5 SV=1</t>
  </si>
  <si>
    <t>P55809</t>
  </si>
  <si>
    <t>207</t>
  </si>
  <si>
    <t>Succinyl-CoA:3-ketoacid coenzyme A transferase 1, mitochondrial OS=Homo sapiens GN=OXCT1 PE=1 SV=1</t>
  </si>
  <si>
    <t>Q8NBJ5</t>
  </si>
  <si>
    <t>204</t>
  </si>
  <si>
    <t>Procollagen galactosyltransferase 1 OS=Homo sapiens GN=COLGALT1 PE=1 SV=1</t>
  </si>
  <si>
    <t>P05023</t>
  </si>
  <si>
    <t>Sodium/potassium-transporting ATPase subunit alpha-1 OS=Homo sapiens GN=ATP1A1 PE=1 SV=1</t>
  </si>
  <si>
    <t>P09132</t>
  </si>
  <si>
    <t>201</t>
  </si>
  <si>
    <t>Signal recognition particle 19 kDa protein OS=Homo sapiens GN=SRP19 PE=1 SV=3</t>
  </si>
  <si>
    <t>O43670</t>
  </si>
  <si>
    <t>199</t>
  </si>
  <si>
    <t>BUB3-interacting and GLEBS motif-containing protein ZNF207 OS=Homo sapiens GN=ZNF207 PE=1 SV=1</t>
  </si>
  <si>
    <t>Q6P2Q9</t>
  </si>
  <si>
    <t>197</t>
  </si>
  <si>
    <t>Pre-mRNA-processing-splicing factor 8 OS=Homo sapiens GN=PRPF8 PE=1 SV=2</t>
  </si>
  <si>
    <t>P13929</t>
  </si>
  <si>
    <t>836</t>
  </si>
  <si>
    <t>Beta-enolase OS=Homo sapiens GN=ENO3 PE=1 SV=5</t>
  </si>
  <si>
    <t>P09104</t>
  </si>
  <si>
    <t>835</t>
  </si>
  <si>
    <t>Gamma-enolase OS=Homo sapiens GN=ENO2 PE=1 SV=3</t>
  </si>
  <si>
    <t>Q96EP5</t>
  </si>
  <si>
    <t>196</t>
  </si>
  <si>
    <t>DAZ-associated protein 1 OS=Homo sapiens GN=DAZAP1 PE=1 SV=1</t>
  </si>
  <si>
    <t>Q92882</t>
  </si>
  <si>
    <t>805</t>
  </si>
  <si>
    <t>Osteoclast-stimulating factor 1 OS=Homo sapiens GN=OSTF1 PE=1 SV=2</t>
  </si>
  <si>
    <t>O43765</t>
  </si>
  <si>
    <t>810</t>
  </si>
  <si>
    <t>Small glutamine-rich tetratricopeptide repeat-containing protein alpha OS=Homo sapiens GN=SGTA PE=1 SV=1</t>
  </si>
  <si>
    <t>Q15843</t>
  </si>
  <si>
    <t>811</t>
  </si>
  <si>
    <t>NEDD8 OS=Homo sapiens GN=NEDD8 PE=1 SV=1</t>
  </si>
  <si>
    <t>O00567</t>
  </si>
  <si>
    <t>825</t>
  </si>
  <si>
    <t>Nucleolar protein 56 OS=Homo sapiens GN=NOP56 PE=1 SV=4</t>
  </si>
  <si>
    <t>Q9Y285</t>
  </si>
  <si>
    <t>582</t>
  </si>
  <si>
    <t>Phenylalanine--tRNA ligase alpha subunit OS=Homo sapiens GN=FARSA PE=1 SV=3</t>
  </si>
  <si>
    <t>P49023</t>
  </si>
  <si>
    <t>871</t>
  </si>
  <si>
    <t>Paxillin OS=Homo sapiens GN=PXN PE=1 SV=3</t>
  </si>
  <si>
    <t>Q7L576</t>
  </si>
  <si>
    <t>115</t>
  </si>
  <si>
    <t>Cytoplasmic FMR1-interacting protein 1 OS=Homo sapiens GN=CYFIP1 PE=1 SV=1</t>
  </si>
  <si>
    <t>Q9BUT1</t>
  </si>
  <si>
    <t>1009</t>
  </si>
  <si>
    <t>3-hydroxybutyrate dehydrogenase type 2 OS=Homo sapiens GN=BDH2 PE=1 SV=2</t>
  </si>
  <si>
    <t>P51148</t>
  </si>
  <si>
    <t>1189</t>
  </si>
  <si>
    <t>Ras-related protein Rab-5C OS=Homo sapiens GN=RAB5C PE=1 SV=2</t>
  </si>
  <si>
    <t>Q92928</t>
  </si>
  <si>
    <t>1001</t>
  </si>
  <si>
    <t>Putative Ras-related protein Rab-1C OS=Homo sapiens GN=RAB1C PE=5 SV=2</t>
  </si>
  <si>
    <t>Q8TBC4</t>
  </si>
  <si>
    <t>68</t>
  </si>
  <si>
    <t>NEDD8-activating enzyme E1 catalytic subunit OS=Homo sapiens GN=UBA3 PE=1 SV=2</t>
  </si>
  <si>
    <t>Q8NHW5</t>
  </si>
  <si>
    <t>60S acidic ribosomal protein P0-like OS=Homo sapiens GN=RPLP0P6 PE=5 SV=1</t>
  </si>
  <si>
    <t>Q8IWC1</t>
  </si>
  <si>
    <t>MAP7 domain-containing protein 3 OS=Homo sapiens GN=MAP7D3 PE=1 SV=2</t>
  </si>
  <si>
    <t>Q15029</t>
  </si>
  <si>
    <t>74</t>
  </si>
  <si>
    <t>116 kDa U5 small nuclear ribonucleoprotein component OS=Homo sapiens GN=EFTUD2 PE=1 SV=1</t>
  </si>
  <si>
    <t>Q6ZMR3</t>
  </si>
  <si>
    <t>L-lactate dehydrogenase A-like 6A OS=Homo sapiens GN=LDHAL6A PE=2 SV=1</t>
  </si>
  <si>
    <t>Q14683</t>
  </si>
  <si>
    <t>1045</t>
  </si>
  <si>
    <t>Structural maintenance of chromosomes protein 1A OS=Homo sapiens GN=SMC1A PE=1 SV=2</t>
  </si>
  <si>
    <t>P19367</t>
  </si>
  <si>
    <t>1044</t>
  </si>
  <si>
    <t>Hexokinase-1 OS=Homo sapiens GN=HK1 PE=1 SV=3</t>
  </si>
  <si>
    <t>P50552</t>
  </si>
  <si>
    <t>1043</t>
  </si>
  <si>
    <t>Vasodilator-stimulated phosphoprotein OS=Homo sapiens GN=VASP PE=1 SV=3</t>
  </si>
  <si>
    <t>Q9Y624</t>
  </si>
  <si>
    <t>Junctional adhesion molecule A OS=Homo sapiens GN=F11R PE=1 SV=1</t>
  </si>
  <si>
    <t>O75695</t>
  </si>
  <si>
    <t>1042</t>
  </si>
  <si>
    <t>Protein XRP2 OS=Homo sapiens GN=RP2 PE=1 SV=4</t>
  </si>
  <si>
    <t>Q12792</t>
  </si>
  <si>
    <t>123</t>
  </si>
  <si>
    <t>Twinfilin-1 OS=Homo sapiens GN=TWF1 PE=1 SV=3</t>
  </si>
  <si>
    <t>Q9UNF1</t>
  </si>
  <si>
    <t>937</t>
  </si>
  <si>
    <t>Melanoma-associated antigen D2 OS=Homo sapiens GN=MAGED2 PE=1 SV=2</t>
  </si>
  <si>
    <t>O75051</t>
  </si>
  <si>
    <t>1192</t>
  </si>
  <si>
    <t>Plexin-A2 OS=Homo sapiens GN=PLXNA2 PE=1 SV=4</t>
  </si>
  <si>
    <t>P53801</t>
  </si>
  <si>
    <t>1021</t>
  </si>
  <si>
    <t>Pituitary tumor-transforming gene 1 protein-interacting protein OS=Homo sapiens GN=PTTG1IP PE=1 SV=1</t>
  </si>
  <si>
    <t>P50583</t>
  </si>
  <si>
    <t>1022</t>
  </si>
  <si>
    <t>Bis(5'-nucleosyl)-tetraphosphatase [asymmetrical] OS=Homo sapiens GN=NUDT2 PE=1 SV=3</t>
  </si>
  <si>
    <t>P49441</t>
  </si>
  <si>
    <t>1034</t>
  </si>
  <si>
    <t>Inositol polyphosphate 1-phosphatase OS=Homo sapiens GN=INPP1 PE=1 SV=1</t>
  </si>
  <si>
    <t>P09661</t>
  </si>
  <si>
    <t>1024</t>
  </si>
  <si>
    <t>U2 small nuclear ribonucleoprotein A' OS=Homo sapiens GN=SNRPA1 PE=1 SV=2</t>
  </si>
  <si>
    <t>Q9Y5L0</t>
  </si>
  <si>
    <t>1025</t>
  </si>
  <si>
    <t>Transportin-3 OS=Homo sapiens GN=TNPO3 PE=1 SV=3</t>
  </si>
  <si>
    <t>Q6XZF7</t>
  </si>
  <si>
    <t>1029</t>
  </si>
  <si>
    <t>Dynamin-binding protein OS=Homo sapiens GN=DNMBP PE=1 SV=1</t>
  </si>
  <si>
    <t>O95741</t>
  </si>
  <si>
    <t>1028</t>
  </si>
  <si>
    <t>Copine-6 OS=Homo sapiens GN=CPNE6 PE=1 SV=3</t>
  </si>
  <si>
    <t>Q07955</t>
  </si>
  <si>
    <t>1039</t>
  </si>
  <si>
    <t>Serine/arginine-rich splicing factor 1 OS=Homo sapiens GN=SRSF1 PE=1 SV=2</t>
  </si>
  <si>
    <t>P07947</t>
  </si>
  <si>
    <t>956</t>
  </si>
  <si>
    <t>Tyrosine-protein kinase Yes OS=Homo sapiens GN=YES1 PE=1 SV=3</t>
  </si>
  <si>
    <t>Q9Y376</t>
  </si>
  <si>
    <t>Calcium-binding protein 39 OS=Homo sapiens GN=CAB39 PE=1 SV=1</t>
  </si>
  <si>
    <t>Q9H0R4</t>
  </si>
  <si>
    <t>Haloacid dehalogenase-like hydrolase domain-containing protein 2 OS=Homo sapiens GN=HDHD2 PE=1 SV=1</t>
  </si>
  <si>
    <t>P48507</t>
  </si>
  <si>
    <t>1205</t>
  </si>
  <si>
    <t>Glutamate--cysteine ligase regulatory subunit OS=Homo sapiens GN=GCLM PE=1 SV=1</t>
  </si>
  <si>
    <t>O95793</t>
  </si>
  <si>
    <t>1191</t>
  </si>
  <si>
    <t>Double-stranded RNA-binding protein Staufen homolog 1 OS=Homo sapiens GN=STAU1 PE=1 SV=2</t>
  </si>
  <si>
    <t>P27708</t>
  </si>
  <si>
    <t>284</t>
  </si>
  <si>
    <t>CAD protein OS=Homo sapiens GN=CAD PE=1 SV=3</t>
  </si>
  <si>
    <t>Q58FF7</t>
  </si>
  <si>
    <t>1172</t>
  </si>
  <si>
    <t>Putative heat shock protein HSP 90-beta-3 OS=Homo sapiens GN=HSP90AB3P PE=5 SV=1</t>
  </si>
  <si>
    <t>Q9NZD2</t>
  </si>
  <si>
    <t>1114</t>
  </si>
  <si>
    <t>Glycolipid transfer protein OS=Homo sapiens GN=GLTP PE=1 SV=3</t>
  </si>
  <si>
    <t>P27694</t>
  </si>
  <si>
    <t>1115</t>
  </si>
  <si>
    <t>Replication protein A 70 kDa DNA-binding subunit OS=Homo sapiens GN=RPA1 PE=1 SV=2</t>
  </si>
  <si>
    <t>Q6V0I7</t>
  </si>
  <si>
    <t>117</t>
  </si>
  <si>
    <t>Protocadherin Fat 4 OS=Homo sapiens GN=FAT4 PE=1 SV=2</t>
  </si>
  <si>
    <t>P21281</t>
  </si>
  <si>
    <t>V-type proton ATPase subunit B, brain isoform OS=Homo sapiens GN=ATP6V1B2 PE=1 SV=3</t>
  </si>
  <si>
    <t>O43252</t>
  </si>
  <si>
    <t>1099</t>
  </si>
  <si>
    <t>Bifunctional 3'-phosphoadenosine 5'-phosphosulfate synthase 1 OS=Homo sapiens GN=PAPSS1 PE=1 SV=2</t>
  </si>
  <si>
    <t>Q9NR19</t>
  </si>
  <si>
    <t>1103</t>
  </si>
  <si>
    <t>Acetyl-coenzyme A synthetase, cytoplasmic OS=Homo sapiens GN=ACSS2 PE=1 SV=1</t>
  </si>
  <si>
    <t>P54577</t>
  </si>
  <si>
    <t>252</t>
  </si>
  <si>
    <t>Tyrosine--tRNA ligase, cytoplasmic OS=Homo sapiens GN=YARS PE=1 SV=4</t>
  </si>
  <si>
    <t>P0CG30</t>
  </si>
  <si>
    <t>1206</t>
  </si>
  <si>
    <t>Glutathione S-transferase theta-2B OS=Homo sapiens GN=GSTT2B PE=1 SV=1</t>
  </si>
  <si>
    <t>P35580</t>
  </si>
  <si>
    <t>1168</t>
  </si>
  <si>
    <t>Myosin-10 OS=Homo sapiens GN=MYH10 PE=1 SV=3</t>
  </si>
  <si>
    <t>O75396</t>
  </si>
  <si>
    <t>1197</t>
  </si>
  <si>
    <t>Vesicle-trafficking protein SEC22b OS=Homo sapiens GN=SEC22B PE=1 SV=4</t>
  </si>
  <si>
    <t>O00159</t>
  </si>
  <si>
    <t>1207</t>
  </si>
  <si>
    <t>Unconventional myosin-Ic OS=Homo sapiens GN=MYO1C PE=1 SV=4</t>
  </si>
  <si>
    <t>P40763</t>
  </si>
  <si>
    <t>126</t>
  </si>
  <si>
    <t>Signal transducer and activator of transcription 3 OS=Homo sapiens GN=STAT3 PE=1 SV=2</t>
  </si>
  <si>
    <t>Q9UNF0</t>
  </si>
  <si>
    <t>1199</t>
  </si>
  <si>
    <t>Protein kinase C and casein kinase substrate in neurons protein 2 OS=Homo sapiens GN=PACSIN2 PE=1 SV=2</t>
  </si>
  <si>
    <t>P55036</t>
  </si>
  <si>
    <t>1196</t>
  </si>
  <si>
    <t>26S proteasome non-ATPase regulatory subunit 4 OS=Homo sapiens GN=PSMD4 PE=1 SV=1</t>
  </si>
  <si>
    <t>O60664</t>
  </si>
  <si>
    <t>1200</t>
  </si>
  <si>
    <t>Perilipin-3 OS=Homo sapiens GN=PLIN3 PE=1 SV=3</t>
  </si>
  <si>
    <t>O95372</t>
  </si>
  <si>
    <t>1203</t>
  </si>
  <si>
    <t>Acyl-protein thioesterase 2 OS=Homo sapiens GN=LYPLA2 PE=1 SV=1</t>
  </si>
  <si>
    <t>Q14847</t>
  </si>
  <si>
    <t>1201</t>
  </si>
  <si>
    <t>LIM and SH3 domain protein 1 OS=Homo sapiens GN=LASP1 PE=1 SV=2</t>
  </si>
  <si>
    <t>P36269</t>
  </si>
  <si>
    <t>641</t>
  </si>
  <si>
    <t>Gamma-glutamyltransferase 5 OS=Homo sapiens GN=GGT5 PE=1 SV=2</t>
  </si>
  <si>
    <t>Q08945</t>
  </si>
  <si>
    <t>1198</t>
  </si>
  <si>
    <t>FACT complex subunit SSRP1 OS=Homo sapiens GN=SSRP1 PE=1 SV=1</t>
  </si>
  <si>
    <t>P62745</t>
  </si>
  <si>
    <t>Rho-related GTP-binding protein RhoB OS=Homo sapiens GN=RHOB PE=1 SV=1</t>
  </si>
  <si>
    <t>P58546</t>
  </si>
  <si>
    <t>944</t>
  </si>
  <si>
    <t>Myotrophin OS=Homo sapiens GN=MTPN PE=1 SV=2</t>
  </si>
  <si>
    <t>P04424</t>
  </si>
  <si>
    <t>Argininosuccinate lyase OS=Homo sapiens GN=ASL PE=1 SV=4</t>
  </si>
  <si>
    <t>P43243</t>
  </si>
  <si>
    <t>129</t>
  </si>
  <si>
    <t>Matrin-3 OS=Homo sapiens GN=MATR3 PE=1 SV=2</t>
  </si>
  <si>
    <t>Q13643</t>
  </si>
  <si>
    <t>643</t>
  </si>
  <si>
    <t>Four and a half LIM domains protein 3 OS=Homo sapiens GN=FHL3 PE=1 SV=4</t>
  </si>
  <si>
    <t>O60888</t>
  </si>
  <si>
    <t>1184</t>
  </si>
  <si>
    <t>Protein CutA OS=Homo sapiens GN=CUTA PE=1 SV=2</t>
  </si>
  <si>
    <t>P39748</t>
  </si>
  <si>
    <t>1209</t>
  </si>
  <si>
    <t>Flap endonuclease 1 OS=Homo sapiens GN=FEN1 PE=1 SV=1</t>
  </si>
  <si>
    <t>Q9NYU2</t>
  </si>
  <si>
    <t>1194</t>
  </si>
  <si>
    <t>UDP-glucose:glycoprotein glucosyltransferase 1 OS=Homo sapiens GN=UGGT1 PE=1 SV=3</t>
  </si>
  <si>
    <t>Q9NPF4</t>
  </si>
  <si>
    <t>Probable tRNA N6-adenosine threonylcarbamoyltransferase OS=Homo sapiens GN=OSGEP PE=1 SV=1</t>
  </si>
  <si>
    <t>Q9UHJ6</t>
  </si>
  <si>
    <t>1193</t>
  </si>
  <si>
    <t>Sedoheptulokinase OS=Homo sapiens GN=SHPK PE=1 SV=3</t>
  </si>
  <si>
    <t>O15305</t>
  </si>
  <si>
    <t>130</t>
  </si>
  <si>
    <t>Phosphomannomutase 2 OS=Homo sapiens GN=PMM2 PE=1 SV=1</t>
  </si>
  <si>
    <t>Q13126</t>
  </si>
  <si>
    <t>282</t>
  </si>
  <si>
    <t>S-methyl-5'-thioadenosine phosphorylase OS=Homo sapiens GN=MTAP PE=1 SV=2</t>
  </si>
  <si>
    <t>Q96CW1</t>
  </si>
  <si>
    <t>630</t>
  </si>
  <si>
    <t>AP-2 complex subunit mu OS=Homo sapiens GN=AP2M1 PE=1 SV=2</t>
  </si>
  <si>
    <t>P62861</t>
  </si>
  <si>
    <t>627</t>
  </si>
  <si>
    <t>40S ribosomal protein S30 OS=Homo sapiens GN=FAU PE=1 SV=1</t>
  </si>
  <si>
    <t>Q9BXS5</t>
  </si>
  <si>
    <t>287</t>
  </si>
  <si>
    <t>AP-1 complex subunit mu-1 OS=Homo sapiens GN=AP1M1 PE=1 SV=3</t>
  </si>
  <si>
    <t>P11717</t>
  </si>
  <si>
    <t>288</t>
  </si>
  <si>
    <t>Cation-independent mannose-6-phosphate receptor OS=Homo sapiens GN=IGF2R PE=1 SV=3</t>
  </si>
  <si>
    <t>O60684</t>
  </si>
  <si>
    <t>432</t>
  </si>
  <si>
    <t>Importin subunit alpha-7 OS=Homo sapiens GN=KPNA6 PE=1 SV=1</t>
  </si>
  <si>
    <t>Q8IV08</t>
  </si>
  <si>
    <t>1208</t>
  </si>
  <si>
    <t>Phospholipase D3 OS=Homo sapiens GN=PLD3 PE=1 SV=1</t>
  </si>
  <si>
    <t>P22090</t>
  </si>
  <si>
    <t>308</t>
  </si>
  <si>
    <t>40S ribosomal protein S4, Y isoform 1 OS=Homo sapiens GN=RPS4Y1 PE=1 SV=2</t>
  </si>
  <si>
    <t>Q9UDY4</t>
  </si>
  <si>
    <t>589</t>
  </si>
  <si>
    <t>DnaJ homolog subfamily B member 4 OS=Homo sapiens GN=DNAJB4 PE=1 SV=1</t>
  </si>
  <si>
    <t>Q32P28</t>
  </si>
  <si>
    <t>588</t>
  </si>
  <si>
    <t>Prolyl 3-hydroxylase 1 OS=Homo sapiens GN=P3H1 PE=1 SV=2</t>
  </si>
  <si>
    <t>P20827</t>
  </si>
  <si>
    <t>587</t>
  </si>
  <si>
    <t>Ephrin-A1 OS=Homo sapiens GN=EFNA1 PE=1 SV=2</t>
  </si>
  <si>
    <t>Q12996</t>
  </si>
  <si>
    <t>586</t>
  </si>
  <si>
    <t>Cleavage stimulation factor subunit 3 OS=Homo sapiens GN=CSTF3 PE=1 SV=1</t>
  </si>
  <si>
    <t>P38159</t>
  </si>
  <si>
    <t>RNA-binding motif protein, X chromosome OS=Homo sapiens GN=RBMX PE=1 SV=3</t>
  </si>
  <si>
    <t>Q9UBB4</t>
  </si>
  <si>
    <t>286</t>
  </si>
  <si>
    <t>Ataxin-10 OS=Homo sapiens GN=ATXN10 PE=1 SV=1</t>
  </si>
  <si>
    <t>P46778</t>
  </si>
  <si>
    <t>280</t>
  </si>
  <si>
    <t>60S ribosomal protein L21 OS=Homo sapiens GN=RPL21 PE=1 SV=2</t>
  </si>
  <si>
    <t>Q969T9</t>
  </si>
  <si>
    <t>279</t>
  </si>
  <si>
    <t>WW domain-binding protein 2 OS=Homo sapiens GN=WBP2 PE=1 SV=1</t>
  </si>
  <si>
    <t>O43598</t>
  </si>
  <si>
    <t>734</t>
  </si>
  <si>
    <t>2'-deoxynucleoside 5'-phosphate N-hydrolase 1 OS=Homo sapiens GN=DNPH1 PE=1 SV=1</t>
  </si>
  <si>
    <t>Q6PCE3</t>
  </si>
  <si>
    <t>732</t>
  </si>
  <si>
    <t>Glucose 1,6-bisphosphate synthase OS=Homo sapiens GN=PGM2L1 PE=1 SV=3</t>
  </si>
  <si>
    <t>Q9UI12</t>
  </si>
  <si>
    <t>730</t>
  </si>
  <si>
    <t>V-type proton ATPase subunit H OS=Homo sapiens GN=ATP6V1H PE=1 SV=1</t>
  </si>
  <si>
    <t>P17900</t>
  </si>
  <si>
    <t>728</t>
  </si>
  <si>
    <t>Ganglioside GM2 activator OS=Homo sapiens GN=GM2A PE=1 SV=4</t>
  </si>
  <si>
    <t>Q92542</t>
  </si>
  <si>
    <t>726</t>
  </si>
  <si>
    <t>Nicastrin OS=Homo sapiens GN=NCSTN PE=1 SV=2</t>
  </si>
  <si>
    <t>Q9NPH2</t>
  </si>
  <si>
    <t>725</t>
  </si>
  <si>
    <t>Inositol-3-phosphate synthase 1 OS=Homo sapiens GN=ISYNA1 PE=1 SV=1</t>
  </si>
  <si>
    <t>P62879</t>
  </si>
  <si>
    <t>242</t>
  </si>
  <si>
    <t>Guanine nucleotide-binding protein G(I)/G(S)/G(T) subunit beta-2 OS=Homo sapiens GN=GNB2 PE=1 SV=3</t>
  </si>
  <si>
    <t>P34897</t>
  </si>
  <si>
    <t>716</t>
  </si>
  <si>
    <t>Serine hydroxymethyltransferase, mitochondrial OS=Homo sapiens GN=SHMT2 PE=1 SV=3</t>
  </si>
  <si>
    <t>P62820</t>
  </si>
  <si>
    <t>701</t>
  </si>
  <si>
    <t>Ras-related protein Rab-1A OS=Homo sapiens GN=RAB1A PE=1 SV=3</t>
  </si>
  <si>
    <t>P61586</t>
  </si>
  <si>
    <t>700</t>
  </si>
  <si>
    <t>Transforming protein RhoA OS=Homo sapiens GN=RHOA PE=1 SV=1</t>
  </si>
  <si>
    <t>Q14444</t>
  </si>
  <si>
    <t>281</t>
  </si>
  <si>
    <t>Caprin-1 OS=Homo sapiens GN=CAPRIN1 PE=1 SV=2</t>
  </si>
  <si>
    <t>P49006</t>
  </si>
  <si>
    <t>634</t>
  </si>
  <si>
    <t>MARCKS-related protein OS=Homo sapiens GN=MARCKSL1 PE=1 SV=2</t>
  </si>
  <si>
    <t>Q9UBQ6</t>
  </si>
  <si>
    <t>1202</t>
  </si>
  <si>
    <t>Exostosin-like 2 OS=Homo sapiens GN=EXTL2 PE=1 SV=1</t>
  </si>
  <si>
    <t>Q96AB3</t>
  </si>
  <si>
    <t>640</t>
  </si>
  <si>
    <t>Isochorismatase domain-containing protein 2 OS=Homo sapiens GN=ISOC2 PE=1 SV=1</t>
  </si>
  <si>
    <t>Q7Z6Z7</t>
  </si>
  <si>
    <t>1113</t>
  </si>
  <si>
    <t>E3 ubiquitin-protein ligase HUWE1 OS=Homo sapiens GN=HUWE1 PE=1 SV=3</t>
  </si>
  <si>
    <t>Q6IN85</t>
  </si>
  <si>
    <t>1109</t>
  </si>
  <si>
    <t>Serine/threonine-protein phosphatase 4 regulatory subunit 3A OS=Homo sapiens GN=PPP4R3A PE=1 SV=1</t>
  </si>
  <si>
    <t>P84098</t>
  </si>
  <si>
    <t>1107</t>
  </si>
  <si>
    <t>60S ribosomal protein L19 OS=Homo sapiens GN=RPL19 PE=1 SV=1</t>
  </si>
  <si>
    <t>P49419</t>
  </si>
  <si>
    <t>1104</t>
  </si>
  <si>
    <t>Alpha-aminoadipic semialdehyde dehydrogenase OS=Homo sapiens GN=ALDH7A1 PE=1 SV=5</t>
  </si>
  <si>
    <t>P63208</t>
  </si>
  <si>
    <t>638</t>
  </si>
  <si>
    <t>S-phase kinase-associated protein 1 OS=Homo sapiens GN=SKP1 PE=1 SV=2</t>
  </si>
  <si>
    <t>O60701</t>
  </si>
  <si>
    <t>633</t>
  </si>
  <si>
    <t>UDP-glucose 6-dehydrogenase OS=Homo sapiens GN=UGDH PE=1 SV=1</t>
  </si>
  <si>
    <t>P15153</t>
  </si>
  <si>
    <t>1130</t>
  </si>
  <si>
    <t>Ras-related C3 botulinum toxin substrate 2 OS=Homo sapiens GN=RAC2 PE=1 SV=1</t>
  </si>
  <si>
    <t>Q93009</t>
  </si>
  <si>
    <t>961</t>
  </si>
  <si>
    <t>Ubiquitin carboxyl-terminal hydrolase 7 OS=Homo sapiens GN=USP7 PE=1 SV=2</t>
  </si>
  <si>
    <t>P49902</t>
  </si>
  <si>
    <t>1037</t>
  </si>
  <si>
    <t>Cytosolic purine 5'-nucleotidase OS=Homo sapiens GN=NT5C2 PE=1 SV=1</t>
  </si>
  <si>
    <t>A1L4H1</t>
  </si>
  <si>
    <t>1118</t>
  </si>
  <si>
    <t>Soluble scavenger receptor cysteine-rich domain-containing protein SSC5D OS=Homo sapiens GN=SSC5D PE=1 SV=3</t>
  </si>
  <si>
    <t>Q96RS6</t>
  </si>
  <si>
    <t>121</t>
  </si>
  <si>
    <t>NudC domain-containing protein 1 OS=Homo sapiens GN=NUDCD1 PE=1 SV=2</t>
  </si>
  <si>
    <t>P08195</t>
  </si>
  <si>
    <t>4F2 cell-surface antigen heavy chain OS=Homo sapiens GN=SLC3A2 PE=1 SV=3</t>
  </si>
  <si>
    <t>Q15427</t>
  </si>
  <si>
    <t>Splicing factor 3B subunit 4 OS=Homo sapiens GN=SF3B4 PE=1 SV=1</t>
  </si>
  <si>
    <t>Q7Z4V5</t>
  </si>
  <si>
    <t>1102</t>
  </si>
  <si>
    <t>Hepatoma-derived growth factor-related protein 2 OS=Homo sapiens GN=HDGFL2 PE=1 SV=1</t>
  </si>
  <si>
    <t>P49356</t>
  </si>
  <si>
    <t>962</t>
  </si>
  <si>
    <t>Protein farnesyltransferase subunit beta OS=Homo sapiens GN=FNTB PE=1 SV=1</t>
  </si>
  <si>
    <t>P62136</t>
  </si>
  <si>
    <t>1000</t>
  </si>
  <si>
    <t>Serine/threonine-protein phosphatase PP1-alpha catalytic subunit OS=Homo sapiens GN=PPP1CA PE=1 SV=1</t>
  </si>
  <si>
    <t>O75526</t>
  </si>
  <si>
    <t>1013</t>
  </si>
  <si>
    <t>RNA-binding motif protein, X-linked-like-2 OS=Homo sapiens GN=RBMXL2 PE=1 SV=3</t>
  </si>
  <si>
    <t>Q9Y6E0</t>
  </si>
  <si>
    <t>1204</t>
  </si>
  <si>
    <t>Serine/threonine-protein kinase 24 OS=Homo sapiens GN=STK24 PE=1 SV=1</t>
  </si>
  <si>
    <t>O60840</t>
  </si>
  <si>
    <t>644</t>
  </si>
  <si>
    <t>Voltage-dependent L-type calcium channel subunit alpha-1F OS=Homo sapiens GN=CACNA1F PE=1 SV=2</t>
  </si>
  <si>
    <t>Q969H8</t>
  </si>
  <si>
    <t>285</t>
  </si>
  <si>
    <t>Myeloid-derived growth factor OS=Homo sapiens GN=MYDGF PE=1 SV=1</t>
  </si>
  <si>
    <t>P35244</t>
  </si>
  <si>
    <t>249</t>
  </si>
  <si>
    <t>Replication protein A 14 kDa subunit OS=Homo sapiens GN=RPA3 PE=1 SV=1</t>
  </si>
  <si>
    <t>P63261</t>
  </si>
  <si>
    <t>676</t>
  </si>
  <si>
    <t>Actin, cytoplasmic 2 OS=Homo sapiens GN=ACTG1 PE=1 SV=1</t>
  </si>
  <si>
    <t>Q13596</t>
  </si>
  <si>
    <t>642</t>
  </si>
  <si>
    <t>Sorting nexin-1 OS=Homo sapiens GN=SNX1 PE=1 SV=3</t>
  </si>
  <si>
    <t>Q9NVD7</t>
  </si>
  <si>
    <t>1027</t>
  </si>
  <si>
    <t>Alpha-parvin OS=Homo sapiens GN=PARVA PE=1 SV=1</t>
  </si>
  <si>
    <t>Q09666</t>
  </si>
  <si>
    <t>1112</t>
  </si>
  <si>
    <t>Neuroblast differentiation-associated protein AHNAK OS=Homo sapiens GN=AHNAK PE=1 SV=2</t>
  </si>
  <si>
    <t>O75923</t>
  </si>
  <si>
    <t>964</t>
  </si>
  <si>
    <t>Dysferlin OS=Homo sapiens GN=DYSF PE=1 SV=1</t>
  </si>
  <si>
    <t>P46779</t>
  </si>
  <si>
    <t>56</t>
  </si>
  <si>
    <t>60S ribosomal protein L28 OS=Homo sapiens GN=RPL28 PE=1 SV=3</t>
  </si>
  <si>
    <t>O43707</t>
  </si>
  <si>
    <t>1.04930458925363</t>
  </si>
  <si>
    <t>0.379383684283067</t>
  </si>
  <si>
    <t>756</t>
  </si>
  <si>
    <t>Alpha-actinin-4 OS=Homo sapiens GN=ACTN4 PE=1 SV=2</t>
  </si>
  <si>
    <t>P08697</t>
  </si>
  <si>
    <t>0.386672400320175</t>
  </si>
  <si>
    <t>Alpha-2-antiplasmin OS=Homo sapiens GN=SERPINF2 PE=1 SV=3</t>
  </si>
  <si>
    <t>Q04637</t>
  </si>
  <si>
    <t>Eukaryotic translation initiation factor 4 gamma 1 OS=Homo sapiens GN=EIF4G1 PE=1 SV=4</t>
  </si>
  <si>
    <t>P63241</t>
  </si>
  <si>
    <t>1.1601847133758</t>
  </si>
  <si>
    <t>0.387523878333439</t>
  </si>
  <si>
    <t>842</t>
  </si>
  <si>
    <t>Eukaryotic translation initiation factor 5A-1 OS=Homo sapiens GN=EIF5A PE=1 SV=2</t>
  </si>
  <si>
    <t>P04632</t>
  </si>
  <si>
    <t>0.396729649984618</t>
  </si>
  <si>
    <t>619</t>
  </si>
  <si>
    <t>Calpain small subunit 1 OS=Homo sapiens GN=CAPNS1 PE=1 SV=1</t>
  </si>
  <si>
    <t>Q9BXJ0</t>
  </si>
  <si>
    <t>54</t>
  </si>
  <si>
    <t>Complement C1q tumor necrosis factor-related protein 5 OS=Homo sapiens GN=C1QTNF5 PE=1 SV=1</t>
  </si>
  <si>
    <t>Q02952</t>
  </si>
  <si>
    <t>A-kinase anchor protein 12 OS=Homo sapiens GN=AKAP12 PE=1 SV=4</t>
  </si>
  <si>
    <t>P62244</t>
  </si>
  <si>
    <t>873</t>
  </si>
  <si>
    <t>40S ribosomal protein S15a OS=Homo sapiens GN=RPS15A PE=1 SV=2</t>
  </si>
  <si>
    <t>Q04837</t>
  </si>
  <si>
    <t>942</t>
  </si>
  <si>
    <t>Single-stranded DNA-binding protein, mitochondrial OS=Homo sapiens GN=SSBP1 PE=1 SV=1</t>
  </si>
  <si>
    <t>Q92896</t>
  </si>
  <si>
    <t>139</t>
  </si>
  <si>
    <t>Golgi apparatus protein 1 OS=Homo sapiens GN=GLG1 PE=1 SV=2</t>
  </si>
  <si>
    <t>P23284</t>
  </si>
  <si>
    <t>1.08484804367607</t>
  </si>
  <si>
    <t>0.397153884194404</t>
  </si>
  <si>
    <t>392</t>
  </si>
  <si>
    <t>Peptidyl-prolyl cis-trans isomerase B OS=Homo sapiens GN=PPIB PE=1 SV=2</t>
  </si>
  <si>
    <t>P05455</t>
  </si>
  <si>
    <t>1.10339245467908</t>
  </si>
  <si>
    <t>0.404382945101213</t>
  </si>
  <si>
    <t>983</t>
  </si>
  <si>
    <t>Lupus La protein OS=Homo sapiens GN=SSB PE=1 SV=2</t>
  </si>
  <si>
    <t>P25789</t>
  </si>
  <si>
    <t>463</t>
  </si>
  <si>
    <t>Proteasome subunit alpha type-4 OS=Homo sapiens GN=PSMA4 PE=1 SV=1</t>
  </si>
  <si>
    <t>P12004</t>
  </si>
  <si>
    <t>0.404872929928432</t>
  </si>
  <si>
    <t>Proliferating cell nuclear antigen OS=Homo sapiens GN=PCNA PE=1 SV=1</t>
  </si>
  <si>
    <t>P09651</t>
  </si>
  <si>
    <t>1.12502760084926</t>
  </si>
  <si>
    <t>0.406602339942166</t>
  </si>
  <si>
    <t>906</t>
  </si>
  <si>
    <t>Heterogeneous nuclear ribonucleoprotein A1 OS=Homo sapiens GN=HNRNPA1 PE=1 SV=5</t>
  </si>
  <si>
    <t>P33151</t>
  </si>
  <si>
    <t>1.06151797822067</t>
  </si>
  <si>
    <t>0.407947053209722</t>
  </si>
  <si>
    <t>1060</t>
  </si>
  <si>
    <t>Cadherin-5 OS=Homo sapiens GN=CDH5 PE=1 SV=5</t>
  </si>
  <si>
    <t>P05387</t>
  </si>
  <si>
    <t>0.407985184095414</t>
  </si>
  <si>
    <t>1094</t>
  </si>
  <si>
    <t>60S acidic ribosomal protein P2 OS=Homo sapiens GN=RPLP2 PE=1 SV=1</t>
  </si>
  <si>
    <t>Q9H3T3</t>
  </si>
  <si>
    <t>1019</t>
  </si>
  <si>
    <t>Semaphorin-6B OS=Homo sapiens GN=SEMA6B PE=1 SV=4</t>
  </si>
  <si>
    <t>Q96FW1</t>
  </si>
  <si>
    <t>435</t>
  </si>
  <si>
    <t>Ubiquitin thioesterase OTUB1 OS=Homo sapiens GN=OTUB1 PE=1 SV=2</t>
  </si>
  <si>
    <t>Q9Y5S9</t>
  </si>
  <si>
    <t>718</t>
  </si>
  <si>
    <t>RNA-binding protein 8A OS=Homo sapiens GN=RBM8A PE=1 SV=1</t>
  </si>
  <si>
    <t>Q99584</t>
  </si>
  <si>
    <t>502</t>
  </si>
  <si>
    <t>Protein S100-A13 OS=Homo sapiens GN=S100A13 PE=1 SV=1</t>
  </si>
  <si>
    <t>P54920</t>
  </si>
  <si>
    <t>1093</t>
  </si>
  <si>
    <t>Alpha-soluble NSF attachment protein OS=Homo sapiens GN=NAPA PE=1 SV=3</t>
  </si>
  <si>
    <t>P16949</t>
  </si>
  <si>
    <t>1090</t>
  </si>
  <si>
    <t>Stathmin OS=Homo sapiens GN=STMN1 PE=1 SV=3</t>
  </si>
  <si>
    <t>Q9UNM6</t>
  </si>
  <si>
    <t>1036</t>
  </si>
  <si>
    <t>26S proteasome non-ATPase regulatory subunit 13 OS=Homo sapiens GN=PSMD13 PE=1 SV=2</t>
  </si>
  <si>
    <t>P50579</t>
  </si>
  <si>
    <t>423</t>
  </si>
  <si>
    <t>Methionine aminopeptidase 2 OS=Homo sapiens GN=METAP2 PE=1 SV=1</t>
  </si>
  <si>
    <t>O00505</t>
  </si>
  <si>
    <t>1158</t>
  </si>
  <si>
    <t>Importin subunit alpha-4 OS=Homo sapiens GN=KPNA3 PE=1 SV=2</t>
  </si>
  <si>
    <t>O14672</t>
  </si>
  <si>
    <t>509</t>
  </si>
  <si>
    <t>Disintegrin and metalloproteinase domain-containing protein 10 OS=Homo sapiens GN=ADAM10 PE=1 SV=1</t>
  </si>
  <si>
    <t>P49458</t>
  </si>
  <si>
    <t>568</t>
  </si>
  <si>
    <t>Signal recognition particle 9 kDa protein OS=Homo sapiens GN=SRP9 PE=1 SV=2</t>
  </si>
  <si>
    <t>P02749</t>
  </si>
  <si>
    <t>Beta-2-glycoprotein 1 OS=Homo sapiens GN=APOH PE=1 SV=3</t>
  </si>
  <si>
    <t>Q14766</t>
  </si>
  <si>
    <t>195</t>
  </si>
  <si>
    <t>Latent-transforming growth factor beta-binding protein 1 OS=Homo sapiens GN=LTBP1 PE=1 SV=4</t>
  </si>
  <si>
    <t>P22314</t>
  </si>
  <si>
    <t>156</t>
  </si>
  <si>
    <t>Ubiquitin-like modifier-activating enzyme 1 OS=Homo sapiens GN=UBA1 PE=1 SV=3</t>
  </si>
  <si>
    <t>P50897</t>
  </si>
  <si>
    <t>573</t>
  </si>
  <si>
    <t>Palmitoyl-protein thioesterase 1 OS=Homo sapiens GN=PPT1 PE=1 SV=1</t>
  </si>
  <si>
    <t>P10253</t>
  </si>
  <si>
    <t>954</t>
  </si>
  <si>
    <t>Lysosomal alpha-glucosidase OS=Homo sapiens GN=GAA PE=1 SV=4</t>
  </si>
  <si>
    <t>A2RUT3</t>
  </si>
  <si>
    <t>958</t>
  </si>
  <si>
    <t>Transmembrane protein 89 OS=Homo sapiens GN=TMEM89 PE=2 SV=1</t>
  </si>
  <si>
    <t>P07237</t>
  </si>
  <si>
    <t>1.05471337579618</t>
  </si>
  <si>
    <t>0.411302810259084</t>
  </si>
  <si>
    <t>682</t>
  </si>
  <si>
    <t>Protein disulfide-isomerase OS=Homo sapiens GN=P4HB PE=1 SV=3</t>
  </si>
  <si>
    <t>P60033</t>
  </si>
  <si>
    <t>0.420941676418184</t>
  </si>
  <si>
    <t>790</t>
  </si>
  <si>
    <t>CD81 antigen OS=Homo sapiens GN=CD81 PE=1 SV=1</t>
  </si>
  <si>
    <t>Q9Y281</t>
  </si>
  <si>
    <t>Cofilin-2 OS=Homo sapiens GN=CFL2 PE=1 SV=1</t>
  </si>
  <si>
    <t>Q9UBQ0</t>
  </si>
  <si>
    <t>276</t>
  </si>
  <si>
    <t>Vacuolar protein sorting-associated protein 29 OS=Homo sapiens GN=VPS29 PE=1 SV=1</t>
  </si>
  <si>
    <t>P02753</t>
  </si>
  <si>
    <t>814</t>
  </si>
  <si>
    <t>Retinol-binding protein 4 OS=Homo sapiens GN=RBP4 PE=1 SV=3</t>
  </si>
  <si>
    <t>P61088</t>
  </si>
  <si>
    <t>800</t>
  </si>
  <si>
    <t>Ubiquitin-conjugating enzyme E2 N OS=Homo sapiens GN=UBE2N PE=1 SV=1</t>
  </si>
  <si>
    <t>P02647</t>
  </si>
  <si>
    <t>1157</t>
  </si>
  <si>
    <t>Apolipoprotein A-I OS=Homo sapiens GN=APOA1 PE=1 SV=1</t>
  </si>
  <si>
    <t>P55145</t>
  </si>
  <si>
    <t>269</t>
  </si>
  <si>
    <t>Mesencephalic astrocyte-derived neurotrophic factor OS=Homo sapiens GN=MANF PE=1 SV=3</t>
  </si>
  <si>
    <t>O95881</t>
  </si>
  <si>
    <t>883</t>
  </si>
  <si>
    <t>Thioredoxin domain-containing protein 12 OS=Homo sapiens GN=TXNDC12 PE=1 SV=1</t>
  </si>
  <si>
    <t>P15170</t>
  </si>
  <si>
    <t>419</t>
  </si>
  <si>
    <t>Eukaryotic peptide chain release factor GTP-binding subunit ERF3A OS=Homo sapiens GN=GSPT1 PE=1 SV=1</t>
  </si>
  <si>
    <t>Q9UJA5</t>
  </si>
  <si>
    <t>tRNA (adenine(58)-N(1))-methyltransferase non-catalytic subunit TRM6 OS=Homo sapiens GN=TRMT6 PE=1 SV=1</t>
  </si>
  <si>
    <t>P47914</t>
  </si>
  <si>
    <t>356</t>
  </si>
  <si>
    <t>60S ribosomal protein L29 OS=Homo sapiens GN=RPL29 PE=1 SV=2</t>
  </si>
  <si>
    <t>Q9NX46</t>
  </si>
  <si>
    <t>724</t>
  </si>
  <si>
    <t>Poly(ADP-ribose) glycohydrolase ARH3 OS=Homo sapiens GN=ADPRHL2 PE=1 SV=1</t>
  </si>
  <si>
    <t>P09543</t>
  </si>
  <si>
    <t>519</t>
  </si>
  <si>
    <t>2',3'-cyclic-nucleotide 3'-phosphodiesterase OS=Homo sapiens GN=CNP PE=1 SV=2</t>
  </si>
  <si>
    <t>P43652</t>
  </si>
  <si>
    <t>590</t>
  </si>
  <si>
    <t>Afamin OS=Homo sapiens GN=AFM PE=1 SV=1</t>
  </si>
  <si>
    <t>Q9NTM9</t>
  </si>
  <si>
    <t>1032</t>
  </si>
  <si>
    <t>Copper homeostasis protein cutC homolog OS=Homo sapiens GN=CUTC PE=1 SV=1</t>
  </si>
  <si>
    <t>Q96HC4</t>
  </si>
  <si>
    <t>1038</t>
  </si>
  <si>
    <t>PDZ and LIM domain protein 5 OS=Homo sapiens GN=PDLIM5 PE=1 SV=5</t>
  </si>
  <si>
    <t>P15151</t>
  </si>
  <si>
    <t>506</t>
  </si>
  <si>
    <t>Poliovirus receptor OS=Homo sapiens GN=PVR PE=1 SV=2</t>
  </si>
  <si>
    <t>P19021</t>
  </si>
  <si>
    <t>637</t>
  </si>
  <si>
    <t>Peptidyl-glycine alpha-amidating monooxygenase OS=Homo sapiens GN=PAM PE=1 SV=2</t>
  </si>
  <si>
    <t>Q86UX7</t>
  </si>
  <si>
    <t>274</t>
  </si>
  <si>
    <t>Fermitin family homolog 3 OS=Homo sapiens GN=FERMT3 PE=1 SV=1</t>
  </si>
  <si>
    <t>P49763</t>
  </si>
  <si>
    <t>624</t>
  </si>
  <si>
    <t>Placenta growth factor OS=Homo sapiens GN=PGF PE=1 SV=2</t>
  </si>
  <si>
    <t>Q7L2H7</t>
  </si>
  <si>
    <t>1117</t>
  </si>
  <si>
    <t>Eukaryotic translation initiation factor 3 subunit M OS=Homo sapiens GN=EIF3M PE=1 SV=1</t>
  </si>
  <si>
    <t>P21980</t>
  </si>
  <si>
    <t>-1.07980889881971</t>
  </si>
  <si>
    <t>0.423693950408791</t>
  </si>
  <si>
    <t>Protein-glutamine gamma-glutamyltransferase 2 OS=Homo sapiens GN=TGM2 PE=1 SV=2</t>
  </si>
  <si>
    <t>O95433</t>
  </si>
  <si>
    <t>0.426149739691691</t>
  </si>
  <si>
    <t>190</t>
  </si>
  <si>
    <t>Activator of 90 kDa heat shock protein ATPase homolog 1 OS=Homo sapiens GN=AHSA1 PE=1 SV=1</t>
  </si>
  <si>
    <t>Q92973</t>
  </si>
  <si>
    <t>787</t>
  </si>
  <si>
    <t>Transportin-1 OS=Homo sapiens GN=TNPO1 PE=1 SV=2</t>
  </si>
  <si>
    <t>P62266</t>
  </si>
  <si>
    <t>804</t>
  </si>
  <si>
    <t>40S ribosomal protein S23 OS=Homo sapiens GN=RPS23 PE=1 SV=3</t>
  </si>
  <si>
    <t>P14735</t>
  </si>
  <si>
    <t>Insulin-degrading enzyme OS=Homo sapiens GN=IDE PE=1 SV=4</t>
  </si>
  <si>
    <t>Q15185</t>
  </si>
  <si>
    <t>107</t>
  </si>
  <si>
    <t>Prostaglandin E synthase 3 OS=Homo sapiens GN=PTGES3 PE=1 SV=1</t>
  </si>
  <si>
    <t>P55884</t>
  </si>
  <si>
    <t>1020</t>
  </si>
  <si>
    <t>Eukaryotic translation initiation factor 3 subunit B OS=Homo sapiens GN=EIF3B PE=1 SV=3</t>
  </si>
  <si>
    <t>P62304</t>
  </si>
  <si>
    <t>336</t>
  </si>
  <si>
    <t>Small nuclear ribonucleoprotein E OS=Homo sapiens GN=SNRPE PE=1 SV=1</t>
  </si>
  <si>
    <t>Q96TC7</t>
  </si>
  <si>
    <t>581</t>
  </si>
  <si>
    <t>Regulator of microtubule dynamics protein 3 OS=Homo sapiens GN=RMDN3 PE=1 SV=2</t>
  </si>
  <si>
    <t>Q9UBQ7</t>
  </si>
  <si>
    <t>950</t>
  </si>
  <si>
    <t>Glyoxylate reductase/hydroxypyruvate reductase OS=Homo sapiens GN=GRHPR PE=1 SV=1</t>
  </si>
  <si>
    <t>Q9Y230</t>
  </si>
  <si>
    <t>515</t>
  </si>
  <si>
    <t>RuvB-like 2 OS=Homo sapiens GN=RUVBL2 PE=1 SV=3</t>
  </si>
  <si>
    <t>P40261</t>
  </si>
  <si>
    <t>951</t>
  </si>
  <si>
    <t>Nicotinamide N-methyltransferase OS=Homo sapiens GN=NNMT PE=1 SV=1</t>
  </si>
  <si>
    <t>O43809</t>
  </si>
  <si>
    <t>626</t>
  </si>
  <si>
    <t>Cleavage and polyadenylation specificity factor subunit 5 OS=Homo sapiens GN=NUDT21 PE=1 SV=1</t>
  </si>
  <si>
    <t>P51858</t>
  </si>
  <si>
    <t>1141</t>
  </si>
  <si>
    <t>Hepatoma-derived growth factor OS=Homo sapiens GN=HDGF PE=1 SV=1</t>
  </si>
  <si>
    <t>P36955</t>
  </si>
  <si>
    <t>134</t>
  </si>
  <si>
    <t>Pigment epithelium-derived factor OS=Homo sapiens GN=SERPINF1 PE=1 SV=4</t>
  </si>
  <si>
    <t>P46926</t>
  </si>
  <si>
    <t>952</t>
  </si>
  <si>
    <t>Glucosamine-6-phosphate isomerase 1 OS=Homo sapiens GN=GNPDA1 PE=1 SV=1</t>
  </si>
  <si>
    <t>P14550</t>
  </si>
  <si>
    <t>Alcohol dehydrogenase [NADP(+)] OS=Homo sapiens GN=AKR1A1 PE=1 SV=3</t>
  </si>
  <si>
    <t>O15355</t>
  </si>
  <si>
    <t>945</t>
  </si>
  <si>
    <t>Protein phosphatase 1G OS=Homo sapiens GN=PPM1G PE=1 SV=1</t>
  </si>
  <si>
    <t>P62899</t>
  </si>
  <si>
    <t>135</t>
  </si>
  <si>
    <t>60S ribosomal protein L31 OS=Homo sapiens GN=RPL31 PE=1 SV=1</t>
  </si>
  <si>
    <t>P80723</t>
  </si>
  <si>
    <t>494</t>
  </si>
  <si>
    <t>Brain acid soluble protein 1 OS=Homo sapiens GN=BASP1 PE=1 SV=2</t>
  </si>
  <si>
    <t>Q00169</t>
  </si>
  <si>
    <t>496</t>
  </si>
  <si>
    <t>Phosphatidylinositol transfer protein alpha isoform OS=Homo sapiens GN=PITPNA PE=1 SV=2</t>
  </si>
  <si>
    <t>Q68EM7</t>
  </si>
  <si>
    <t>939</t>
  </si>
  <si>
    <t>Rho GTPase-activating protein 17 OS=Homo sapiens GN=ARHGAP17 PE=1 SV=1</t>
  </si>
  <si>
    <t>Q8NE71</t>
  </si>
  <si>
    <t>943</t>
  </si>
  <si>
    <t>ATP-binding cassette sub-family F member 1 OS=Homo sapiens GN=ABCF1 PE=1 SV=2</t>
  </si>
  <si>
    <t>P55769</t>
  </si>
  <si>
    <t>431</t>
  </si>
  <si>
    <t>NHP2-like protein 1 OS=Homo sapiens GN=SNU13 PE=1 SV=3</t>
  </si>
  <si>
    <t>P17050</t>
  </si>
  <si>
    <t>872</t>
  </si>
  <si>
    <t>Alpha-N-acetylgalactosaminidase OS=Homo sapiens GN=NAGA PE=1 SV=2</t>
  </si>
  <si>
    <t>P61221</t>
  </si>
  <si>
    <t>1149</t>
  </si>
  <si>
    <t>ATP-binding cassette sub-family E member 1 OS=Homo sapiens GN=ABCE1 PE=1 SV=1</t>
  </si>
  <si>
    <t>P62857</t>
  </si>
  <si>
    <t>258</t>
  </si>
  <si>
    <t>40S ribosomal protein S28 OS=Homo sapiens GN=RPS28 PE=1 SV=1</t>
  </si>
  <si>
    <t>P49903</t>
  </si>
  <si>
    <t>733</t>
  </si>
  <si>
    <t>Selenide, water dikinase 1 OS=Homo sapiens GN=SEPHS1 PE=1 SV=2</t>
  </si>
  <si>
    <t>P30040</t>
  </si>
  <si>
    <t>1161</t>
  </si>
  <si>
    <t>Endoplasmic reticulum resident protein 29 OS=Homo sapiens GN=ERP29 PE=1 SV=4</t>
  </si>
  <si>
    <t>Q9UJ70</t>
  </si>
  <si>
    <t>1164</t>
  </si>
  <si>
    <t>N-acetyl-D-glucosamine kinase OS=Homo sapiens GN=NAGK PE=1 SV=4</t>
  </si>
  <si>
    <t>P02462</t>
  </si>
  <si>
    <t>418</t>
  </si>
  <si>
    <t>Collagen alpha-1(IV) chain OS=Homo sapiens GN=COL4A1 PE=1 SV=3</t>
  </si>
  <si>
    <t>P05386</t>
  </si>
  <si>
    <t>131</t>
  </si>
  <si>
    <t>60S acidic ribosomal protein P1 OS=Homo sapiens GN=RPLP1 PE=1 SV=1</t>
  </si>
  <si>
    <t>P52888</t>
  </si>
  <si>
    <t>1017</t>
  </si>
  <si>
    <t>Thimet oligopeptidase OS=Homo sapiens GN=THOP1 PE=1 SV=2</t>
  </si>
  <si>
    <t>Q15436</t>
  </si>
  <si>
    <t>0.42837628237132</t>
  </si>
  <si>
    <t>174</t>
  </si>
  <si>
    <t>Protein transport protein Sec23A OS=Homo sapiens GN=SEC23A PE=1 SV=2</t>
  </si>
  <si>
    <t>P10909</t>
  </si>
  <si>
    <t>1.04230498313975</t>
  </si>
  <si>
    <t>0.434307800154835</t>
  </si>
  <si>
    <t>907</t>
  </si>
  <si>
    <t>Clusterin OS=Homo sapiens GN=CLU PE=1 SV=1</t>
  </si>
  <si>
    <t>P35590</t>
  </si>
  <si>
    <t>0.436954190615027</t>
  </si>
  <si>
    <t>Tyrosine-protein kinase receptor Tie-1 OS=Homo sapiens GN=TIE1 PE=1 SV=1</t>
  </si>
  <si>
    <t>O14818</t>
  </si>
  <si>
    <t>1.07388998262884</t>
  </si>
  <si>
    <t>0.440061643049163</t>
  </si>
  <si>
    <t>1178</t>
  </si>
  <si>
    <t>Proteasome subunit alpha type-7 OS=Homo sapiens GN=PSMA7 PE=1 SV=1</t>
  </si>
  <si>
    <t>P67936</t>
  </si>
  <si>
    <t>0.44522201922911</t>
  </si>
  <si>
    <t>222</t>
  </si>
  <si>
    <t>Tropomyosin alpha-4 chain OS=Homo sapiens GN=TPM4 PE=1 SV=3</t>
  </si>
  <si>
    <t>P67809</t>
  </si>
  <si>
    <t>0.448856027279373</t>
  </si>
  <si>
    <t>930</t>
  </si>
  <si>
    <t>Nuclease-sensitive element-binding protein 1 OS=Homo sapiens GN=YBX1 PE=1 SV=3</t>
  </si>
  <si>
    <t>P59998</t>
  </si>
  <si>
    <t>997</t>
  </si>
  <si>
    <t>Actin-related protein 2/3 complex subunit 4 OS=Homo sapiens GN=ARPC4 PE=1 SV=3</t>
  </si>
  <si>
    <t>Q96QV1</t>
  </si>
  <si>
    <t>-1.11108385168186</t>
  </si>
  <si>
    <t>0.449446999997133</t>
  </si>
  <si>
    <t>773</t>
  </si>
  <si>
    <t>Hedgehog-interacting protein OS=Homo sapiens GN=HHIP PE=1 SV=3</t>
  </si>
  <si>
    <t>Q16363</t>
  </si>
  <si>
    <t>-1.05817509683987</t>
  </si>
  <si>
    <t>0.452919225583077</t>
  </si>
  <si>
    <t>Laminin subunit alpha-4 OS=Homo sapiens GN=LAMA4 PE=1 SV=4</t>
  </si>
  <si>
    <t>P13667</t>
  </si>
  <si>
    <t>0.457405661499069</t>
  </si>
  <si>
    <t>1058</t>
  </si>
  <si>
    <t>Protein disulfide-isomerase A4 OS=Homo sapiens GN=PDIA4 PE=1 SV=2</t>
  </si>
  <si>
    <t>P10646</t>
  </si>
  <si>
    <t>-1.10614570122995</t>
  </si>
  <si>
    <t>0.458893162439093</t>
  </si>
  <si>
    <t>176</t>
  </si>
  <si>
    <t>Tissue factor pathway inhibitor OS=Homo sapiens GN=TFPI PE=1 SV=1</t>
  </si>
  <si>
    <t>Q9NR30</t>
  </si>
  <si>
    <t>0.459180423776399</t>
  </si>
  <si>
    <t>256</t>
  </si>
  <si>
    <t>Nucleolar RNA helicase 2 OS=Homo sapiens GN=DDX21 PE=1 SV=5</t>
  </si>
  <si>
    <t>P05997</t>
  </si>
  <si>
    <t>Collagen alpha-2(V) chain OS=Homo sapiens GN=COL5A2 PE=1 SV=3</t>
  </si>
  <si>
    <t>P62888</t>
  </si>
  <si>
    <t>484</t>
  </si>
  <si>
    <t>60S ribosomal protein L30 OS=Homo sapiens GN=RPL30 PE=1 SV=2</t>
  </si>
  <si>
    <t>Q92688</t>
  </si>
  <si>
    <t>777</t>
  </si>
  <si>
    <t>Acidic leucine-rich nuclear phosphoprotein 32 family member B OS=Homo sapiens GN=ANP32B PE=1 SV=1</t>
  </si>
  <si>
    <t>P06454</t>
  </si>
  <si>
    <t>261</t>
  </si>
  <si>
    <t>Prothymosin alpha OS=Homo sapiens GN=PTMA PE=1 SV=2</t>
  </si>
  <si>
    <t>P13798</t>
  </si>
  <si>
    <t>1018</t>
  </si>
  <si>
    <t>Acylamino-acid-releasing enzyme OS=Homo sapiens GN=APEH PE=1 SV=4</t>
  </si>
  <si>
    <t>P54578</t>
  </si>
  <si>
    <t>1015</t>
  </si>
  <si>
    <t>Ubiquitin carboxyl-terminal hydrolase 14 OS=Homo sapiens GN=USP14 PE=1 SV=3</t>
  </si>
  <si>
    <t>Q99598</t>
  </si>
  <si>
    <t>1108</t>
  </si>
  <si>
    <t>Translin-associated protein X OS=Homo sapiens GN=TSNAX PE=1 SV=1</t>
  </si>
  <si>
    <t>P20618</t>
  </si>
  <si>
    <t>1.03127530077849</t>
  </si>
  <si>
    <t>0.468988550002848</t>
  </si>
  <si>
    <t>84</t>
  </si>
  <si>
    <t>Proteasome subunit beta type-1 OS=Homo sapiens GN=PSMB1 PE=1 SV=2</t>
  </si>
  <si>
    <t>P43121</t>
  </si>
  <si>
    <t>-1.05703112376221</t>
  </si>
  <si>
    <t>0.478784623169707</t>
  </si>
  <si>
    <t>1053</t>
  </si>
  <si>
    <t>Cell surface glycoprotein MUC18 OS=Homo sapiens GN=MCAM PE=1 SV=2</t>
  </si>
  <si>
    <t>Q562R1</t>
  </si>
  <si>
    <t>-1.09399025396368</t>
  </si>
  <si>
    <t>0.47955288132684</t>
  </si>
  <si>
    <t>834</t>
  </si>
  <si>
    <t>Beta-actin-like protein 2 OS=Homo sapiens GN=ACTBL2 PE=1 SV=2</t>
  </si>
  <si>
    <t>Q07021</t>
  </si>
  <si>
    <t>778</t>
  </si>
  <si>
    <t>Complement component 1 Q subcomponent-binding protein, mitochondrial OS=Homo sapiens GN=C1QBP PE=1 SV=1</t>
  </si>
  <si>
    <t>Q6YHK3</t>
  </si>
  <si>
    <t>1.02140663761314</t>
  </si>
  <si>
    <t>0.480025206375548</t>
  </si>
  <si>
    <t>767</t>
  </si>
  <si>
    <t>CD109 antigen OS=Homo sapiens GN=CD109 PE=1 SV=2</t>
  </si>
  <si>
    <t>Q99497</t>
  </si>
  <si>
    <t>1.02457870791629</t>
  </si>
  <si>
    <t>0.481662742255207</t>
  </si>
  <si>
    <t>662</t>
  </si>
  <si>
    <t>Protein DJ-1 OS=Homo sapiens GN=PARK7 PE=1 SV=2</t>
  </si>
  <si>
    <t>O95782</t>
  </si>
  <si>
    <t>0.484577746669583</t>
  </si>
  <si>
    <t>922</t>
  </si>
  <si>
    <t>AP-2 complex subunit alpha-1 OS=Homo sapiens GN=AP2A1 PE=1 SV=3</t>
  </si>
  <si>
    <t>Q9C0H2</t>
  </si>
  <si>
    <t>429</t>
  </si>
  <si>
    <t>Protein tweety homolog 3 OS=Homo sapiens GN=TTYH3 PE=1 SV=3</t>
  </si>
  <si>
    <t>P54136</t>
  </si>
  <si>
    <t>553</t>
  </si>
  <si>
    <t>Arginine--tRNA ligase, cytoplasmic OS=Homo sapiens GN=RARS PE=1 SV=2</t>
  </si>
  <si>
    <t>Q04760</t>
  </si>
  <si>
    <t>328</t>
  </si>
  <si>
    <t>Lactoylglutathione lyase OS=Homo sapiens GN=GLO1 PE=1 SV=4</t>
  </si>
  <si>
    <t>P35637</t>
  </si>
  <si>
    <t>863</t>
  </si>
  <si>
    <t>RNA-binding protein FUS OS=Homo sapiens GN=FUS PE=1 SV=1</t>
  </si>
  <si>
    <t>Q14914</t>
  </si>
  <si>
    <t>609</t>
  </si>
  <si>
    <t>Prostaglandin reductase 1 OS=Homo sapiens GN=PTGR1 PE=1 SV=2</t>
  </si>
  <si>
    <t>P61981</t>
  </si>
  <si>
    <t>-1.06664049761459</t>
  </si>
  <si>
    <t>0.492347570508949</t>
  </si>
  <si>
    <t>14-3-3 protein gamma OS=Homo sapiens GN=YWHAG PE=1 SV=2</t>
  </si>
  <si>
    <t>P09429</t>
  </si>
  <si>
    <t>1.01252484076433</t>
  </si>
  <si>
    <t>0.493810152686269</t>
  </si>
  <si>
    <t>169</t>
  </si>
  <si>
    <t>High mobility group protein B1 OS=Homo sapiens GN=HMGB1 PE=1 SV=3</t>
  </si>
  <si>
    <t>P39687</t>
  </si>
  <si>
    <t>0.498151020278164</t>
  </si>
  <si>
    <t>398</t>
  </si>
  <si>
    <t>Acidic leucine-rich nuclear phosphoprotein 32 family member A OS=Homo sapiens GN=ANP32A PE=1 SV=1</t>
  </si>
  <si>
    <t>P26022</t>
  </si>
  <si>
    <t>1.00448892932969</t>
  </si>
  <si>
    <t>0.50064380502132</t>
  </si>
  <si>
    <t>1061</t>
  </si>
  <si>
    <t>Pentraxin-related protein PTX3 OS=Homo sapiens GN=PTX3 PE=1 SV=3</t>
  </si>
  <si>
    <t>Q13867</t>
  </si>
  <si>
    <t>0.505307217853776</t>
  </si>
  <si>
    <t>928</t>
  </si>
  <si>
    <t>Bleomycin hydrolase OS=Homo sapiens GN=BLMH PE=1 SV=1</t>
  </si>
  <si>
    <t>Q13162</t>
  </si>
  <si>
    <t>185</t>
  </si>
  <si>
    <t>Peroxiredoxin-4 OS=Homo sapiens GN=PRDX4 PE=1 SV=1</t>
  </si>
  <si>
    <t>Q96TA1</t>
  </si>
  <si>
    <t>404</t>
  </si>
  <si>
    <t>Niban-like protein 1 OS=Homo sapiens GN=FAM129B PE=1 SV=3</t>
  </si>
  <si>
    <t>Q04917</t>
  </si>
  <si>
    <t>651</t>
  </si>
  <si>
    <t>14-3-3 protein eta OS=Homo sapiens GN=YWHAH PE=1 SV=4</t>
  </si>
  <si>
    <t>P62318</t>
  </si>
  <si>
    <t>479</t>
  </si>
  <si>
    <t>Small nuclear ribonucleoprotein Sm D3 OS=Homo sapiens GN=SNRPD3 PE=1 SV=1</t>
  </si>
  <si>
    <t>P12109</t>
  </si>
  <si>
    <t>421</t>
  </si>
  <si>
    <t>Collagen alpha-1(VI) chain OS=Homo sapiens GN=COL6A1 PE=1 SV=3</t>
  </si>
  <si>
    <t>O00622</t>
  </si>
  <si>
    <t>-1.05347209640947</t>
  </si>
  <si>
    <t>0.513451293291184</t>
  </si>
  <si>
    <t>303</t>
  </si>
  <si>
    <t>Protein CYR61 OS=Homo sapiens GN=CYR61 PE=1 SV=1</t>
  </si>
  <si>
    <t>Q08629</t>
  </si>
  <si>
    <t>-1.03701159490307</t>
  </si>
  <si>
    <t>0.537030770104992</t>
  </si>
  <si>
    <t>661</t>
  </si>
  <si>
    <t>Testican-1 OS=Homo sapiens GN=SPOCK1 PE=1 SV=1</t>
  </si>
  <si>
    <t>P07942</t>
  </si>
  <si>
    <t>-1.02354391185238</t>
  </si>
  <si>
    <t>0.537500116969071</t>
  </si>
  <si>
    <t>680</t>
  </si>
  <si>
    <t>Laminin subunit beta-1 OS=Homo sapiens GN=LAMB1 PE=1 SV=2</t>
  </si>
  <si>
    <t>Q9H299</t>
  </si>
  <si>
    <t>-1.01584809296628</t>
  </si>
  <si>
    <t>0.565442626611605</t>
  </si>
  <si>
    <t>475</t>
  </si>
  <si>
    <t>SH3 domain-binding glutamic acid-rich-like protein 3 OS=Homo sapiens GN=SH3BGRL3 PE=1 SV=1</t>
  </si>
  <si>
    <t>P27797</t>
  </si>
  <si>
    <t>-1.00864349656226</t>
  </si>
  <si>
    <t>0.56808461906322</t>
  </si>
  <si>
    <t>653</t>
  </si>
  <si>
    <t>Calreticulin OS=Homo sapiens GN=CALR PE=1 SV=1</t>
  </si>
  <si>
    <t>P07355</t>
  </si>
  <si>
    <t>-1.00738269219156</t>
  </si>
  <si>
    <t>0.571600596135324</t>
  </si>
  <si>
    <t>459</t>
  </si>
  <si>
    <t>Annexin A2 OS=Homo sapiens GN=ANXA2 PE=1 SV=2</t>
  </si>
  <si>
    <t>#These identifications were filtered out by the L-stringency and so deserve further experimentation to verify if they are indeed differentially expressed</t>
  </si>
  <si>
    <t>P09601</t>
  </si>
  <si>
    <t>0.0390771757772819</t>
  </si>
  <si>
    <t>1144</t>
  </si>
  <si>
    <t>Heme oxygenase 1 OS=Homo sapiens GN=HMOX1 PE=1 SV=1</t>
  </si>
  <si>
    <t>Q10472</t>
  </si>
  <si>
    <t>747</t>
  </si>
  <si>
    <t>Polypeptide N-acetylgalactosaminyltransferase 1 OS=Homo sapiens GN=GALNT1 PE=1 SV=1</t>
  </si>
  <si>
    <t>P13686</t>
  </si>
  <si>
    <t>1146</t>
  </si>
  <si>
    <t>Tartrate-resistant acid phosphatase type 5 OS=Homo sapiens GN=ACP5 PE=1 SV=3</t>
  </si>
  <si>
    <t>P10619</t>
  </si>
  <si>
    <t>446</t>
  </si>
  <si>
    <t>Lysosomal protective protein OS=Homo sapiens GN=CTSA PE=1 SV=2</t>
  </si>
  <si>
    <t>AKT T308/Akt</t>
  </si>
  <si>
    <t>AKT S473/Akt</t>
  </si>
  <si>
    <t>Coronavirus Pathogenesis Pathway</t>
  </si>
  <si>
    <t>Agranulocyte Adhesion and Diapedesis</t>
  </si>
  <si>
    <t>HIF1α Signaling</t>
  </si>
  <si>
    <t>Phagosome Maturation</t>
  </si>
  <si>
    <t>Granulocyte Adhesion and Diapedesis</t>
  </si>
  <si>
    <t>Lipid Antigen Presentation by CD1</t>
  </si>
  <si>
    <t>Hepatic Fibrosis Signaling Pathway</t>
  </si>
  <si>
    <t>Inhibition of Matrix Metalloproteases</t>
  </si>
  <si>
    <t>GP6 Signaling Pathway</t>
  </si>
  <si>
    <t>LXR/RXR Activation</t>
  </si>
  <si>
    <t>Glucocorticoid Receptor Signaling</t>
  </si>
  <si>
    <t>FXR/RXR Activation</t>
  </si>
  <si>
    <t>Acute Phase Response Signaling</t>
  </si>
  <si>
    <t>Dendritic Cell Maturation</t>
  </si>
  <si>
    <t>GO:0006413~translational initiation</t>
  </si>
  <si>
    <t>GO:0098609~cell-cell adhesion</t>
  </si>
  <si>
    <t>GO:0006614~SRP-dependent cotranslational protein targeting</t>
  </si>
  <si>
    <t>GO:0000184~nuclear-transcribed mRNA catabolic process</t>
  </si>
  <si>
    <t>GO:0019083~viral transcription</t>
  </si>
  <si>
    <t>GO:0006364~rRNA processing</t>
  </si>
  <si>
    <t>GO:0002479~antigen processing and presentation</t>
  </si>
  <si>
    <t>GO:0060071~Wnt signaling pathway, planar cell polarity pathway</t>
  </si>
  <si>
    <t>GO:0006521~regulation of cellular amino acid metabolic process</t>
  </si>
  <si>
    <t>GO:0006412~translation</t>
  </si>
  <si>
    <t>GO:0070062~extracellular exosome</t>
  </si>
  <si>
    <t>GO:0005829~cytosol</t>
  </si>
  <si>
    <t>GO:0016020~membrane</t>
  </si>
  <si>
    <t>GO:0005925~focal adhesion</t>
  </si>
  <si>
    <t>GO:0005913~cell-cell adherens junction</t>
  </si>
  <si>
    <t>GO:0031012~extracellular matrix</t>
  </si>
  <si>
    <t>GO:0005737~cytoplasm</t>
  </si>
  <si>
    <t>GO:0030529~intracellular ribonucleoprotein complex</t>
  </si>
  <si>
    <t>GO:0005840~ribosome</t>
  </si>
  <si>
    <t>GO:0000502~proteasome complex</t>
  </si>
  <si>
    <t>GO:0044822~poly(A) RNA binding</t>
  </si>
  <si>
    <t>GO:0098641~cadherin binding involved in cell-cell adhesion</t>
  </si>
  <si>
    <t>GO:0005515~protein binding</t>
  </si>
  <si>
    <t>GO:0003723~RNA binding</t>
  </si>
  <si>
    <t>GO:0003735~structural constituent of ribosome</t>
  </si>
  <si>
    <t>GO:0042802~identical protein binding</t>
  </si>
  <si>
    <t>GO:0004298~threonine-type endopeptidase activity</t>
  </si>
  <si>
    <t>GO:0036402~proteasome-activating ATPase activity</t>
  </si>
  <si>
    <t>GO:0051082~unfolded protein binding</t>
  </si>
  <si>
    <t>GO:0005518~collagen binding</t>
  </si>
  <si>
    <t>Hepatic Fibrosis and Stellate Cell Activation</t>
  </si>
  <si>
    <t>Autophagy</t>
  </si>
  <si>
    <t>Complement System</t>
  </si>
  <si>
    <t>Coagulation System</t>
  </si>
  <si>
    <t>Interferon Signaling</t>
  </si>
  <si>
    <t>Pathogenesis of Multiple Sclerosis</t>
  </si>
  <si>
    <t>IL-17A Signaling in Gastric Cells</t>
  </si>
  <si>
    <t>Neuroinflammation Signaling Pathway</t>
  </si>
  <si>
    <t>IGF-1 Signaling</t>
  </si>
  <si>
    <t>Role of Osteocells in RAs</t>
  </si>
  <si>
    <t>Role of THOP1 in Alz Disease</t>
  </si>
  <si>
    <t>Oncostatin M Signaling</t>
  </si>
  <si>
    <t>Atherosclerosis Signaling</t>
  </si>
  <si>
    <t>Activation of IRF by PRR</t>
  </si>
  <si>
    <t>Growth Hormone Signaling</t>
  </si>
  <si>
    <t>IL-17 Signaling</t>
  </si>
  <si>
    <t>1-Octadecanol</t>
  </si>
  <si>
    <t>2-Hydroxybutyrate</t>
  </si>
  <si>
    <t>2-Hydroxyglutarate</t>
  </si>
  <si>
    <t>3-Phosphoglycerate</t>
  </si>
  <si>
    <t>6-Phosphogluconate</t>
  </si>
  <si>
    <t>Aconitate</t>
  </si>
  <si>
    <t>Adenine</t>
  </si>
  <si>
    <t>Adonitol</t>
  </si>
  <si>
    <t>Alanine</t>
  </si>
  <si>
    <t>alpha-Keto-beta-Methylvalerate (KMV)</t>
  </si>
  <si>
    <t>alpha-Ketoglutarate</t>
  </si>
  <si>
    <t>alpha-Ketoisocaproate (KIC)</t>
  </si>
  <si>
    <t>alpha-Ketoisovalerate (KIV)</t>
  </si>
  <si>
    <t>Aminoadipate</t>
  </si>
  <si>
    <t>Arachidic acid (Eicosanoic acid)</t>
  </si>
  <si>
    <t>Arachidonate</t>
  </si>
  <si>
    <t>Asparagine</t>
  </si>
  <si>
    <t>Aspartate</t>
  </si>
  <si>
    <t>beta-Alanine</t>
  </si>
  <si>
    <t>beta-Hydroxy beta-Methylbutyric acid (HMB)</t>
  </si>
  <si>
    <t>beta-Hydroxybutyrate (3-Hydroxybutyrate)</t>
  </si>
  <si>
    <t>Cholesterol</t>
  </si>
  <si>
    <t>Citraconate</t>
  </si>
  <si>
    <t>Citrate</t>
  </si>
  <si>
    <t>Citrulline</t>
  </si>
  <si>
    <t>Cysteine</t>
  </si>
  <si>
    <t>Dihydroxyacetone phosphate (DHAP)</t>
  </si>
  <si>
    <t>Fructose</t>
  </si>
  <si>
    <t>Fructose 6-phosphate</t>
  </si>
  <si>
    <t>Fumarate</t>
  </si>
  <si>
    <t>Gamma-aminobutyric acid (GABA)</t>
  </si>
  <si>
    <t>Glucose</t>
  </si>
  <si>
    <t>Glucose 6-phosphate</t>
  </si>
  <si>
    <t>Glutamate</t>
  </si>
  <si>
    <t>Glutamine</t>
  </si>
  <si>
    <t>Glycerate</t>
  </si>
  <si>
    <t>Glycine</t>
  </si>
  <si>
    <t>Guanine</t>
  </si>
  <si>
    <t>Heneicosylic acid (Heneicosanoic acid)</t>
  </si>
  <si>
    <t>Heptadecanoic acid</t>
  </si>
  <si>
    <t>Histamine</t>
  </si>
  <si>
    <t>Histidine</t>
  </si>
  <si>
    <t>Homoserine</t>
  </si>
  <si>
    <t>Hypotaurine</t>
  </si>
  <si>
    <t>Hypoxanthine</t>
  </si>
  <si>
    <t>Inosine</t>
  </si>
  <si>
    <t>Inotisol</t>
  </si>
  <si>
    <t>Isocitrate</t>
  </si>
  <si>
    <t>Isoleucine</t>
  </si>
  <si>
    <t>Lactate</t>
  </si>
  <si>
    <t>Lauric acid</t>
  </si>
  <si>
    <t>Leucine</t>
  </si>
  <si>
    <t>Linoleate</t>
  </si>
  <si>
    <t>Linolenic acid</t>
  </si>
  <si>
    <t>Lysine</t>
  </si>
  <si>
    <t>Malate</t>
  </si>
  <si>
    <t>Mannose</t>
  </si>
  <si>
    <t>Methionine</t>
  </si>
  <si>
    <t>Myristic acid</t>
  </si>
  <si>
    <t>N-Acetylglycine</t>
  </si>
  <si>
    <t>N-Acetylmethionine</t>
  </si>
  <si>
    <t>N-Acetylserine</t>
  </si>
  <si>
    <t>Oleic acid</t>
  </si>
  <si>
    <t>O-Phosphoethanolamine</t>
  </si>
  <si>
    <t>O-Phosphoserine</t>
  </si>
  <si>
    <t>Ornithine</t>
  </si>
  <si>
    <t>Orotate</t>
  </si>
  <si>
    <t>Palmitate</t>
  </si>
  <si>
    <t>Phenylalanine</t>
  </si>
  <si>
    <t>Phosphoenolpyruvate</t>
  </si>
  <si>
    <t>Proline</t>
  </si>
  <si>
    <t>Pterin</t>
  </si>
  <si>
    <t>Pyruvate</t>
  </si>
  <si>
    <t>Ribose</t>
  </si>
  <si>
    <t>Ribose 5-phosphate</t>
  </si>
  <si>
    <t>Sedoheptulose 7-phosphate</t>
  </si>
  <si>
    <t>Serine</t>
  </si>
  <si>
    <t>Sphingosine</t>
  </si>
  <si>
    <t>Stearate</t>
  </si>
  <si>
    <t>Succinate</t>
  </si>
  <si>
    <t>Taurine</t>
  </si>
  <si>
    <t>Threonine</t>
  </si>
  <si>
    <t>Thymidine</t>
  </si>
  <si>
    <t>Thymine</t>
  </si>
  <si>
    <t>Tryptophan</t>
  </si>
  <si>
    <t>Tyrosine</t>
  </si>
  <si>
    <t>Uracil</t>
  </si>
  <si>
    <t>Urea</t>
  </si>
  <si>
    <t>Valine</t>
  </si>
  <si>
    <t>Xanthine</t>
  </si>
  <si>
    <t>Xylose</t>
  </si>
  <si>
    <t>Relative expression of Sirt1+ endothealial cells in SK</t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</si>
  <si>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1</t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</si>
  <si>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</si>
  <si>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</si>
  <si>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</si>
  <si>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</si>
  <si>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</si>
  <si>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</si>
  <si>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</si>
  <si>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</si>
  <si>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</si>
  <si>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</si>
  <si>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</si>
  <si>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</si>
  <si>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/>
    </r>
  </si>
  <si>
    <t>IngWF</t>
  </si>
  <si>
    <t>GonWF</t>
  </si>
  <si>
    <t>Gastrocnemious</t>
  </si>
  <si>
    <r>
      <t>Sirt1</t>
    </r>
    <r>
      <rPr>
        <vertAlign val="superscript"/>
        <sz val="10"/>
        <rFont val="Arial"/>
        <family val="2"/>
      </rPr>
      <t>fl/fl</t>
    </r>
  </si>
  <si>
    <r>
      <t>Sirt1</t>
    </r>
    <r>
      <rPr>
        <vertAlign val="superscript"/>
        <sz val="10"/>
        <rFont val="Arial"/>
        <family val="2"/>
      </rPr>
      <t>fl/fl</t>
    </r>
    <r>
      <rPr>
        <sz val="10"/>
        <rFont val="Arial"/>
      </rPr>
      <t>-insulin</t>
    </r>
  </si>
  <si>
    <t>fold change /GAPDH</t>
  </si>
  <si>
    <r>
      <t>Sirt1</t>
    </r>
    <r>
      <rPr>
        <vertAlign val="superscript"/>
        <sz val="10"/>
        <rFont val="Arial"/>
        <family val="2"/>
      </rPr>
      <t>fl/fl</t>
    </r>
    <r>
      <rPr>
        <sz val="10"/>
        <rFont val="Arial"/>
        <family val="2"/>
      </rPr>
      <t>1</t>
    </r>
  </si>
  <si>
    <r>
      <t>Sirt1</t>
    </r>
    <r>
      <rPr>
        <vertAlign val="superscript"/>
        <sz val="10"/>
        <rFont val="Arial"/>
        <family val="2"/>
      </rPr>
      <t>fl/fl</t>
    </r>
    <r>
      <rPr>
        <sz val="10"/>
        <rFont val="Arial"/>
        <family val="2"/>
      </rPr>
      <t>2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</si>
  <si>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0"/>
        <rFont val="Arial"/>
        <family val="2"/>
      </rPr>
      <t>fl/fl</t>
    </r>
    <r>
      <rPr>
        <sz val="10"/>
        <rFont val="Arial"/>
        <family val="2"/>
      </rPr>
      <t>3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</si>
  <si>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0"/>
        <rFont val="Arial"/>
        <family val="2"/>
      </rPr>
      <t>fl/fl</t>
    </r>
    <r>
      <rPr>
        <sz val="10"/>
        <rFont val="Arial"/>
        <family val="2"/>
      </rPr>
      <t>4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</si>
  <si>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0"/>
        <rFont val="Arial"/>
        <family val="2"/>
      </rPr>
      <t>fl/fl</t>
    </r>
    <r>
      <rPr>
        <sz val="10"/>
        <rFont val="Arial"/>
        <family val="2"/>
      </rPr>
      <t>5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</si>
  <si>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0"/>
        <rFont val="Arial"/>
        <family val="2"/>
      </rPr>
      <t>fl/fl</t>
    </r>
    <r>
      <rPr>
        <sz val="10"/>
        <rFont val="Arial"/>
        <family val="2"/>
      </rPr>
      <t>6</t>
    </r>
    <r>
      <rPr>
        <sz val="11"/>
        <color theme="1"/>
        <rFont val="Calibri"/>
        <family val="2"/>
        <scheme val="minor"/>
      </rPr>
      <t/>
    </r>
  </si>
  <si>
    <t>6am</t>
  </si>
  <si>
    <t>7am</t>
  </si>
  <si>
    <t>8am</t>
  </si>
  <si>
    <t>9am</t>
  </si>
  <si>
    <t>10am</t>
  </si>
  <si>
    <t>11am</t>
  </si>
  <si>
    <t>12pm</t>
  </si>
  <si>
    <t>1pm</t>
  </si>
  <si>
    <t>2pm</t>
  </si>
  <si>
    <t>3pm</t>
  </si>
  <si>
    <t>4pm</t>
  </si>
  <si>
    <t>5pm</t>
  </si>
  <si>
    <t>6pm</t>
  </si>
  <si>
    <t>7pm</t>
  </si>
  <si>
    <t>8pm</t>
  </si>
  <si>
    <t>9pm</t>
  </si>
  <si>
    <t>10pm</t>
  </si>
  <si>
    <t>11pm</t>
  </si>
  <si>
    <t>12am</t>
  </si>
  <si>
    <t>1am</t>
  </si>
  <si>
    <t>2am</t>
  </si>
  <si>
    <t>3am</t>
  </si>
  <si>
    <t>4am</t>
  </si>
  <si>
    <t>5am</t>
  </si>
  <si>
    <r>
      <t>Sirt1</t>
    </r>
    <r>
      <rPr>
        <vertAlign val="superscript"/>
        <sz val="10"/>
        <rFont val="Arial"/>
        <family val="2"/>
      </rPr>
      <t>fl/fl</t>
    </r>
    <r>
      <rPr>
        <sz val="10"/>
        <rFont val="Arial"/>
        <family val="2"/>
      </rPr>
      <t>7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</si>
  <si>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0"/>
        <rFont val="Arial"/>
        <family val="2"/>
      </rPr>
      <t>fl/fl</t>
    </r>
    <r>
      <rPr>
        <sz val="10"/>
        <rFont val="Arial"/>
        <family val="2"/>
      </rPr>
      <t>8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</si>
  <si>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0"/>
        <rFont val="Arial"/>
        <family val="2"/>
      </rPr>
      <t>fl/fl</t>
    </r>
    <r>
      <rPr>
        <sz val="10"/>
        <rFont val="Arial"/>
        <family val="2"/>
      </rPr>
      <t>9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</si>
  <si>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0"/>
        <rFont val="Arial"/>
        <family val="2"/>
      </rPr>
      <t>fl/fl</t>
    </r>
    <r>
      <rPr>
        <sz val="10"/>
        <rFont val="Arial"/>
        <family val="2"/>
      </rPr>
      <t>10</t>
    </r>
    <r>
      <rPr>
        <sz val="11"/>
        <color theme="1"/>
        <rFont val="Calibri"/>
        <family val="2"/>
        <scheme val="minor"/>
      </rPr>
      <t/>
    </r>
  </si>
  <si>
    <t>body weight on HFD(g)</t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</si>
  <si>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1</t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</si>
  <si>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2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</si>
  <si>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3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</si>
  <si>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4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</si>
  <si>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5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</si>
  <si>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6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</si>
  <si>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7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</si>
  <si>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8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</si>
  <si>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9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</si>
  <si>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10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</si>
  <si>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11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</si>
  <si>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12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</si>
  <si>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13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</si>
  <si>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14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</si>
  <si>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15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</si>
  <si>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16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</si>
  <si>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17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</si>
  <si>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18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</si>
  <si>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0"/>
        <rFont val="Arial"/>
        <family val="2"/>
      </rPr>
      <t>fl/fl</t>
    </r>
    <r>
      <rPr>
        <sz val="10"/>
        <rFont val="Arial"/>
        <family val="2"/>
      </rPr>
      <t xml:space="preserve"> HFD</t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</si>
  <si>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-HFD</t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</si>
  <si>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-HFD1</t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</si>
  <si>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-HFD2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</si>
  <si>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-HFD3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</si>
  <si>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-HFD4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</si>
  <si>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-HFD5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</si>
  <si>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-HFD6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</si>
  <si>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-HFD7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</si>
  <si>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-HFD8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</si>
  <si>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1</t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</si>
  <si>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2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</si>
  <si>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3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</si>
  <si>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4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</si>
  <si>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5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</si>
  <si>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6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</si>
  <si>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-KO 1</t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</si>
  <si>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-KO 2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</si>
  <si>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-KO 3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</si>
  <si>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-KO 4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</si>
  <si>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-KO 5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</si>
  <si>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-KO 6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</si>
  <si>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-KO</t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</si>
  <si>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</t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</si>
  <si>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-CM 1 </t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</si>
  <si>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-CM 2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</si>
  <si>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-CM 3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</si>
  <si>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-CM 4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</si>
  <si>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-CM 5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</si>
  <si>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-CM 6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</si>
  <si>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-CM  </t>
    </r>
  </si>
  <si>
    <r>
      <t>Sirt1</t>
    </r>
    <r>
      <rPr>
        <vertAlign val="superscript"/>
        <sz val="10"/>
        <rFont val="Arial"/>
        <family val="2"/>
      </rPr>
      <t>fl/fl</t>
    </r>
    <r>
      <rPr>
        <sz val="10"/>
        <rFont val="Arial"/>
        <family val="2"/>
      </rPr>
      <t>-Sirt1</t>
    </r>
    <r>
      <rPr>
        <vertAlign val="superscript"/>
        <sz val="10"/>
        <rFont val="Arial"/>
        <family val="2"/>
      </rPr>
      <t>fl/fl</t>
    </r>
  </si>
  <si>
    <r>
      <t>Sirt1</t>
    </r>
    <r>
      <rPr>
        <vertAlign val="superscript"/>
        <sz val="10"/>
        <rFont val="Arial"/>
        <family val="2"/>
      </rPr>
      <t>fl/fl</t>
    </r>
    <r>
      <rPr>
        <sz val="10"/>
        <rFont val="Arial"/>
        <family val="2"/>
      </rPr>
      <t>-KO</t>
    </r>
  </si>
  <si>
    <t>Akt T308/Akt fold change</t>
  </si>
  <si>
    <t>Akt S473/Akt fold change</t>
  </si>
  <si>
    <t>Lean mass(g)</t>
  </si>
  <si>
    <t xml:space="preserve"> Fluid mass(g)</t>
  </si>
  <si>
    <t xml:space="preserve"> Fat mass(g)</t>
  </si>
  <si>
    <t xml:space="preserve"> Food intake(g) (24h)</t>
  </si>
  <si>
    <t>RER (Kcal/hr) on HFD</t>
  </si>
  <si>
    <r>
      <t>GSK3</t>
    </r>
    <r>
      <rPr>
        <sz val="11"/>
        <color theme="1"/>
        <rFont val="Calibri"/>
        <family val="2"/>
      </rPr>
      <t>β</t>
    </r>
    <r>
      <rPr>
        <sz val="11"/>
        <color theme="1"/>
        <rFont val="Calibri"/>
        <family val="2"/>
        <scheme val="minor"/>
      </rPr>
      <t xml:space="preserve"> S9/GSK3β</t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</si>
  <si>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-HFD 1</t>
    </r>
  </si>
  <si>
    <t>P-Akt T308/Akt</t>
  </si>
  <si>
    <t>P-Akt S473/Akt</t>
  </si>
  <si>
    <t>p-Akt T308/Akt</t>
  </si>
  <si>
    <t>p-Akt S473/Akt</t>
  </si>
  <si>
    <t>Control-si1</t>
  </si>
  <si>
    <t>Control-si2</t>
  </si>
  <si>
    <t>Control-si3</t>
  </si>
  <si>
    <t>Control-si4</t>
  </si>
  <si>
    <t>Control-si5</t>
  </si>
  <si>
    <t>Control-si6</t>
  </si>
  <si>
    <t>Sirt1-si1</t>
  </si>
  <si>
    <t>Sirt1-si2</t>
  </si>
  <si>
    <t>Sirt1-si3</t>
  </si>
  <si>
    <t>Sirt1-si4</t>
  </si>
  <si>
    <t>Sirt1-si5</t>
  </si>
  <si>
    <t>Sirt1-si6</t>
  </si>
  <si>
    <t>Sirt1-si+Tβ4-si1</t>
  </si>
  <si>
    <t>Sirt1-si+Tβ4-si2</t>
  </si>
  <si>
    <t>Sirt1-si+Tβ4-si3</t>
  </si>
  <si>
    <t>Sirt1-si+Tβ4-si4</t>
  </si>
  <si>
    <t>Sirt1-si+Tβ4-si5</t>
  </si>
  <si>
    <t>Sirt1-si+Tβ4-si6</t>
  </si>
  <si>
    <t>AktS473/Akt</t>
  </si>
  <si>
    <t>Tβ4</t>
  </si>
  <si>
    <t>E-Sirt1KO</t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</si>
  <si>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</si>
  <si>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</si>
  <si>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</si>
  <si>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</si>
  <si>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</si>
  <si>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/>
    </r>
  </si>
  <si>
    <t>PE-5</t>
  </si>
  <si>
    <t>Supplementary Fig. 2  Mesenteric artieries relaxation %</t>
  </si>
  <si>
    <t>Glucose (mg/dL) 5 h fast</t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</si>
  <si>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2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</si>
  <si>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3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</si>
  <si>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4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</si>
  <si>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5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</si>
  <si>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6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</si>
  <si>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7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</si>
  <si>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8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</si>
  <si>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</t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</si>
  <si>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9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</si>
  <si>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10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</si>
  <si>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 xml:space="preserve"> 11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</si>
  <si>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1</t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</si>
  <si>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</si>
  <si>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</si>
  <si>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</si>
  <si>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</si>
  <si>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</si>
  <si>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-KO 2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</si>
  <si>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-KO 3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</si>
  <si>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-KO 4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</si>
  <si>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-KO 5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</si>
  <si>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-KO 6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</si>
  <si>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-KO 7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</si>
  <si>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-KO 8</t>
    </r>
    <r>
      <rPr>
        <sz val="11"/>
        <color theme="1"/>
        <rFont val="Calibri"/>
        <family val="2"/>
        <scheme val="minor"/>
      </rPr>
      <t/>
    </r>
  </si>
  <si>
    <t>Hybrid</t>
  </si>
  <si>
    <t>Superficial</t>
  </si>
  <si>
    <t>Deep</t>
  </si>
  <si>
    <r>
      <t>Sirt1</t>
    </r>
    <r>
      <rPr>
        <vertAlign val="superscript"/>
        <sz val="10"/>
        <rFont val="Arial"/>
        <family val="2"/>
      </rPr>
      <t>fl/fl</t>
    </r>
    <r>
      <rPr>
        <sz val="10"/>
        <rFont val="Arial"/>
        <family val="2"/>
      </rPr>
      <t xml:space="preserve"> superficial</t>
    </r>
  </si>
  <si>
    <r>
      <t>Sirt1</t>
    </r>
    <r>
      <rPr>
        <vertAlign val="superscript"/>
        <sz val="10"/>
        <rFont val="Arial"/>
        <family val="2"/>
      </rPr>
      <t xml:space="preserve">fl/fl </t>
    </r>
    <r>
      <rPr>
        <sz val="10"/>
        <rFont val="Arial"/>
        <family val="2"/>
      </rPr>
      <t>deep zone</t>
    </r>
  </si>
  <si>
    <t>Sirt1-myc</t>
  </si>
  <si>
    <t>Sirt1/GAPDH (fold change)</t>
  </si>
  <si>
    <r>
      <t>HUVEC-CM T</t>
    </r>
    <r>
      <rPr>
        <sz val="11"/>
        <color theme="1"/>
        <rFont val="Arial"/>
        <family val="2"/>
      </rPr>
      <t>β</t>
    </r>
    <r>
      <rPr>
        <sz val="11"/>
        <color theme="1"/>
        <rFont val="Calibri"/>
        <family val="2"/>
      </rPr>
      <t>4 concentration(ng/ml)</t>
    </r>
  </si>
  <si>
    <t xml:space="preserve">Figure 1 c glucose infusion rates(mg/kg/min) </t>
  </si>
  <si>
    <t>fiure 1d  serum insulin(ng/ml)</t>
  </si>
  <si>
    <t xml:space="preserve">figure 1 f </t>
  </si>
  <si>
    <t>Figure 1 h</t>
  </si>
  <si>
    <t>Figure 2a</t>
  </si>
  <si>
    <t>Figure 2b</t>
  </si>
  <si>
    <t>Figure 2c</t>
  </si>
  <si>
    <t>Figure 2d</t>
  </si>
  <si>
    <t>Figure 2 e</t>
  </si>
  <si>
    <t>Figure 2f</t>
  </si>
  <si>
    <t xml:space="preserve">Figure 2g </t>
  </si>
  <si>
    <t xml:space="preserve">Figure 2h </t>
  </si>
  <si>
    <t>Figure 3b</t>
  </si>
  <si>
    <t>Figure 3c</t>
  </si>
  <si>
    <t>Fiure 3d</t>
  </si>
  <si>
    <t>Fiure 3f</t>
  </si>
  <si>
    <t>Figure 4 a</t>
  </si>
  <si>
    <t>Figure 4b</t>
  </si>
  <si>
    <t>Figure 4 e</t>
  </si>
  <si>
    <t>Figure 4h</t>
  </si>
  <si>
    <t>Figure 4 i</t>
  </si>
  <si>
    <t xml:space="preserve">Figure 4k </t>
  </si>
  <si>
    <t>Figure 4 l</t>
  </si>
  <si>
    <t>Figure 4 m</t>
  </si>
  <si>
    <t>Figure 5 b</t>
  </si>
  <si>
    <t>Figure 5c</t>
  </si>
  <si>
    <t>Figure 5e</t>
  </si>
  <si>
    <t>Figure 5f</t>
  </si>
  <si>
    <t>Figure 5g ILk1 density change fold</t>
  </si>
  <si>
    <t>Figure 6a</t>
  </si>
  <si>
    <t>Figure 6b</t>
  </si>
  <si>
    <t>Figure 6d</t>
  </si>
  <si>
    <t>Figure 6f</t>
  </si>
  <si>
    <t xml:space="preserve">Figure 6g </t>
  </si>
  <si>
    <t>Figure 6h</t>
  </si>
  <si>
    <t>Figure 6j</t>
  </si>
  <si>
    <t>Figure 6k</t>
  </si>
  <si>
    <t>supplementary fig 1  e</t>
  </si>
  <si>
    <t>supplementary fig 1  g</t>
  </si>
  <si>
    <t xml:space="preserve">Supplementary Fig. 3a </t>
  </si>
  <si>
    <t>supplemeantary fig 4a  body weight(g)</t>
  </si>
  <si>
    <t>supplemeantary fig 4b  fat mass(g)</t>
  </si>
  <si>
    <t>supplemeantary fig 4c  fluid mass mass(g)</t>
  </si>
  <si>
    <t>supplemeantary fig 4d  lean mass mass(g)</t>
  </si>
  <si>
    <t>supplemeantary fig 4e  24h of food intake(g)</t>
  </si>
  <si>
    <t>supplementary 4f activity count</t>
  </si>
  <si>
    <t>Supplementary figure 5 b body weight after parabiosis(g)</t>
  </si>
  <si>
    <t>Supplementary figure 5 d Evans blue in serum(uM)</t>
  </si>
  <si>
    <r>
      <t>supplementary fig 7a top  soleus fiber size(uM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</si>
  <si>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supplementary fig 7a bottom soleus fiber type %</t>
  </si>
  <si>
    <r>
      <t>supplementary fig. 7b top TA fiber size(uM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</si>
  <si>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supplementary fig 7b bottom TA fiber type %</t>
  </si>
  <si>
    <r>
      <t>supplementary fig 7 c  gastrocnemius fiber size(uM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</si>
  <si>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supplementary fig 7c bottom gastrocnemius fiber type %</t>
  </si>
  <si>
    <t>supplementary 8a  microvascular are% of soleus</t>
  </si>
  <si>
    <t>supplementary 8b microvascular are% of TA</t>
  </si>
  <si>
    <t>supplementary 8c microvascular are% of gastrocnemias</t>
  </si>
  <si>
    <t>Supplementary figure 9a</t>
  </si>
  <si>
    <t>supplementary 9b</t>
  </si>
  <si>
    <t>Supplementary fig.  10 a</t>
  </si>
  <si>
    <t>Supplementary fig.  10 b</t>
  </si>
  <si>
    <t>supplementary figure 11 b</t>
  </si>
  <si>
    <t>30min</t>
  </si>
  <si>
    <t>60min</t>
  </si>
  <si>
    <t>90min</t>
  </si>
  <si>
    <t>120min</t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</si>
  <si>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-HFD 2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</si>
  <si>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-HFD 3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</si>
  <si>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-HFD 4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</si>
  <si>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-HFD 5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</si>
  <si>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>fl/fl</t>
    </r>
    <r>
      <rPr>
        <sz val="11"/>
        <color theme="1"/>
        <rFont val="Calibri"/>
        <family val="2"/>
        <scheme val="minor"/>
      </rPr>
      <t>-HFD 6</t>
    </r>
    <r>
      <rPr>
        <sz val="11"/>
        <color theme="1"/>
        <rFont val="Calibri"/>
        <family val="2"/>
        <scheme val="minor"/>
      </rPr>
      <t/>
    </r>
  </si>
  <si>
    <t>T test</t>
  </si>
  <si>
    <t>Figure 1a  glucouse Glucose tolerance test.  gulcose (mg/dL)</t>
  </si>
  <si>
    <t>figure 1b  Insulin tolerance test. Glucose (% of initial)</t>
  </si>
  <si>
    <t>Glucose (% of initial)</t>
  </si>
  <si>
    <t>Figure 1e Tissue glucuse uptake during CLAMP (nmol/min/g)</t>
  </si>
  <si>
    <t>sample1</t>
  </si>
  <si>
    <t>sample2</t>
  </si>
  <si>
    <t>sample3</t>
  </si>
  <si>
    <t>sample4</t>
  </si>
  <si>
    <t>sample5</t>
  </si>
  <si>
    <t>sample6</t>
  </si>
  <si>
    <t>sample7</t>
  </si>
  <si>
    <r>
      <t>Sirt1</t>
    </r>
    <r>
      <rPr>
        <vertAlign val="superscript"/>
        <sz val="10"/>
        <rFont val="Arial"/>
        <family val="2"/>
      </rPr>
      <t xml:space="preserve">fl/fl </t>
    </r>
    <r>
      <rPr>
        <sz val="10"/>
        <rFont val="Arial"/>
        <family val="2"/>
      </rPr>
      <t>VS Sirt1</t>
    </r>
    <r>
      <rPr>
        <vertAlign val="superscript"/>
        <sz val="10"/>
        <rFont val="Arial"/>
        <family val="2"/>
      </rPr>
      <t>fl/fl</t>
    </r>
    <r>
      <rPr>
        <sz val="10"/>
        <rFont val="Arial"/>
        <family val="2"/>
      </rPr>
      <t>-insulin</t>
    </r>
  </si>
  <si>
    <r>
      <t>Sirt1</t>
    </r>
    <r>
      <rPr>
        <vertAlign val="superscript"/>
        <sz val="10"/>
        <rFont val="Arial"/>
        <family val="2"/>
      </rPr>
      <t xml:space="preserve">fl/fl </t>
    </r>
    <r>
      <rPr>
        <sz val="10"/>
        <rFont val="Arial"/>
        <family val="2"/>
      </rPr>
      <t>VS KO</t>
    </r>
  </si>
  <si>
    <t xml:space="preserve">Figure1 g  IR/IGF1R phosphorylation in gastrocnemius </t>
  </si>
  <si>
    <t>average of  24 h RER</t>
  </si>
  <si>
    <t xml:space="preserve"> Respiratory exchange ratio (RER) (Kcal/h)</t>
  </si>
  <si>
    <t xml:space="preserve">Basal and insulin-stimulated Akt phosphorylation fold change in gastrocnemius muscle 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</si>
  <si>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</si>
  <si>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</si>
  <si>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</si>
  <si>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</si>
  <si>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</si>
  <si>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</si>
  <si>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</si>
  <si>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</si>
  <si>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</si>
  <si>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</si>
  <si>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</si>
  <si>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</si>
  <si>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</si>
  <si>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sample8</t>
  </si>
  <si>
    <t>sample9</t>
  </si>
  <si>
    <t>sample10</t>
  </si>
  <si>
    <t>sample11</t>
  </si>
  <si>
    <t>sample12</t>
  </si>
  <si>
    <t>sample13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</si>
  <si>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</si>
  <si>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</si>
  <si>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</si>
  <si>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</si>
  <si>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</si>
  <si>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</si>
  <si>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</si>
  <si>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</si>
  <si>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</si>
  <si>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</si>
  <si>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</si>
  <si>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</si>
  <si>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</si>
  <si>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</si>
  <si>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average</t>
  </si>
  <si>
    <t>t test</t>
  </si>
  <si>
    <t>Figure  3a left</t>
  </si>
  <si>
    <t>Figure  3a right</t>
  </si>
  <si>
    <t xml:space="preserve">Parabiosis model and glucose tolerance test </t>
  </si>
  <si>
    <t>Parabiosis model and glucose tolerance test -Area under the curve</t>
  </si>
  <si>
    <t>Insulin tolerance test-Gluocse % of initial</t>
  </si>
  <si>
    <r>
      <t>GSK3β phosphorylation fold change of gastrocnemius muscle in Sirt1</t>
    </r>
    <r>
      <rPr>
        <vertAlign val="superscript"/>
        <sz val="11"/>
        <color theme="1"/>
        <rFont val="Arial"/>
        <family val="2"/>
      </rPr>
      <t>flox/flox</t>
    </r>
    <r>
      <rPr>
        <sz val="11"/>
        <color theme="1"/>
        <rFont val="Arial"/>
        <family val="2"/>
      </rPr>
      <t xml:space="preserve"> mice parabiosed with Sirt1</t>
    </r>
    <r>
      <rPr>
        <vertAlign val="superscript"/>
        <sz val="11"/>
        <color theme="1"/>
        <rFont val="Arial"/>
        <family val="2"/>
      </rPr>
      <t>flox/flox</t>
    </r>
    <r>
      <rPr>
        <sz val="11"/>
        <color theme="1"/>
        <rFont val="Arial"/>
        <family val="2"/>
      </rPr>
      <t xml:space="preserve"> (n=6 pairs) VS KO mice (n=6 pairs)</t>
    </r>
  </si>
  <si>
    <r>
      <t>Akt phosphorylation fold change of gastrocnemius muscle in Sirt1</t>
    </r>
    <r>
      <rPr>
        <vertAlign val="superscript"/>
        <sz val="11"/>
        <color theme="1"/>
        <rFont val="Arial"/>
        <family val="2"/>
      </rPr>
      <t>flox/flox</t>
    </r>
    <r>
      <rPr>
        <sz val="11"/>
        <color theme="1"/>
        <rFont val="Arial"/>
        <family val="2"/>
      </rPr>
      <t xml:space="preserve"> mice parabiosed with Sirt1</t>
    </r>
    <r>
      <rPr>
        <vertAlign val="superscript"/>
        <sz val="11"/>
        <color theme="1"/>
        <rFont val="Arial"/>
        <family val="2"/>
      </rPr>
      <t xml:space="preserve">flox/flox </t>
    </r>
    <r>
      <rPr>
        <sz val="11"/>
        <color theme="1"/>
        <rFont val="Arial"/>
        <family val="2"/>
      </rPr>
      <t>(n=6 pairs) VS KO mice (n=6 pairs)</t>
    </r>
  </si>
  <si>
    <r>
      <t>Akt  phosphorylation fold change in C2C12 skeletal myotubes incubated with conditioned medium from aortic endothelial cells of Sirt1</t>
    </r>
    <r>
      <rPr>
        <vertAlign val="superscript"/>
        <sz val="11"/>
        <color theme="1"/>
        <rFont val="Arial"/>
        <family val="2"/>
      </rPr>
      <t>flox/flox</t>
    </r>
    <r>
      <rPr>
        <sz val="11"/>
        <color theme="1"/>
        <rFont val="Arial"/>
        <family val="2"/>
      </rPr>
      <t xml:space="preserve"> (n=6) VS KO(n=6)</t>
    </r>
  </si>
  <si>
    <r>
      <t>GSK3β phosphorylation fold change in C2C12 skeletal myotubes incubated with conditioned medium from aortic endothelial cells of Sirt1</t>
    </r>
    <r>
      <rPr>
        <vertAlign val="superscript"/>
        <sz val="11"/>
        <color theme="1"/>
        <rFont val="Arial"/>
        <family val="2"/>
      </rPr>
      <t>flox/flox</t>
    </r>
    <r>
      <rPr>
        <sz val="11"/>
        <color theme="1"/>
        <rFont val="Arial"/>
        <family val="2"/>
      </rPr>
      <t xml:space="preserve"> (n=6) VS KO(n=5)</t>
    </r>
  </si>
  <si>
    <t xml:space="preserve">GSK3β phosphorylation fold change in C2C12 myotubes incubated with CM from HUVECs transfected with control-siRNA (n=7) VS Sirt1-siRNA (n=7). </t>
  </si>
  <si>
    <t xml:space="preserve">Akt  phosphorylation fold change in C2C12 myotubes incubated with CM from HUVECs transfected with control-siRNA (n=8) VS Sirt1-siRNA (n=8). </t>
  </si>
  <si>
    <t>Akt phosphorylation fold change C-CM VS si-CM</t>
  </si>
  <si>
    <t>Akt and GSK3β phosphorylation fold change C-CM VS si-CM</t>
  </si>
  <si>
    <t>&gt;3KDa 5X</t>
  </si>
  <si>
    <t>&lt;3KDa</t>
  </si>
  <si>
    <t>&gt;10KDa 5X</t>
  </si>
  <si>
    <t>Figure 4d  Volcano plot of proteins in secretomes of CM of Sh-control and sirt1-siRNA. original data</t>
  </si>
  <si>
    <t xml:space="preserve">Akt phosphorylation fold change </t>
  </si>
  <si>
    <t>Sample 1</t>
  </si>
  <si>
    <t>Sample 2</t>
  </si>
  <si>
    <t>Sample 7</t>
  </si>
  <si>
    <t>Sample 3</t>
  </si>
  <si>
    <t>Sample 4</t>
  </si>
  <si>
    <t>Sample 5</t>
  </si>
  <si>
    <t>Sample 6</t>
  </si>
  <si>
    <t>Sample 8</t>
  </si>
  <si>
    <t>Sample 9</t>
  </si>
  <si>
    <t>Sample 10</t>
  </si>
  <si>
    <t>Akt phosphorylation fold change</t>
  </si>
  <si>
    <t>C-CM VS Sirt1-si-CM</t>
  </si>
  <si>
    <t xml:space="preserve"> Sirt1-si-CM VS (Sirt1-si-IP-Tβ4)-CM</t>
  </si>
  <si>
    <t>Contro-si-CM1</t>
  </si>
  <si>
    <t>Contro-si-CM2</t>
  </si>
  <si>
    <t>Contro-si-CM3</t>
  </si>
  <si>
    <t>Contro-si-CM4</t>
  </si>
  <si>
    <t>Contro-si-CM5</t>
  </si>
  <si>
    <t>Contro-si-CM6</t>
  </si>
  <si>
    <t>area1</t>
  </si>
  <si>
    <t>area2</t>
  </si>
  <si>
    <t>area3</t>
  </si>
  <si>
    <t>area4</t>
  </si>
  <si>
    <t>area5</t>
  </si>
  <si>
    <t>area6</t>
  </si>
  <si>
    <t>area7</t>
  </si>
  <si>
    <t>area8</t>
  </si>
  <si>
    <t>area9</t>
  </si>
  <si>
    <t>area10</t>
  </si>
  <si>
    <t>area11</t>
  </si>
  <si>
    <t>area12</t>
  </si>
  <si>
    <t>area13</t>
  </si>
  <si>
    <t>area14</t>
  </si>
  <si>
    <t>area15</t>
  </si>
  <si>
    <t>area16</t>
  </si>
  <si>
    <t>area17</t>
  </si>
  <si>
    <t>area18</t>
  </si>
  <si>
    <t>area19</t>
  </si>
  <si>
    <t>area20</t>
  </si>
  <si>
    <t>Figure 5h ILK fold change in gastrocnemius of Sirt1flox/flox  vs VE-Sirt1-KO mice</t>
  </si>
  <si>
    <r>
      <t>Sirt1</t>
    </r>
    <r>
      <rPr>
        <vertAlign val="superscript"/>
        <sz val="10"/>
        <rFont val="Arial"/>
        <family val="2"/>
      </rPr>
      <t xml:space="preserve"> flox/flox</t>
    </r>
  </si>
  <si>
    <t>fold change</t>
  </si>
  <si>
    <r>
      <t>Sirt1</t>
    </r>
    <r>
      <rPr>
        <vertAlign val="superscript"/>
        <sz val="10"/>
        <rFont val="Arial"/>
        <family val="2"/>
      </rPr>
      <t xml:space="preserve">fl/fl </t>
    </r>
    <r>
      <rPr>
        <sz val="10"/>
        <rFont val="Arial"/>
        <family val="2"/>
      </rPr>
      <t>insulinVS Sirt1</t>
    </r>
    <r>
      <rPr>
        <vertAlign val="superscript"/>
        <sz val="10"/>
        <rFont val="Arial"/>
        <family val="2"/>
      </rPr>
      <t>fl/fl</t>
    </r>
    <r>
      <rPr>
        <sz val="10"/>
        <rFont val="Arial"/>
        <family val="2"/>
      </rPr>
      <t>-insulin</t>
    </r>
  </si>
  <si>
    <t>KO VS KO-insulin</t>
  </si>
  <si>
    <t>Sirt1/GAPDH fold change in different tissues.</t>
  </si>
  <si>
    <t>sample 15</t>
  </si>
  <si>
    <t>sample 16</t>
  </si>
  <si>
    <t>sample 17</t>
  </si>
  <si>
    <t>sample 18</t>
  </si>
  <si>
    <t>sample 19</t>
  </si>
  <si>
    <t>sample 20</t>
  </si>
  <si>
    <t>sample 21</t>
  </si>
  <si>
    <r>
      <t>Sirt1</t>
    </r>
    <r>
      <rPr>
        <b/>
        <vertAlign val="superscript"/>
        <sz val="11"/>
        <color theme="1"/>
        <rFont val="Calibri"/>
        <family val="2"/>
        <scheme val="minor"/>
      </rPr>
      <t>fl/fl</t>
    </r>
  </si>
  <si>
    <t>supplementary fig 3b TA metabolites fold change</t>
  </si>
  <si>
    <t xml:space="preserve">Sirt1fl/fl </t>
  </si>
  <si>
    <t>mouse 1</t>
  </si>
  <si>
    <t>mouse 2</t>
  </si>
  <si>
    <t>mouse 3</t>
  </si>
  <si>
    <t>mouse 4</t>
  </si>
  <si>
    <t>mouse 5</t>
  </si>
  <si>
    <t>mouse 6</t>
  </si>
  <si>
    <t>mouse 7</t>
  </si>
  <si>
    <t>mouse 8</t>
  </si>
  <si>
    <t>mouse 9</t>
  </si>
  <si>
    <t>mouse 10</t>
  </si>
  <si>
    <t>mouse1</t>
  </si>
  <si>
    <t>mouse2</t>
  </si>
  <si>
    <t>mouse3</t>
  </si>
  <si>
    <t>mouse4</t>
  </si>
  <si>
    <t>mouse5</t>
  </si>
  <si>
    <t>mouse6</t>
  </si>
  <si>
    <t>mouse7</t>
  </si>
  <si>
    <t>mouse8</t>
  </si>
  <si>
    <t>mouse9</t>
  </si>
  <si>
    <t>mouse10</t>
  </si>
  <si>
    <t>Top 30 canonical pathways</t>
  </si>
  <si>
    <t xml:space="preserve">Gene-ontology enrichment analysis </t>
  </si>
  <si>
    <t xml:space="preserve">Fold change of phosphorylation and total Akt in C2C12 myotubes </t>
  </si>
  <si>
    <t>C VS TB4</t>
  </si>
  <si>
    <t>C VS insulin</t>
  </si>
  <si>
    <t>TB4 VS TB4-insulin</t>
  </si>
  <si>
    <t>insulin VS TB4-insulin</t>
  </si>
  <si>
    <t>CD163-/F4-80+</t>
  </si>
  <si>
    <t>CD163+/F4-80+</t>
  </si>
  <si>
    <t>CD19+</t>
  </si>
  <si>
    <t>LY6G+</t>
  </si>
  <si>
    <t>Neutrophils</t>
  </si>
  <si>
    <t>B cell</t>
  </si>
  <si>
    <t>Macrophage M2</t>
  </si>
  <si>
    <t>Macrophage M1</t>
  </si>
  <si>
    <t>Natural killer cell</t>
  </si>
  <si>
    <t>Dendritic cell</t>
  </si>
  <si>
    <t>CD8+</t>
  </si>
  <si>
    <t>CD11c+</t>
  </si>
  <si>
    <t>CD161b +</t>
  </si>
  <si>
    <t>T cell</t>
  </si>
  <si>
    <t>CD4+</t>
  </si>
  <si>
    <t>CD3+</t>
  </si>
  <si>
    <t>CD45+</t>
  </si>
  <si>
    <t>Immune cell</t>
  </si>
  <si>
    <r>
      <t>Sirt1</t>
    </r>
    <r>
      <rPr>
        <vertAlign val="superscript"/>
        <sz val="11"/>
        <color theme="1"/>
        <rFont val="Calibri"/>
        <family val="2"/>
        <scheme val="minor"/>
      </rPr>
      <t xml:space="preserve">fl/fl </t>
    </r>
    <r>
      <rPr>
        <sz val="11"/>
        <color theme="1"/>
        <rFont val="Calibri"/>
        <family val="2"/>
        <scheme val="minor"/>
      </rPr>
      <t>1</t>
    </r>
  </si>
  <si>
    <r>
      <t>Sirt1</t>
    </r>
    <r>
      <rPr>
        <vertAlign val="superscript"/>
        <sz val="11"/>
        <color theme="1"/>
        <rFont val="Calibri"/>
        <family val="2"/>
        <scheme val="minor"/>
      </rPr>
      <t xml:space="preserve">fl/fl </t>
    </r>
    <r>
      <rPr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</si>
  <si>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 xml:space="preserve">fl/fl </t>
    </r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</si>
  <si>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 xml:space="preserve">fl/fl 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</si>
  <si>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 xml:space="preserve">fl/fl </t>
    </r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/>
    </r>
  </si>
  <si>
    <r>
      <t>Sirt1</t>
    </r>
    <r>
      <rPr>
        <vertAlign val="superscript"/>
        <sz val="11"/>
        <color theme="1"/>
        <rFont val="Calibri"/>
        <family val="2"/>
        <scheme val="minor"/>
      </rPr>
      <t xml:space="preserve">fl/fl 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/>
    </r>
  </si>
  <si>
    <t>Supplementary Figure 6. Endothelium-specific deletion of Sirt1 does not alter immune cell populations</t>
  </si>
  <si>
    <t>cell count</t>
  </si>
  <si>
    <t>cell%</t>
  </si>
  <si>
    <t>IIA</t>
  </si>
  <si>
    <t>IIB</t>
  </si>
  <si>
    <r>
      <t>T</t>
    </r>
    <r>
      <rPr>
        <sz val="11"/>
        <color theme="1"/>
        <rFont val="Arial"/>
        <family val="2"/>
      </rPr>
      <t>β</t>
    </r>
    <r>
      <rPr>
        <sz val="11"/>
        <color theme="1"/>
        <rFont val="Calibri"/>
        <family val="2"/>
        <scheme val="minor"/>
      </rPr>
      <t>4-1</t>
    </r>
  </si>
  <si>
    <r>
      <t>T</t>
    </r>
    <r>
      <rPr>
        <sz val="11"/>
        <color theme="1"/>
        <rFont val="Arial"/>
        <family val="2"/>
      </rPr>
      <t>β</t>
    </r>
    <r>
      <rPr>
        <sz val="11"/>
        <color theme="1"/>
        <rFont val="Calibri"/>
        <family val="2"/>
        <scheme val="minor"/>
      </rPr>
      <t>4-2</t>
    </r>
    <r>
      <rPr>
        <sz val="11"/>
        <color theme="1"/>
        <rFont val="Calibri"/>
        <family val="2"/>
        <scheme val="minor"/>
      </rPr>
      <t/>
    </r>
  </si>
  <si>
    <r>
      <t>T</t>
    </r>
    <r>
      <rPr>
        <sz val="11"/>
        <color theme="1"/>
        <rFont val="Arial"/>
        <family val="2"/>
      </rPr>
      <t>β</t>
    </r>
    <r>
      <rPr>
        <sz val="11"/>
        <color theme="1"/>
        <rFont val="Calibri"/>
        <family val="2"/>
        <scheme val="minor"/>
      </rPr>
      <t>4-3</t>
    </r>
    <r>
      <rPr>
        <sz val="11"/>
        <color theme="1"/>
        <rFont val="Calibri"/>
        <family val="2"/>
        <scheme val="minor"/>
      </rPr>
      <t/>
    </r>
  </si>
  <si>
    <r>
      <t>T</t>
    </r>
    <r>
      <rPr>
        <sz val="11"/>
        <color theme="1"/>
        <rFont val="Arial"/>
        <family val="2"/>
      </rPr>
      <t>β</t>
    </r>
    <r>
      <rPr>
        <sz val="11"/>
        <color theme="1"/>
        <rFont val="Calibri"/>
        <family val="2"/>
        <scheme val="minor"/>
      </rPr>
      <t>4-4</t>
    </r>
    <r>
      <rPr>
        <sz val="11"/>
        <color theme="1"/>
        <rFont val="Calibri"/>
        <family val="2"/>
        <scheme val="minor"/>
      </rPr>
      <t/>
    </r>
  </si>
  <si>
    <r>
      <t>T</t>
    </r>
    <r>
      <rPr>
        <sz val="11"/>
        <color theme="1"/>
        <rFont val="Arial"/>
        <family val="2"/>
      </rPr>
      <t>β</t>
    </r>
    <r>
      <rPr>
        <sz val="11"/>
        <color theme="1"/>
        <rFont val="Calibri"/>
        <family val="2"/>
        <scheme val="minor"/>
      </rPr>
      <t>4-5</t>
    </r>
    <r>
      <rPr>
        <sz val="11"/>
        <color theme="1"/>
        <rFont val="Calibri"/>
        <family val="2"/>
        <scheme val="minor"/>
      </rPr>
      <t/>
    </r>
  </si>
  <si>
    <t>control-1</t>
  </si>
  <si>
    <t>control-2</t>
  </si>
  <si>
    <t>control-3</t>
  </si>
  <si>
    <t>control-4</t>
  </si>
  <si>
    <t>control-5</t>
  </si>
  <si>
    <t>control-6</t>
  </si>
  <si>
    <t>Insulin-1</t>
  </si>
  <si>
    <t>Insulin-2</t>
  </si>
  <si>
    <t>Insulin-3</t>
  </si>
  <si>
    <t>Insulin-4</t>
  </si>
  <si>
    <t>Insulin-5</t>
  </si>
  <si>
    <t>Insulin-6</t>
  </si>
  <si>
    <r>
      <t>T</t>
    </r>
    <r>
      <rPr>
        <sz val="11"/>
        <color theme="1"/>
        <rFont val="Arial"/>
        <family val="2"/>
      </rPr>
      <t>β</t>
    </r>
    <r>
      <rPr>
        <sz val="11"/>
        <color theme="1"/>
        <rFont val="Calibri"/>
        <family val="2"/>
        <scheme val="minor"/>
      </rPr>
      <t>4 +Insulin-1</t>
    </r>
  </si>
  <si>
    <r>
      <t>T</t>
    </r>
    <r>
      <rPr>
        <sz val="11"/>
        <color theme="1"/>
        <rFont val="Arial"/>
        <family val="2"/>
      </rPr>
      <t>β</t>
    </r>
    <r>
      <rPr>
        <sz val="11"/>
        <color theme="1"/>
        <rFont val="Calibri"/>
        <family val="2"/>
        <scheme val="minor"/>
      </rPr>
      <t>4 +Insulin-2</t>
    </r>
    <r>
      <rPr>
        <sz val="11"/>
        <color theme="1"/>
        <rFont val="Calibri"/>
        <family val="2"/>
        <scheme val="minor"/>
      </rPr>
      <t/>
    </r>
  </si>
  <si>
    <r>
      <t>T</t>
    </r>
    <r>
      <rPr>
        <sz val="11"/>
        <color theme="1"/>
        <rFont val="Arial"/>
        <family val="2"/>
      </rPr>
      <t>β</t>
    </r>
    <r>
      <rPr>
        <sz val="11"/>
        <color theme="1"/>
        <rFont val="Calibri"/>
        <family val="2"/>
        <scheme val="minor"/>
      </rPr>
      <t>4 +Insulin-3</t>
    </r>
    <r>
      <rPr>
        <sz val="11"/>
        <color theme="1"/>
        <rFont val="Calibri"/>
        <family val="2"/>
        <scheme val="minor"/>
      </rPr>
      <t/>
    </r>
  </si>
  <si>
    <r>
      <t>T</t>
    </r>
    <r>
      <rPr>
        <sz val="11"/>
        <color theme="1"/>
        <rFont val="Arial"/>
        <family val="2"/>
      </rPr>
      <t>β</t>
    </r>
    <r>
      <rPr>
        <sz val="11"/>
        <color theme="1"/>
        <rFont val="Calibri"/>
        <family val="2"/>
        <scheme val="minor"/>
      </rPr>
      <t>4 +Insulin-4</t>
    </r>
    <r>
      <rPr>
        <sz val="11"/>
        <color theme="1"/>
        <rFont val="Calibri"/>
        <family val="2"/>
        <scheme val="minor"/>
      </rPr>
      <t/>
    </r>
  </si>
  <si>
    <r>
      <t>T</t>
    </r>
    <r>
      <rPr>
        <sz val="11"/>
        <color theme="1"/>
        <rFont val="Arial"/>
        <family val="2"/>
      </rPr>
      <t>β</t>
    </r>
    <r>
      <rPr>
        <sz val="11"/>
        <color theme="1"/>
        <rFont val="Calibri"/>
        <family val="2"/>
        <scheme val="minor"/>
      </rPr>
      <t>4 +Insulin-5</t>
    </r>
    <r>
      <rPr>
        <sz val="11"/>
        <color theme="1"/>
        <rFont val="Calibri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</si>
</sst>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Arial"/>
      <family val="2"/>
    </font>
    <font>
      <i/>
      <sz val="10"/>
      <color rgb="FF0000FF"/>
      <name val="Arial"/>
    </font>
    <font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Abadi"/>
      <family val="2"/>
    </font>
    <font>
      <i/>
      <sz val="10"/>
      <color rgb="FF0000FF"/>
      <name val="Arial"/>
      <family val="2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1"/>
      <color rgb="FF000000"/>
      <name val="Calibri"/>
    </font>
    <font>
      <vertAlign val="superscript"/>
      <sz val="10"/>
      <name val="Arial"/>
      <family val="2"/>
    </font>
    <font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rgb="FFB6D7A8"/>
      </patternFill>
    </fill>
    <fill>
      <patternFill patternType="solid">
        <fgColor theme="0" tint="-0.14999847407452621"/>
        <bgColor rgb="FF9FC5E8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/>
    <xf numFmtId="0" fontId="14" fillId="0" borderId="7" applyNumberFormat="0" applyFill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10" borderId="10" applyNumberFormat="0" applyAlignment="0" applyProtection="0"/>
    <xf numFmtId="0" fontId="20" fillId="11" borderId="11" applyNumberFormat="0" applyAlignment="0" applyProtection="0"/>
    <xf numFmtId="0" fontId="21" fillId="11" borderId="10" applyNumberFormat="0" applyAlignment="0" applyProtection="0"/>
    <xf numFmtId="0" fontId="22" fillId="0" borderId="12" applyNumberFormat="0" applyFill="0" applyAlignment="0" applyProtection="0"/>
    <xf numFmtId="0" fontId="23" fillId="12" borderId="13" applyNumberFormat="0" applyAlignment="0" applyProtection="0"/>
    <xf numFmtId="0" fontId="24" fillId="0" borderId="0" applyNumberFormat="0" applyFill="0" applyBorder="0" applyAlignment="0" applyProtection="0"/>
    <xf numFmtId="0" fontId="13" fillId="13" borderId="14" applyNumberFormat="0" applyFont="0" applyAlignment="0" applyProtection="0"/>
    <xf numFmtId="0" fontId="25" fillId="0" borderId="0" applyNumberFormat="0" applyFill="0" applyBorder="0" applyAlignment="0" applyProtection="0"/>
    <xf numFmtId="0" fontId="1" fillId="0" borderId="15" applyNumberFormat="0" applyFill="0" applyAlignment="0" applyProtection="0"/>
    <xf numFmtId="0" fontId="26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26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26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26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26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NumberFormat="0" applyBorder="0" applyAlignment="0" applyProtection="0"/>
    <xf numFmtId="0" fontId="26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27" fillId="0" borderId="0" applyNumberFormat="0" applyFill="0" applyBorder="0" applyAlignment="0" applyProtection="0"/>
    <xf numFmtId="0" fontId="28" fillId="9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0" fontId="26" fillId="37" borderId="0" applyNumberFormat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2" fontId="0" fillId="0" borderId="0" xfId="0" applyNumberFormat="1"/>
    <xf numFmtId="0" fontId="5" fillId="2" borderId="1" xfId="0" applyFont="1" applyFill="1" applyBorder="1" applyAlignment="1">
      <alignment horizontal="center"/>
    </xf>
    <xf numFmtId="0" fontId="0" fillId="0" borderId="1" xfId="0" applyFill="1" applyBorder="1"/>
    <xf numFmtId="0" fontId="2" fillId="0" borderId="1" xfId="0" applyFont="1" applyFill="1" applyBorder="1" applyAlignment="1">
      <alignment horizontal="center"/>
    </xf>
    <xf numFmtId="2" fontId="0" fillId="0" borderId="1" xfId="0" applyNumberFormat="1" applyFill="1" applyBorder="1"/>
    <xf numFmtId="0" fontId="4" fillId="0" borderId="1" xfId="0" applyFont="1" applyFill="1" applyBorder="1"/>
    <xf numFmtId="0" fontId="5" fillId="0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Fill="1"/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7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0" xfId="0" applyFont="1" applyBorder="1"/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1" xfId="0" applyFont="1" applyBorder="1"/>
    <xf numFmtId="0" fontId="9" fillId="0" borderId="2" xfId="0" applyFont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9" fillId="0" borderId="1" xfId="0" applyFont="1" applyBorder="1" applyAlignment="1">
      <alignment horizontal="center"/>
    </xf>
    <xf numFmtId="0" fontId="11" fillId="0" borderId="0" xfId="0" applyFont="1"/>
    <xf numFmtId="0" fontId="11" fillId="0" borderId="1" xfId="0" applyFont="1" applyBorder="1"/>
    <xf numFmtId="0" fontId="2" fillId="2" borderId="1" xfId="0" applyFont="1" applyFill="1" applyBorder="1" applyAlignment="1">
      <alignment horizontal="left"/>
    </xf>
    <xf numFmtId="1" fontId="6" fillId="0" borderId="1" xfId="0" applyNumberFormat="1" applyFont="1" applyFill="1" applyBorder="1"/>
    <xf numFmtId="1" fontId="2" fillId="0" borderId="1" xfId="0" applyNumberFormat="1" applyFont="1" applyFill="1" applyBorder="1" applyAlignment="1">
      <alignment horizontal="center"/>
    </xf>
    <xf numFmtId="1" fontId="6" fillId="3" borderId="1" xfId="0" applyNumberFormat="1" applyFont="1" applyFill="1" applyBorder="1"/>
    <xf numFmtId="1" fontId="2" fillId="3" borderId="1" xfId="0" applyNumberFormat="1" applyFont="1" applyFill="1" applyBorder="1" applyAlignment="1">
      <alignment horizontal="center"/>
    </xf>
    <xf numFmtId="1" fontId="6" fillId="4" borderId="1" xfId="0" applyNumberFormat="1" applyFont="1" applyFill="1" applyBorder="1"/>
    <xf numFmtId="1" fontId="2" fillId="5" borderId="1" xfId="0" applyNumberFormat="1" applyFont="1" applyFill="1" applyBorder="1" applyAlignment="1">
      <alignment horizontal="center"/>
    </xf>
    <xf numFmtId="0" fontId="0" fillId="6" borderId="4" xfId="0" applyFill="1" applyBorder="1"/>
    <xf numFmtId="0" fontId="0" fillId="6" borderId="5" xfId="0" applyFill="1" applyBorder="1"/>
    <xf numFmtId="2" fontId="0" fillId="6" borderId="5" xfId="0" applyNumberFormat="1" applyFill="1" applyBorder="1"/>
    <xf numFmtId="0" fontId="0" fillId="6" borderId="6" xfId="0" applyFill="1" applyBorder="1"/>
    <xf numFmtId="0" fontId="0" fillId="0" borderId="4" xfId="0" applyBorder="1"/>
    <xf numFmtId="0" fontId="0" fillId="0" borderId="5" xfId="0" applyBorder="1"/>
    <xf numFmtId="2" fontId="0" fillId="0" borderId="5" xfId="0" applyNumberFormat="1" applyBorder="1"/>
    <xf numFmtId="0" fontId="0" fillId="0" borderId="6" xfId="0" applyBorder="1"/>
    <xf numFmtId="164" fontId="0" fillId="6" borderId="5" xfId="0" applyNumberFormat="1" applyFill="1" applyBorder="1"/>
    <xf numFmtId="0" fontId="0" fillId="0" borderId="0" xfId="0"/>
    <xf numFmtId="0" fontId="1" fillId="0" borderId="0" xfId="0" applyFont="1"/>
    <xf numFmtId="0" fontId="29" fillId="0" borderId="1" xfId="0" applyFont="1" applyFill="1" applyBorder="1" applyAlignment="1">
      <alignment horizontal="center" wrapText="1" readingOrder="1"/>
    </xf>
    <xf numFmtId="0" fontId="2" fillId="0" borderId="1" xfId="0" applyFont="1" applyFill="1" applyBorder="1"/>
    <xf numFmtId="0" fontId="9" fillId="0" borderId="1" xfId="0" applyFont="1" applyFill="1" applyBorder="1" applyAlignment="1">
      <alignment horizontal="center"/>
    </xf>
    <xf numFmtId="0" fontId="0" fillId="0" borderId="0" xfId="0" applyFill="1"/>
    <xf numFmtId="0" fontId="0" fillId="0" borderId="0" xfId="0" applyBorder="1"/>
    <xf numFmtId="0" fontId="0" fillId="0" borderId="16" xfId="0" applyBorder="1"/>
    <xf numFmtId="0" fontId="9" fillId="0" borderId="1" xfId="0" applyFont="1" applyFill="1" applyBorder="1"/>
    <xf numFmtId="0" fontId="0" fillId="0" borderId="0" xfId="0" applyFill="1" applyBorder="1"/>
    <xf numFmtId="2" fontId="0" fillId="0" borderId="0" xfId="0" applyNumberFormat="1" applyFill="1" applyBorder="1"/>
    <xf numFmtId="0" fontId="2" fillId="0" borderId="0" xfId="0" applyFont="1" applyBorder="1" applyAlignment="1">
      <alignment horizontal="left"/>
    </xf>
    <xf numFmtId="0" fontId="0" fillId="0" borderId="17" xfId="0" applyFill="1" applyBorder="1"/>
    <xf numFmtId="0" fontId="9" fillId="0" borderId="17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left"/>
    </xf>
    <xf numFmtId="0" fontId="31" fillId="0" borderId="0" xfId="0" applyFont="1"/>
    <xf numFmtId="0" fontId="9" fillId="0" borderId="0" xfId="0" applyFont="1" applyBorder="1" applyAlignment="1">
      <alignment horizontal="left"/>
    </xf>
    <xf numFmtId="0" fontId="9" fillId="0" borderId="0" xfId="0" applyFont="1" applyBorder="1"/>
    <xf numFmtId="0" fontId="34" fillId="0" borderId="0" xfId="0" applyFont="1"/>
    <xf numFmtId="0" fontId="35" fillId="0" borderId="0" xfId="0" applyFont="1"/>
    <xf numFmtId="0" fontId="2" fillId="0" borderId="0" xfId="0" applyFont="1" applyFill="1" applyAlignment="1">
      <alignment horizontal="center"/>
    </xf>
    <xf numFmtId="0" fontId="0" fillId="0" borderId="0" xfId="0" applyFill="1"/>
  </cellXfs>
  <cellStyles count="43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7" xr:uid="{5E50EE8B-7EC0-4E0A-9DB5-6C16AF6A7185}"/>
    <cellStyle name="60% - Accent2 2" xfId="38" xr:uid="{42702483-7622-4337-B7E5-9C7575D444BE}"/>
    <cellStyle name="60% - Accent3 2" xfId="39" xr:uid="{CC1C2C46-9955-4DCA-8DC9-A66181D415CD}"/>
    <cellStyle name="60% - Accent4 2" xfId="40" xr:uid="{FDFADA94-B97A-4829-A322-0BA755A4B159}"/>
    <cellStyle name="60% - Accent5 2" xfId="41" xr:uid="{5ADC725F-6548-449F-8A48-A2BDA780438F}"/>
    <cellStyle name="60% - Accent6 2" xfId="42" xr:uid="{3B3F3A88-FD3F-44FC-90CF-722C01C69928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6" xr:uid="{48A5188F-DE80-421B-BD03-E7CE96577B4A}"/>
    <cellStyle name="Normal" xfId="0" builtinId="0"/>
    <cellStyle name="Normal 2" xfId="1" xr:uid="{4302E8DF-3584-4187-8495-F4115B7E0552}"/>
    <cellStyle name="Note" xfId="14" builtinId="10" customBuiltin="1"/>
    <cellStyle name="Output" xfId="9" builtinId="21" customBuiltin="1"/>
    <cellStyle name="Title 2" xfId="35" xr:uid="{01CC1DCC-B20A-450C-B21B-E2ED1F536D77}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82550</xdr:colOff>
      <xdr:row>1</xdr:row>
      <xdr:rowOff>12700</xdr:rowOff>
    </xdr:from>
    <xdr:to>
      <xdr:col>24</xdr:col>
      <xdr:colOff>558800</xdr:colOff>
      <xdr:row>48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BC143E-F130-4A4D-B505-A1EA0817E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55400" y="196850"/>
          <a:ext cx="4743450" cy="873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BBF81-94E8-4B71-BA9B-1D3F8C464346}">
  <dimension ref="A1:S7"/>
  <sheetViews>
    <sheetView workbookViewId="0">
      <selection activeCell="S41" sqref="S41"/>
    </sheetView>
  </sheetViews>
  <sheetFormatPr defaultRowHeight="14.5" x14ac:dyDescent="0.35"/>
  <cols>
    <col min="1" max="1" width="12.453125" customWidth="1"/>
  </cols>
  <sheetData>
    <row r="1" spans="1:19" x14ac:dyDescent="0.35">
      <c r="A1" t="s">
        <v>4812</v>
      </c>
    </row>
    <row r="2" spans="1:19" ht="16.5" x14ac:dyDescent="0.35">
      <c r="A2" s="19" t="s">
        <v>0</v>
      </c>
      <c r="B2" s="19" t="s">
        <v>4559</v>
      </c>
      <c r="C2" s="19" t="s">
        <v>4560</v>
      </c>
      <c r="D2" s="19" t="s">
        <v>4561</v>
      </c>
      <c r="E2" s="19" t="s">
        <v>4562</v>
      </c>
      <c r="F2" s="19" t="s">
        <v>4563</v>
      </c>
      <c r="G2" s="19" t="s">
        <v>4564</v>
      </c>
      <c r="H2" s="19" t="s">
        <v>4565</v>
      </c>
      <c r="J2" s="19" t="s">
        <v>1</v>
      </c>
      <c r="K2" s="19" t="s">
        <v>2</v>
      </c>
      <c r="L2" s="19" t="s">
        <v>3</v>
      </c>
      <c r="M2" s="19" t="s">
        <v>4</v>
      </c>
      <c r="N2" s="19" t="s">
        <v>5</v>
      </c>
      <c r="O2" s="19" t="s">
        <v>6</v>
      </c>
      <c r="P2" s="19" t="s">
        <v>7</v>
      </c>
      <c r="Q2" s="19" t="s">
        <v>8</v>
      </c>
      <c r="R2" s="19" t="s">
        <v>9</v>
      </c>
      <c r="S2" s="60" t="s">
        <v>4811</v>
      </c>
    </row>
    <row r="3" spans="1:19" x14ac:dyDescent="0.35">
      <c r="A3" s="16">
        <v>0</v>
      </c>
      <c r="B3" s="17">
        <v>78</v>
      </c>
      <c r="C3" s="17">
        <v>83</v>
      </c>
      <c r="D3" s="17">
        <v>46</v>
      </c>
      <c r="E3" s="17">
        <v>70</v>
      </c>
      <c r="F3" s="17">
        <v>63</v>
      </c>
      <c r="G3" s="17">
        <v>63</v>
      </c>
      <c r="H3" s="17">
        <v>110</v>
      </c>
      <c r="I3" s="1"/>
      <c r="J3" s="17">
        <v>83</v>
      </c>
      <c r="K3" s="17">
        <v>102</v>
      </c>
      <c r="L3" s="17">
        <v>93</v>
      </c>
      <c r="M3" s="17">
        <v>63</v>
      </c>
      <c r="N3" s="17">
        <v>51</v>
      </c>
      <c r="O3" s="17">
        <v>62</v>
      </c>
      <c r="P3" s="17">
        <v>71</v>
      </c>
      <c r="Q3" s="17">
        <v>69</v>
      </c>
      <c r="R3" s="17">
        <v>40</v>
      </c>
      <c r="S3" s="1">
        <f>_xlfn.T.TEST(B3:H3,J3:R3,2,2)</f>
        <v>0.78076459264298292</v>
      </c>
    </row>
    <row r="4" spans="1:19" x14ac:dyDescent="0.35">
      <c r="A4" s="16">
        <v>30</v>
      </c>
      <c r="B4" s="17">
        <v>269</v>
      </c>
      <c r="C4" s="17">
        <v>327</v>
      </c>
      <c r="D4" s="17">
        <v>257</v>
      </c>
      <c r="E4" s="17">
        <v>205</v>
      </c>
      <c r="F4" s="17">
        <v>226</v>
      </c>
      <c r="G4" s="17">
        <v>191</v>
      </c>
      <c r="H4" s="17">
        <v>189</v>
      </c>
      <c r="I4" s="1"/>
      <c r="J4" s="17">
        <v>136</v>
      </c>
      <c r="K4" s="17">
        <v>131</v>
      </c>
      <c r="L4" s="17">
        <v>154</v>
      </c>
      <c r="M4" s="17">
        <v>233</v>
      </c>
      <c r="N4" s="17">
        <v>214</v>
      </c>
      <c r="O4" s="17">
        <v>199</v>
      </c>
      <c r="P4" s="17">
        <v>179</v>
      </c>
      <c r="Q4" s="17">
        <v>228</v>
      </c>
      <c r="R4" s="17">
        <v>246</v>
      </c>
      <c r="S4" s="1">
        <f t="shared" ref="S4:S7" si="0">_xlfn.T.TEST(B4:H4,J4:R4,2,2)</f>
        <v>6.5460662321289526E-2</v>
      </c>
    </row>
    <row r="5" spans="1:19" x14ac:dyDescent="0.35">
      <c r="A5" s="16">
        <v>60</v>
      </c>
      <c r="B5" s="17">
        <v>243</v>
      </c>
      <c r="C5" s="17">
        <v>242</v>
      </c>
      <c r="D5" s="17">
        <v>177</v>
      </c>
      <c r="E5" s="17">
        <v>241</v>
      </c>
      <c r="F5" s="17">
        <v>231</v>
      </c>
      <c r="G5" s="17">
        <v>209</v>
      </c>
      <c r="H5" s="17">
        <v>213</v>
      </c>
      <c r="I5" s="1"/>
      <c r="J5" s="17">
        <v>106</v>
      </c>
      <c r="K5" s="17">
        <v>134</v>
      </c>
      <c r="L5" s="17">
        <v>134</v>
      </c>
      <c r="M5" s="17">
        <v>166</v>
      </c>
      <c r="N5" s="17">
        <v>169</v>
      </c>
      <c r="O5" s="17">
        <v>165</v>
      </c>
      <c r="P5" s="17">
        <v>154</v>
      </c>
      <c r="Q5" s="17">
        <v>237</v>
      </c>
      <c r="R5" s="17">
        <v>207</v>
      </c>
      <c r="S5" s="1">
        <f t="shared" si="0"/>
        <v>3.9491797567464144E-3</v>
      </c>
    </row>
    <row r="6" spans="1:19" x14ac:dyDescent="0.35">
      <c r="A6" s="16">
        <v>90</v>
      </c>
      <c r="B6" s="17">
        <v>200</v>
      </c>
      <c r="C6" s="17">
        <v>181</v>
      </c>
      <c r="D6" s="17">
        <v>187</v>
      </c>
      <c r="E6" s="17">
        <v>200</v>
      </c>
      <c r="F6" s="17">
        <v>223</v>
      </c>
      <c r="G6" s="17">
        <v>157</v>
      </c>
      <c r="H6" s="17">
        <v>181</v>
      </c>
      <c r="I6" s="1"/>
      <c r="J6" s="17">
        <v>89</v>
      </c>
      <c r="K6" s="17">
        <v>107</v>
      </c>
      <c r="L6" s="17">
        <v>132</v>
      </c>
      <c r="M6" s="17">
        <v>155</v>
      </c>
      <c r="N6" s="17">
        <v>150</v>
      </c>
      <c r="O6" s="17">
        <v>148</v>
      </c>
      <c r="P6" s="17">
        <v>141</v>
      </c>
      <c r="Q6" s="17">
        <v>191</v>
      </c>
      <c r="R6" s="17">
        <v>145</v>
      </c>
      <c r="S6" s="1">
        <f t="shared" si="0"/>
        <v>1.7613344998662951E-3</v>
      </c>
    </row>
    <row r="7" spans="1:19" x14ac:dyDescent="0.35">
      <c r="A7" s="16">
        <v>120</v>
      </c>
      <c r="B7" s="17">
        <v>182</v>
      </c>
      <c r="C7" s="17">
        <v>118</v>
      </c>
      <c r="D7" s="17">
        <v>148</v>
      </c>
      <c r="E7" s="17">
        <v>146</v>
      </c>
      <c r="F7" s="17">
        <v>176</v>
      </c>
      <c r="G7" s="17">
        <v>147</v>
      </c>
      <c r="H7" s="17">
        <v>171</v>
      </c>
      <c r="I7" s="1"/>
      <c r="J7" s="17">
        <v>96</v>
      </c>
      <c r="K7" s="17">
        <v>100</v>
      </c>
      <c r="L7" s="17">
        <v>114</v>
      </c>
      <c r="M7" s="17">
        <v>128</v>
      </c>
      <c r="N7" s="17">
        <v>114</v>
      </c>
      <c r="O7" s="17">
        <v>129</v>
      </c>
      <c r="P7" s="17">
        <v>136</v>
      </c>
      <c r="Q7" s="17">
        <v>139</v>
      </c>
      <c r="R7" s="17">
        <v>122</v>
      </c>
      <c r="S7" s="1">
        <f t="shared" si="0"/>
        <v>1.875225859932748E-3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8BB13-232C-44E0-B156-D8FFE1DC8DC5}">
  <dimension ref="A1:U24"/>
  <sheetViews>
    <sheetView workbookViewId="0">
      <selection activeCell="P23" sqref="P23"/>
    </sheetView>
  </sheetViews>
  <sheetFormatPr defaultRowHeight="14.5" x14ac:dyDescent="0.35"/>
  <sheetData>
    <row r="1" spans="1:21" s="48" customFormat="1" x14ac:dyDescent="0.35">
      <c r="A1" t="s">
        <v>4813</v>
      </c>
    </row>
    <row r="2" spans="1:21" x14ac:dyDescent="0.35">
      <c r="B2" t="s">
        <v>4814</v>
      </c>
      <c r="M2" t="s">
        <v>4814</v>
      </c>
      <c r="U2" t="s">
        <v>4811</v>
      </c>
    </row>
    <row r="3" spans="1:21" ht="16.5" x14ac:dyDescent="0.35">
      <c r="A3" s="19" t="s">
        <v>10</v>
      </c>
      <c r="B3" s="19" t="s">
        <v>4559</v>
      </c>
      <c r="C3" s="19" t="s">
        <v>4560</v>
      </c>
      <c r="D3" s="19" t="s">
        <v>4561</v>
      </c>
      <c r="E3" s="19" t="s">
        <v>4562</v>
      </c>
      <c r="F3" s="19" t="s">
        <v>4563</v>
      </c>
      <c r="G3" s="19" t="s">
        <v>4564</v>
      </c>
      <c r="H3" s="19" t="s">
        <v>4565</v>
      </c>
      <c r="I3" s="19" t="s">
        <v>4566</v>
      </c>
      <c r="J3" s="19" t="s">
        <v>4567</v>
      </c>
      <c r="K3" s="19" t="s">
        <v>4568</v>
      </c>
      <c r="M3" s="19" t="s">
        <v>1</v>
      </c>
      <c r="N3" s="19" t="s">
        <v>2</v>
      </c>
      <c r="O3" s="19" t="s">
        <v>3</v>
      </c>
      <c r="P3" s="19" t="s">
        <v>4</v>
      </c>
      <c r="Q3" s="19" t="s">
        <v>5</v>
      </c>
      <c r="R3" s="19" t="s">
        <v>6</v>
      </c>
      <c r="S3" s="19" t="s">
        <v>7</v>
      </c>
      <c r="T3" s="19" t="s">
        <v>8</v>
      </c>
    </row>
    <row r="4" spans="1:21" x14ac:dyDescent="0.35">
      <c r="A4" s="16">
        <v>0</v>
      </c>
      <c r="B4" s="17">
        <v>100</v>
      </c>
      <c r="C4" s="17">
        <v>100</v>
      </c>
      <c r="D4" s="17">
        <v>100</v>
      </c>
      <c r="E4" s="17">
        <v>100</v>
      </c>
      <c r="F4" s="17">
        <v>100</v>
      </c>
      <c r="G4" s="17">
        <v>100</v>
      </c>
      <c r="H4" s="17">
        <v>100</v>
      </c>
      <c r="I4" s="17">
        <v>100</v>
      </c>
      <c r="J4" s="17">
        <v>100</v>
      </c>
      <c r="K4" s="17">
        <v>100</v>
      </c>
      <c r="M4" s="17">
        <v>100</v>
      </c>
      <c r="N4" s="17">
        <v>100</v>
      </c>
      <c r="O4" s="17">
        <v>100</v>
      </c>
      <c r="P4" s="17">
        <v>100</v>
      </c>
      <c r="Q4" s="17">
        <v>100</v>
      </c>
      <c r="R4" s="17">
        <v>100</v>
      </c>
      <c r="S4" s="17">
        <v>100</v>
      </c>
      <c r="T4" s="17">
        <v>100</v>
      </c>
      <c r="U4" s="1"/>
    </row>
    <row r="5" spans="1:21" x14ac:dyDescent="0.35">
      <c r="A5" s="16">
        <v>30</v>
      </c>
      <c r="B5" s="17">
        <v>51.515149999999998</v>
      </c>
      <c r="C5" s="17">
        <v>83</v>
      </c>
      <c r="D5" s="17">
        <v>64.583330000000004</v>
      </c>
      <c r="E5" s="17">
        <v>75.67568</v>
      </c>
      <c r="F5" s="17">
        <v>54.464289999999998</v>
      </c>
      <c r="G5" s="17">
        <v>67.5</v>
      </c>
      <c r="H5" s="17">
        <v>17.600000000000001</v>
      </c>
      <c r="I5" s="17">
        <v>30.275230000000001</v>
      </c>
      <c r="J5" s="17">
        <v>67</v>
      </c>
      <c r="K5" s="17">
        <v>66.666669999999996</v>
      </c>
      <c r="M5" s="17">
        <v>54.545450000000002</v>
      </c>
      <c r="N5" s="17">
        <v>27.173909999999999</v>
      </c>
      <c r="O5" s="17">
        <v>40.869570000000003</v>
      </c>
      <c r="P5" s="17">
        <v>40.594059999999999</v>
      </c>
      <c r="Q5" s="17">
        <v>48.275860000000002</v>
      </c>
      <c r="R5" s="17">
        <v>45</v>
      </c>
      <c r="S5" s="17">
        <v>26.31579</v>
      </c>
      <c r="T5" s="17">
        <v>29.069769999999998</v>
      </c>
      <c r="U5" s="1">
        <f>_xlfn.T.TEST(B5:K5,M5:T5,2,2)</f>
        <v>2.9960932728227328E-2</v>
      </c>
    </row>
    <row r="6" spans="1:21" x14ac:dyDescent="0.35">
      <c r="A6" s="16">
        <v>60</v>
      </c>
      <c r="B6" s="17">
        <v>74.242419999999996</v>
      </c>
      <c r="C6" s="17">
        <v>66</v>
      </c>
      <c r="D6" s="17">
        <v>106.25</v>
      </c>
      <c r="E6" s="17">
        <v>75.67568</v>
      </c>
      <c r="F6" s="17">
        <v>38.392859999999999</v>
      </c>
      <c r="G6" s="17">
        <v>27.5</v>
      </c>
      <c r="H6" s="17">
        <v>16</v>
      </c>
      <c r="I6" s="17">
        <v>44.036700000000003</v>
      </c>
      <c r="J6" s="17">
        <v>47</v>
      </c>
      <c r="K6" s="17">
        <v>68.571430000000007</v>
      </c>
      <c r="M6" s="17">
        <v>32.727269999999997</v>
      </c>
      <c r="N6" s="17">
        <v>21.739129999999999</v>
      </c>
      <c r="O6" s="17">
        <v>17.391300000000001</v>
      </c>
      <c r="P6" s="17">
        <v>21.78218</v>
      </c>
      <c r="Q6" s="17">
        <v>56.321840000000002</v>
      </c>
      <c r="R6" s="17">
        <v>32.5</v>
      </c>
      <c r="S6" s="17">
        <v>26.31579</v>
      </c>
      <c r="T6" s="17">
        <v>45.348840000000003</v>
      </c>
      <c r="U6" s="1">
        <f t="shared" ref="U6:U8" si="0">_xlfn.T.TEST(B6:K6,M6:T6,2,2)</f>
        <v>3.0802776885780772E-2</v>
      </c>
    </row>
    <row r="7" spans="1:21" x14ac:dyDescent="0.35">
      <c r="A7" s="16">
        <v>90</v>
      </c>
      <c r="B7" s="17">
        <v>86.363640000000004</v>
      </c>
      <c r="C7" s="17">
        <v>68</v>
      </c>
      <c r="D7" s="17">
        <v>106.25</v>
      </c>
      <c r="E7" s="17">
        <v>98.648650000000004</v>
      </c>
      <c r="F7" s="17">
        <v>48.214289999999998</v>
      </c>
      <c r="G7" s="17">
        <v>32.5</v>
      </c>
      <c r="H7" s="17">
        <v>32</v>
      </c>
      <c r="I7" s="17">
        <v>51.376150000000003</v>
      </c>
      <c r="J7" s="17">
        <v>43</v>
      </c>
      <c r="K7" s="17">
        <v>71.428569999999993</v>
      </c>
      <c r="M7" s="17">
        <v>61.818179999999998</v>
      </c>
      <c r="N7" s="17">
        <v>21.739129999999999</v>
      </c>
      <c r="O7" s="17">
        <v>17.391300000000001</v>
      </c>
      <c r="P7" s="17">
        <v>19.80198</v>
      </c>
      <c r="Q7" s="17">
        <v>57.471260000000001</v>
      </c>
      <c r="R7" s="17">
        <v>40</v>
      </c>
      <c r="S7" s="17">
        <v>36.842109999999998</v>
      </c>
      <c r="T7" s="17">
        <v>52.325580000000002</v>
      </c>
      <c r="U7" s="1">
        <f t="shared" si="0"/>
        <v>3.4845622683639652E-2</v>
      </c>
    </row>
    <row r="8" spans="1:21" x14ac:dyDescent="0.35">
      <c r="A8" s="16">
        <v>120</v>
      </c>
      <c r="B8" s="17">
        <v>71.212119999999999</v>
      </c>
      <c r="C8" s="17">
        <v>63</v>
      </c>
      <c r="D8" s="17">
        <v>112.5</v>
      </c>
      <c r="E8" s="17">
        <v>87.83784</v>
      </c>
      <c r="F8" s="17">
        <v>54.464289999999998</v>
      </c>
      <c r="G8" s="17">
        <v>52.5</v>
      </c>
      <c r="H8" s="17">
        <v>60</v>
      </c>
      <c r="I8" s="17">
        <v>61.467889999999997</v>
      </c>
      <c r="J8" s="17">
        <v>50</v>
      </c>
      <c r="K8" s="17">
        <v>74.285709999999995</v>
      </c>
      <c r="M8" s="17">
        <v>79.090909999999994</v>
      </c>
      <c r="N8" s="17">
        <v>28.260870000000001</v>
      </c>
      <c r="O8" s="17">
        <v>19.13043</v>
      </c>
      <c r="P8" s="17">
        <v>19.80198</v>
      </c>
      <c r="Q8" s="17">
        <v>50.574710000000003</v>
      </c>
      <c r="R8" s="17">
        <v>52.5</v>
      </c>
      <c r="S8" s="17">
        <v>78.947370000000006</v>
      </c>
      <c r="T8" s="17">
        <v>63.953490000000002</v>
      </c>
      <c r="U8" s="1">
        <f t="shared" si="0"/>
        <v>7.34030457519073E-2</v>
      </c>
    </row>
    <row r="11" spans="1:21" x14ac:dyDescent="0.35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</row>
    <row r="12" spans="1:21" x14ac:dyDescent="0.35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</row>
    <row r="13" spans="1:21" x14ac:dyDescent="0.3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</row>
    <row r="14" spans="1:21" x14ac:dyDescent="0.35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</row>
    <row r="15" spans="1:21" x14ac:dyDescent="0.3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</row>
    <row r="16" spans="1:21" x14ac:dyDescent="0.35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</row>
    <row r="17" spans="1:13" x14ac:dyDescent="0.35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</row>
    <row r="18" spans="1:13" x14ac:dyDescent="0.35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</row>
    <row r="19" spans="1:13" x14ac:dyDescent="0.35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</row>
    <row r="20" spans="1:13" x14ac:dyDescent="0.35">
      <c r="A20" s="54"/>
      <c r="B20" s="59"/>
      <c r="C20" s="57"/>
      <c r="D20" s="57"/>
      <c r="E20" s="57"/>
      <c r="F20" s="57"/>
      <c r="G20" s="57"/>
      <c r="H20" s="57"/>
      <c r="I20" s="57"/>
      <c r="J20" s="57"/>
      <c r="K20" s="54"/>
      <c r="L20" s="54"/>
      <c r="M20" s="54"/>
    </row>
    <row r="21" spans="1:13" x14ac:dyDescent="0.35">
      <c r="A21" s="54"/>
      <c r="B21" s="59"/>
      <c r="C21" s="57"/>
      <c r="D21" s="57"/>
      <c r="E21" s="57"/>
      <c r="F21" s="57"/>
      <c r="G21" s="57"/>
      <c r="H21" s="57"/>
      <c r="I21" s="57"/>
      <c r="J21" s="57"/>
      <c r="K21" s="54"/>
      <c r="L21" s="54"/>
      <c r="M21" s="54"/>
    </row>
    <row r="22" spans="1:13" x14ac:dyDescent="0.35">
      <c r="A22" s="54"/>
      <c r="B22" s="59"/>
      <c r="C22" s="57"/>
      <c r="D22" s="57"/>
      <c r="E22" s="57"/>
      <c r="F22" s="57"/>
      <c r="G22" s="57"/>
      <c r="H22" s="57"/>
      <c r="I22" s="57"/>
      <c r="J22" s="57"/>
      <c r="K22" s="54"/>
      <c r="L22" s="54"/>
      <c r="M22" s="54"/>
    </row>
    <row r="23" spans="1:13" x14ac:dyDescent="0.35">
      <c r="A23" s="54"/>
      <c r="B23" s="59"/>
      <c r="C23" s="57"/>
      <c r="D23" s="57"/>
      <c r="E23" s="57"/>
      <c r="F23" s="57"/>
      <c r="G23" s="57"/>
      <c r="H23" s="57"/>
      <c r="I23" s="57"/>
      <c r="J23" s="57"/>
      <c r="K23" s="54"/>
      <c r="L23" s="54"/>
      <c r="M23" s="54"/>
    </row>
    <row r="24" spans="1:13" x14ac:dyDescent="0.35">
      <c r="A24" s="54"/>
      <c r="B24" s="59"/>
      <c r="C24" s="57"/>
      <c r="D24" s="57"/>
      <c r="E24" s="57"/>
      <c r="F24" s="57"/>
      <c r="G24" s="57"/>
      <c r="H24" s="57"/>
      <c r="I24" s="57"/>
      <c r="J24" s="57"/>
      <c r="K24" s="54"/>
      <c r="L24" s="54"/>
      <c r="M24" s="54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CEC6-5054-46DD-8470-1F8E13B62886}">
  <dimension ref="B1:AA41"/>
  <sheetViews>
    <sheetView workbookViewId="0">
      <selection activeCell="O48" sqref="O48"/>
    </sheetView>
  </sheetViews>
  <sheetFormatPr defaultRowHeight="14.5" x14ac:dyDescent="0.35"/>
  <sheetData>
    <row r="1" spans="2:27" x14ac:dyDescent="0.35">
      <c r="B1" t="s">
        <v>4740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2:27" x14ac:dyDescent="0.35">
      <c r="C2" t="s">
        <v>10</v>
      </c>
      <c r="D2" s="3"/>
      <c r="E2" s="3"/>
      <c r="F2" s="3"/>
      <c r="G2" s="3"/>
      <c r="O2" s="13"/>
      <c r="P2" s="68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</row>
    <row r="3" spans="2:27" x14ac:dyDescent="0.35">
      <c r="B3" s="5"/>
      <c r="C3" s="5" t="s">
        <v>16</v>
      </c>
      <c r="D3" s="5" t="s">
        <v>24</v>
      </c>
      <c r="E3" s="5" t="s">
        <v>25</v>
      </c>
      <c r="F3" s="5" t="s">
        <v>26</v>
      </c>
      <c r="G3" s="5" t="s">
        <v>27</v>
      </c>
      <c r="H3" s="6" t="s">
        <v>37</v>
      </c>
      <c r="I3" s="6" t="s">
        <v>43</v>
      </c>
      <c r="J3" s="6" t="s">
        <v>44</v>
      </c>
      <c r="K3" s="6" t="s">
        <v>45</v>
      </c>
      <c r="L3" s="6" t="s">
        <v>46</v>
      </c>
      <c r="M3" s="6" t="s">
        <v>47</v>
      </c>
      <c r="N3" s="6" t="s">
        <v>48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2:27" x14ac:dyDescent="0.35">
      <c r="B4" s="5"/>
      <c r="C4" s="5" t="s">
        <v>17</v>
      </c>
      <c r="D4" s="7" t="s">
        <v>23</v>
      </c>
      <c r="E4" s="7" t="s">
        <v>23</v>
      </c>
      <c r="F4" s="7" t="s">
        <v>23</v>
      </c>
      <c r="G4" s="7" t="s">
        <v>23</v>
      </c>
      <c r="H4" s="6" t="s">
        <v>23</v>
      </c>
      <c r="I4" s="6" t="s">
        <v>23</v>
      </c>
      <c r="J4" s="6" t="s">
        <v>23</v>
      </c>
      <c r="K4" s="6" t="s">
        <v>23</v>
      </c>
      <c r="L4" s="6" t="s">
        <v>23</v>
      </c>
      <c r="M4" s="6" t="s">
        <v>23</v>
      </c>
      <c r="N4" s="6" t="s">
        <v>23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2:27" ht="21" x14ac:dyDescent="0.5">
      <c r="B5" s="8" t="s">
        <v>18</v>
      </c>
      <c r="C5" s="9">
        <v>-80</v>
      </c>
      <c r="D5" s="5"/>
      <c r="E5" s="5"/>
      <c r="F5" s="5"/>
      <c r="G5" s="5"/>
      <c r="H5" s="6"/>
      <c r="I5" s="5"/>
      <c r="J5" s="5"/>
      <c r="K5" s="5"/>
      <c r="L5" s="5"/>
      <c r="M5" s="5"/>
      <c r="N5" s="5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2:27" x14ac:dyDescent="0.35">
      <c r="B6" s="5"/>
      <c r="C6" s="9">
        <v>-20</v>
      </c>
      <c r="D6" s="5"/>
      <c r="E6" s="5"/>
      <c r="F6" s="5"/>
      <c r="G6" s="5"/>
      <c r="H6" s="6"/>
      <c r="I6" s="5"/>
      <c r="J6" s="5"/>
      <c r="K6" s="5"/>
      <c r="L6" s="5"/>
      <c r="M6" s="5"/>
      <c r="N6" s="5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2:27" x14ac:dyDescent="0.35">
      <c r="B7" s="5"/>
      <c r="C7" s="9">
        <v>-10</v>
      </c>
      <c r="D7" s="5"/>
      <c r="E7" s="5"/>
      <c r="F7" s="5"/>
      <c r="G7" s="5"/>
      <c r="H7" s="6"/>
      <c r="I7" s="6"/>
      <c r="J7" s="6"/>
      <c r="K7" s="6"/>
      <c r="L7" s="6"/>
      <c r="M7" s="6"/>
      <c r="N7" s="6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2:27" x14ac:dyDescent="0.35">
      <c r="B8" s="5"/>
      <c r="C8" s="9">
        <v>90</v>
      </c>
      <c r="D8" s="33">
        <v>92</v>
      </c>
      <c r="E8" s="33">
        <v>90</v>
      </c>
      <c r="F8" s="33">
        <v>90</v>
      </c>
      <c r="G8" s="33">
        <v>70</v>
      </c>
      <c r="H8" s="34">
        <v>80</v>
      </c>
      <c r="I8" s="34">
        <v>55</v>
      </c>
      <c r="J8" s="34">
        <v>80</v>
      </c>
      <c r="K8" s="34">
        <v>80</v>
      </c>
      <c r="L8" s="34">
        <v>80</v>
      </c>
      <c r="M8" s="34">
        <v>80</v>
      </c>
      <c r="N8" s="34">
        <v>80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2:27" x14ac:dyDescent="0.35">
      <c r="B9" s="5"/>
      <c r="C9" s="9">
        <v>100</v>
      </c>
      <c r="D9" s="33">
        <v>92</v>
      </c>
      <c r="E9" s="33">
        <v>90</v>
      </c>
      <c r="F9" s="33">
        <v>90</v>
      </c>
      <c r="G9" s="33">
        <v>70</v>
      </c>
      <c r="H9" s="34">
        <v>80</v>
      </c>
      <c r="I9" s="34">
        <v>75</v>
      </c>
      <c r="J9" s="34">
        <v>80</v>
      </c>
      <c r="K9" s="34">
        <v>60</v>
      </c>
      <c r="L9" s="34">
        <v>87</v>
      </c>
      <c r="M9" s="34">
        <v>87</v>
      </c>
      <c r="N9" s="34">
        <v>75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2:27" x14ac:dyDescent="0.35">
      <c r="B10" s="5"/>
      <c r="C10" s="9">
        <v>110</v>
      </c>
      <c r="D10" s="33">
        <v>92</v>
      </c>
      <c r="E10" s="33">
        <v>67</v>
      </c>
      <c r="F10" s="33">
        <v>85</v>
      </c>
      <c r="G10" s="33">
        <v>76</v>
      </c>
      <c r="H10" s="34">
        <v>85</v>
      </c>
      <c r="I10" s="34">
        <v>95</v>
      </c>
      <c r="J10" s="34">
        <v>80</v>
      </c>
      <c r="K10" s="34">
        <v>75</v>
      </c>
      <c r="L10" s="34">
        <v>97</v>
      </c>
      <c r="M10" s="34">
        <v>100</v>
      </c>
      <c r="N10" s="34">
        <v>77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2:27" x14ac:dyDescent="0.35">
      <c r="B11" s="5"/>
      <c r="C11" s="9">
        <v>120</v>
      </c>
      <c r="D11" s="33">
        <v>83</v>
      </c>
      <c r="E11" s="33">
        <v>67</v>
      </c>
      <c r="F11" s="33">
        <v>76</v>
      </c>
      <c r="G11" s="33">
        <v>79</v>
      </c>
      <c r="H11" s="34">
        <v>85</v>
      </c>
      <c r="I11" s="34">
        <v>100</v>
      </c>
      <c r="J11" s="34">
        <v>77</v>
      </c>
      <c r="K11" s="34">
        <v>72</v>
      </c>
      <c r="L11" s="34">
        <v>109.4</v>
      </c>
      <c r="M11" s="34">
        <v>80</v>
      </c>
      <c r="N11" s="34">
        <v>82</v>
      </c>
      <c r="O11" s="13"/>
      <c r="P11" s="13"/>
      <c r="Q11" s="13"/>
      <c r="R11" s="13"/>
      <c r="S11" s="13"/>
      <c r="T11" s="13"/>
      <c r="U11" s="13"/>
      <c r="V11" s="13"/>
      <c r="W11" s="13"/>
      <c r="X11" s="14"/>
      <c r="Y11" s="14"/>
      <c r="Z11" s="13"/>
      <c r="AA11" s="13"/>
    </row>
    <row r="12" spans="2:27" x14ac:dyDescent="0.35">
      <c r="B12" s="5"/>
      <c r="C12" s="9">
        <v>130</v>
      </c>
      <c r="D12" s="33">
        <v>83</v>
      </c>
      <c r="E12" s="33">
        <v>64</v>
      </c>
      <c r="F12" s="33">
        <v>86</v>
      </c>
      <c r="G12" s="33">
        <v>79</v>
      </c>
      <c r="H12" s="34">
        <v>85</v>
      </c>
      <c r="I12" s="34">
        <v>100</v>
      </c>
      <c r="J12" s="34">
        <v>78</v>
      </c>
      <c r="K12" s="34">
        <v>71</v>
      </c>
      <c r="L12" s="34">
        <v>118.5</v>
      </c>
      <c r="M12" s="34">
        <v>70</v>
      </c>
      <c r="N12" s="34">
        <v>80</v>
      </c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3"/>
      <c r="AA12" s="13"/>
    </row>
    <row r="13" spans="2:27" x14ac:dyDescent="0.35">
      <c r="B13" s="5"/>
      <c r="C13" s="9">
        <v>140</v>
      </c>
      <c r="D13" s="33">
        <v>86</v>
      </c>
      <c r="E13" s="33">
        <v>70</v>
      </c>
      <c r="F13" s="33">
        <v>96</v>
      </c>
      <c r="G13" s="33">
        <v>84</v>
      </c>
      <c r="H13" s="34">
        <v>83</v>
      </c>
      <c r="I13" s="34">
        <v>95</v>
      </c>
      <c r="J13" s="34">
        <v>80</v>
      </c>
      <c r="K13" s="34">
        <v>69</v>
      </c>
      <c r="L13" s="34">
        <v>117.6</v>
      </c>
      <c r="M13" s="34">
        <v>70</v>
      </c>
      <c r="N13" s="34">
        <v>79</v>
      </c>
      <c r="O13" s="13"/>
      <c r="P13" s="13"/>
      <c r="Q13" s="13"/>
      <c r="R13" s="13"/>
      <c r="S13" s="13"/>
      <c r="T13" s="14"/>
      <c r="U13" s="14"/>
      <c r="V13" s="14"/>
      <c r="W13" s="14"/>
      <c r="X13" s="14"/>
      <c r="Y13" s="14"/>
      <c r="Z13" s="13"/>
      <c r="AA13" s="13"/>
    </row>
    <row r="14" spans="2:27" x14ac:dyDescent="0.35">
      <c r="B14" s="5"/>
      <c r="C14" s="9">
        <v>150</v>
      </c>
      <c r="D14" s="33">
        <v>87</v>
      </c>
      <c r="E14" s="33">
        <v>68</v>
      </c>
      <c r="F14" s="33">
        <v>100</v>
      </c>
      <c r="G14" s="33">
        <v>81</v>
      </c>
      <c r="H14" s="34">
        <v>84</v>
      </c>
      <c r="I14" s="34">
        <v>96</v>
      </c>
      <c r="J14" s="34">
        <v>77</v>
      </c>
      <c r="K14" s="34">
        <v>67</v>
      </c>
      <c r="L14" s="34">
        <v>116.7</v>
      </c>
      <c r="M14" s="34">
        <v>67</v>
      </c>
      <c r="N14" s="34">
        <v>76</v>
      </c>
      <c r="O14" s="13"/>
      <c r="P14" s="13"/>
      <c r="Q14" s="13"/>
      <c r="R14" s="13"/>
      <c r="S14" s="13"/>
      <c r="T14" s="14"/>
      <c r="U14" s="14"/>
      <c r="V14" s="14"/>
      <c r="W14" s="14"/>
      <c r="X14" s="14"/>
      <c r="Y14" s="14"/>
      <c r="Z14" s="13"/>
      <c r="AA14" s="13"/>
    </row>
    <row r="15" spans="2:27" x14ac:dyDescent="0.35">
      <c r="B15" s="5"/>
      <c r="C15" s="9">
        <v>160</v>
      </c>
      <c r="D15" s="33">
        <v>87</v>
      </c>
      <c r="E15" s="33">
        <v>66</v>
      </c>
      <c r="F15" s="33">
        <v>103</v>
      </c>
      <c r="G15" s="33">
        <v>80</v>
      </c>
      <c r="H15" s="34">
        <v>84</v>
      </c>
      <c r="I15" s="34">
        <v>96</v>
      </c>
      <c r="J15" s="34">
        <v>75</v>
      </c>
      <c r="K15" s="34">
        <v>70</v>
      </c>
      <c r="L15" s="34">
        <v>116.7</v>
      </c>
      <c r="M15" s="34">
        <v>68</v>
      </c>
      <c r="N15" s="34">
        <v>76</v>
      </c>
      <c r="O15" s="13"/>
      <c r="P15" s="13"/>
      <c r="Q15" s="13"/>
      <c r="R15" s="13"/>
      <c r="S15" s="13"/>
      <c r="T15" s="14"/>
      <c r="U15" s="14"/>
      <c r="V15" s="14"/>
      <c r="W15" s="14"/>
      <c r="X15" s="14"/>
      <c r="Y15" s="14"/>
      <c r="Z15" s="13"/>
      <c r="AA15" s="13"/>
    </row>
    <row r="16" spans="2:27" x14ac:dyDescent="0.35">
      <c r="B16" s="5"/>
      <c r="C16" s="9">
        <v>170</v>
      </c>
      <c r="D16" s="33">
        <v>87</v>
      </c>
      <c r="E16" s="33">
        <v>66</v>
      </c>
      <c r="F16" s="33">
        <v>99</v>
      </c>
      <c r="G16" s="33">
        <v>80</v>
      </c>
      <c r="H16" s="34">
        <v>85</v>
      </c>
      <c r="I16" s="34">
        <v>96</v>
      </c>
      <c r="J16" s="34">
        <v>77</v>
      </c>
      <c r="K16" s="34">
        <v>72</v>
      </c>
      <c r="L16" s="34">
        <v>116.7</v>
      </c>
      <c r="M16" s="34">
        <v>69</v>
      </c>
      <c r="N16" s="34">
        <v>78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2:27" x14ac:dyDescent="0.35">
      <c r="B17" s="10" t="s">
        <v>19</v>
      </c>
      <c r="C17" s="11">
        <v>180</v>
      </c>
      <c r="D17" s="35">
        <v>87</v>
      </c>
      <c r="E17" s="35">
        <v>66</v>
      </c>
      <c r="F17" s="35">
        <v>106</v>
      </c>
      <c r="G17" s="35">
        <v>80</v>
      </c>
      <c r="H17" s="36">
        <v>85</v>
      </c>
      <c r="I17" s="36">
        <v>98</v>
      </c>
      <c r="J17" s="36">
        <v>79</v>
      </c>
      <c r="K17" s="36">
        <v>70</v>
      </c>
      <c r="L17" s="36">
        <v>116.7</v>
      </c>
      <c r="M17" s="36">
        <v>69</v>
      </c>
      <c r="N17" s="36">
        <v>78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2:27" x14ac:dyDescent="0.35">
      <c r="B18" s="10" t="s">
        <v>20</v>
      </c>
      <c r="C18" s="11">
        <v>190</v>
      </c>
      <c r="D18" s="35">
        <v>85</v>
      </c>
      <c r="E18" s="35">
        <v>66</v>
      </c>
      <c r="F18" s="35">
        <v>104</v>
      </c>
      <c r="G18" s="35">
        <v>81</v>
      </c>
      <c r="H18" s="36">
        <v>85</v>
      </c>
      <c r="I18" s="36">
        <v>98</v>
      </c>
      <c r="J18" s="36">
        <v>79</v>
      </c>
      <c r="K18" s="36">
        <v>70</v>
      </c>
      <c r="L18" s="36">
        <v>117.6</v>
      </c>
      <c r="M18" s="36">
        <v>68</v>
      </c>
      <c r="N18" s="36">
        <v>78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2:27" x14ac:dyDescent="0.35">
      <c r="B19" s="10" t="s">
        <v>21</v>
      </c>
      <c r="C19" s="11">
        <v>200</v>
      </c>
      <c r="D19" s="35">
        <v>85</v>
      </c>
      <c r="E19" s="35">
        <v>66</v>
      </c>
      <c r="F19" s="35">
        <v>104</v>
      </c>
      <c r="G19" s="35">
        <v>81</v>
      </c>
      <c r="H19" s="36">
        <v>85</v>
      </c>
      <c r="I19" s="36">
        <v>98</v>
      </c>
      <c r="J19" s="36">
        <v>79</v>
      </c>
      <c r="K19" s="36">
        <v>70</v>
      </c>
      <c r="L19" s="36">
        <v>117.6</v>
      </c>
      <c r="M19" s="36">
        <v>67</v>
      </c>
      <c r="N19" s="36">
        <v>78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2:27" x14ac:dyDescent="0.35">
      <c r="B20" s="10" t="s">
        <v>22</v>
      </c>
      <c r="C20" s="11">
        <v>210</v>
      </c>
      <c r="D20" s="35">
        <v>85</v>
      </c>
      <c r="E20" s="35">
        <v>66</v>
      </c>
      <c r="F20" s="35">
        <v>104</v>
      </c>
      <c r="G20" s="35">
        <v>81</v>
      </c>
      <c r="H20" s="36">
        <v>85</v>
      </c>
      <c r="I20" s="36">
        <v>98</v>
      </c>
      <c r="J20" s="36">
        <v>79</v>
      </c>
      <c r="K20" s="36">
        <v>70</v>
      </c>
      <c r="L20" s="36">
        <v>117.6</v>
      </c>
      <c r="M20" s="36">
        <v>67</v>
      </c>
      <c r="N20" s="36">
        <v>78</v>
      </c>
    </row>
    <row r="23" spans="2:27" ht="16.5" x14ac:dyDescent="0.35">
      <c r="B23" s="5"/>
      <c r="C23" s="5" t="s">
        <v>10</v>
      </c>
      <c r="D23" s="19" t="s">
        <v>4559</v>
      </c>
      <c r="E23" s="19" t="s">
        <v>4560</v>
      </c>
      <c r="F23" s="19" t="s">
        <v>4561</v>
      </c>
      <c r="G23" s="19" t="s">
        <v>4562</v>
      </c>
      <c r="H23" s="19" t="s">
        <v>4563</v>
      </c>
      <c r="I23" s="19" t="s">
        <v>4564</v>
      </c>
      <c r="J23" s="19" t="s">
        <v>4565</v>
      </c>
      <c r="K23" s="19" t="s">
        <v>4566</v>
      </c>
      <c r="L23" s="19" t="s">
        <v>4567</v>
      </c>
      <c r="M23" s="19" t="s">
        <v>4568</v>
      </c>
      <c r="N23" s="19" t="s">
        <v>4569</v>
      </c>
      <c r="O23" s="19" t="s">
        <v>4570</v>
      </c>
      <c r="P23" s="19" t="s">
        <v>4571</v>
      </c>
      <c r="Q23" s="19" t="s">
        <v>4572</v>
      </c>
    </row>
    <row r="24" spans="2:27" x14ac:dyDescent="0.35">
      <c r="B24" s="5"/>
      <c r="C24" s="5" t="s">
        <v>16</v>
      </c>
      <c r="D24" s="5" t="s">
        <v>28</v>
      </c>
      <c r="E24" s="5" t="s">
        <v>29</v>
      </c>
      <c r="F24" s="5" t="s">
        <v>30</v>
      </c>
      <c r="G24" s="5" t="s">
        <v>31</v>
      </c>
      <c r="H24" s="5" t="s">
        <v>32</v>
      </c>
      <c r="I24" s="5" t="s">
        <v>33</v>
      </c>
      <c r="J24" s="5" t="s">
        <v>34</v>
      </c>
      <c r="K24" s="6" t="s">
        <v>35</v>
      </c>
      <c r="L24" s="6" t="s">
        <v>36</v>
      </c>
      <c r="M24" s="6" t="s">
        <v>38</v>
      </c>
      <c r="N24" s="6" t="s">
        <v>39</v>
      </c>
      <c r="O24" s="6" t="s">
        <v>40</v>
      </c>
      <c r="P24" s="6" t="s">
        <v>41</v>
      </c>
      <c r="Q24" s="6" t="s">
        <v>42</v>
      </c>
    </row>
    <row r="25" spans="2:27" x14ac:dyDescent="0.35">
      <c r="B25" s="5"/>
      <c r="C25" s="5" t="s">
        <v>17</v>
      </c>
      <c r="D25" s="7"/>
      <c r="E25" s="7"/>
      <c r="F25" s="7"/>
      <c r="G25" s="7"/>
      <c r="H25" s="7"/>
      <c r="I25" s="7"/>
      <c r="J25" s="7"/>
      <c r="K25" s="6"/>
      <c r="L25" s="6"/>
      <c r="M25" s="13"/>
      <c r="N25" s="13"/>
      <c r="O25" s="13"/>
      <c r="P25" s="13"/>
      <c r="Q25" s="13"/>
    </row>
    <row r="26" spans="2:27" ht="21" x14ac:dyDescent="0.5">
      <c r="B26" s="8" t="s">
        <v>18</v>
      </c>
      <c r="C26" s="9">
        <v>-80</v>
      </c>
      <c r="D26" s="5"/>
      <c r="E26" s="5"/>
      <c r="F26" s="5"/>
      <c r="G26" s="5"/>
      <c r="H26" s="5"/>
      <c r="I26" s="5"/>
      <c r="J26" s="5"/>
      <c r="K26" s="6"/>
      <c r="L26" s="6"/>
      <c r="M26" s="6"/>
      <c r="N26" s="6"/>
      <c r="O26" s="6"/>
      <c r="P26" s="6"/>
      <c r="Q26" s="6"/>
    </row>
    <row r="27" spans="2:27" x14ac:dyDescent="0.35">
      <c r="B27" s="5"/>
      <c r="C27" s="9">
        <v>-20</v>
      </c>
      <c r="D27" s="5"/>
      <c r="E27" s="5"/>
      <c r="F27" s="5"/>
      <c r="G27" s="5"/>
      <c r="H27" s="5"/>
      <c r="I27" s="5"/>
      <c r="J27" s="5"/>
      <c r="K27" s="6"/>
      <c r="L27" s="6"/>
      <c r="M27" s="6"/>
      <c r="N27" s="6"/>
      <c r="O27" s="6"/>
      <c r="P27" s="6"/>
      <c r="Q27" s="6"/>
    </row>
    <row r="28" spans="2:27" x14ac:dyDescent="0.35">
      <c r="B28" s="5"/>
      <c r="C28" s="9">
        <v>-10</v>
      </c>
      <c r="D28" s="5"/>
      <c r="E28" s="5"/>
      <c r="F28" s="5"/>
      <c r="G28" s="5"/>
      <c r="H28" s="5"/>
      <c r="I28" s="5"/>
      <c r="J28" s="5"/>
      <c r="K28" s="6"/>
      <c r="L28" s="6"/>
      <c r="M28" s="6"/>
      <c r="N28" s="6"/>
      <c r="O28" s="6"/>
      <c r="P28" s="6"/>
      <c r="Q28" s="6"/>
      <c r="R28" t="s">
        <v>4811</v>
      </c>
    </row>
    <row r="29" spans="2:27" x14ac:dyDescent="0.35">
      <c r="B29" s="5"/>
      <c r="C29" s="9">
        <v>90</v>
      </c>
      <c r="D29" s="33">
        <v>80</v>
      </c>
      <c r="E29" s="33">
        <v>90</v>
      </c>
      <c r="F29" s="33">
        <v>70</v>
      </c>
      <c r="G29" s="33">
        <v>68</v>
      </c>
      <c r="H29" s="33">
        <v>65</v>
      </c>
      <c r="I29" s="33">
        <v>70</v>
      </c>
      <c r="J29" s="33">
        <v>70</v>
      </c>
      <c r="K29" s="34">
        <v>40</v>
      </c>
      <c r="L29" s="34">
        <v>80</v>
      </c>
      <c r="M29" s="34">
        <v>80</v>
      </c>
      <c r="N29" s="34">
        <v>80</v>
      </c>
      <c r="O29" s="34">
        <v>80</v>
      </c>
      <c r="P29" s="34">
        <v>80</v>
      </c>
      <c r="Q29" s="34">
        <v>80</v>
      </c>
      <c r="R29">
        <f>_xlfn.T.TEST(D29:Q29,D8:N8,2,2)</f>
        <v>0.20178206591233191</v>
      </c>
    </row>
    <row r="30" spans="2:27" x14ac:dyDescent="0.35">
      <c r="B30" s="5"/>
      <c r="C30" s="9">
        <v>100</v>
      </c>
      <c r="D30" s="33">
        <v>80</v>
      </c>
      <c r="E30" s="33">
        <v>75</v>
      </c>
      <c r="F30" s="33">
        <v>70</v>
      </c>
      <c r="G30" s="33">
        <v>68</v>
      </c>
      <c r="H30" s="33">
        <v>65</v>
      </c>
      <c r="I30" s="33">
        <v>63</v>
      </c>
      <c r="J30" s="33">
        <v>70</v>
      </c>
      <c r="K30" s="34">
        <v>40</v>
      </c>
      <c r="L30" s="34">
        <v>95</v>
      </c>
      <c r="M30" s="34">
        <v>65</v>
      </c>
      <c r="N30" s="34">
        <v>85</v>
      </c>
      <c r="O30" s="34">
        <v>65</v>
      </c>
      <c r="P30" s="34">
        <v>75</v>
      </c>
      <c r="Q30" s="34">
        <v>75</v>
      </c>
      <c r="R30" s="48">
        <f t="shared" ref="R30:R41" si="0">_xlfn.T.TEST(D30:Q30,D9:N9,2,2)</f>
        <v>4.6005249576227987E-2</v>
      </c>
    </row>
    <row r="31" spans="2:27" x14ac:dyDescent="0.35">
      <c r="B31" s="5"/>
      <c r="C31" s="9">
        <v>110</v>
      </c>
      <c r="D31" s="33">
        <v>78</v>
      </c>
      <c r="E31" s="33">
        <v>75</v>
      </c>
      <c r="F31" s="33">
        <v>70</v>
      </c>
      <c r="G31" s="33">
        <v>61</v>
      </c>
      <c r="H31" s="33">
        <v>57</v>
      </c>
      <c r="I31" s="33">
        <v>63</v>
      </c>
      <c r="J31" s="33">
        <v>70</v>
      </c>
      <c r="K31" s="34">
        <v>65</v>
      </c>
      <c r="L31" s="34">
        <v>100</v>
      </c>
      <c r="M31" s="34">
        <v>65</v>
      </c>
      <c r="N31" s="34">
        <v>65</v>
      </c>
      <c r="O31" s="34">
        <v>75</v>
      </c>
      <c r="P31" s="34">
        <v>90</v>
      </c>
      <c r="Q31" s="34">
        <v>65</v>
      </c>
      <c r="R31" s="48">
        <f t="shared" si="0"/>
        <v>8.1286907409003264E-3</v>
      </c>
    </row>
    <row r="32" spans="2:27" x14ac:dyDescent="0.35">
      <c r="B32" s="5"/>
      <c r="C32" s="9">
        <v>120</v>
      </c>
      <c r="D32" s="33">
        <v>78</v>
      </c>
      <c r="E32" s="33">
        <v>69</v>
      </c>
      <c r="F32" s="33">
        <v>60</v>
      </c>
      <c r="G32" s="33">
        <v>61</v>
      </c>
      <c r="H32" s="33">
        <v>54</v>
      </c>
      <c r="I32" s="33">
        <v>66</v>
      </c>
      <c r="J32" s="33">
        <v>76</v>
      </c>
      <c r="K32" s="34">
        <v>80</v>
      </c>
      <c r="L32" s="34">
        <v>85</v>
      </c>
      <c r="M32" s="34">
        <v>65</v>
      </c>
      <c r="N32" s="34">
        <v>40</v>
      </c>
      <c r="O32" s="34">
        <v>73</v>
      </c>
      <c r="P32" s="34">
        <v>80</v>
      </c>
      <c r="Q32" s="34">
        <v>60</v>
      </c>
      <c r="R32" s="48">
        <f t="shared" si="0"/>
        <v>5.2801282256569075E-3</v>
      </c>
    </row>
    <row r="33" spans="2:18" x14ac:dyDescent="0.35">
      <c r="B33" s="5"/>
      <c r="C33" s="9">
        <v>130</v>
      </c>
      <c r="D33" s="33">
        <v>71</v>
      </c>
      <c r="E33" s="33">
        <v>66</v>
      </c>
      <c r="F33" s="33">
        <v>63</v>
      </c>
      <c r="G33" s="33">
        <v>65</v>
      </c>
      <c r="H33" s="33">
        <v>60</v>
      </c>
      <c r="I33" s="33">
        <v>67</v>
      </c>
      <c r="J33" s="33">
        <v>61</v>
      </c>
      <c r="K33" s="34">
        <v>80</v>
      </c>
      <c r="L33" s="34">
        <v>85</v>
      </c>
      <c r="M33" s="34">
        <v>80</v>
      </c>
      <c r="N33" s="34">
        <v>50</v>
      </c>
      <c r="O33" s="34">
        <v>95</v>
      </c>
      <c r="P33" s="34">
        <v>90</v>
      </c>
      <c r="Q33" s="34">
        <v>89</v>
      </c>
      <c r="R33" s="48">
        <f t="shared" si="0"/>
        <v>9.0164110164102251E-2</v>
      </c>
    </row>
    <row r="34" spans="2:18" x14ac:dyDescent="0.35">
      <c r="B34" s="5"/>
      <c r="C34" s="9">
        <v>140</v>
      </c>
      <c r="D34" s="33">
        <v>71</v>
      </c>
      <c r="E34" s="33">
        <v>64</v>
      </c>
      <c r="F34" s="33">
        <v>65</v>
      </c>
      <c r="G34" s="33">
        <v>65</v>
      </c>
      <c r="H34" s="33">
        <v>63</v>
      </c>
      <c r="I34" s="33">
        <v>70</v>
      </c>
      <c r="J34" s="33">
        <v>61</v>
      </c>
      <c r="K34" s="34">
        <v>80</v>
      </c>
      <c r="L34" s="34">
        <v>75</v>
      </c>
      <c r="M34" s="34">
        <v>75</v>
      </c>
      <c r="N34" s="34">
        <v>70</v>
      </c>
      <c r="O34" s="34">
        <v>100</v>
      </c>
      <c r="P34" s="34">
        <v>95</v>
      </c>
      <c r="Q34" s="34">
        <v>62</v>
      </c>
      <c r="R34" s="48">
        <f t="shared" si="0"/>
        <v>3.2878094971454851E-2</v>
      </c>
    </row>
    <row r="35" spans="2:18" x14ac:dyDescent="0.35">
      <c r="B35" s="5"/>
      <c r="C35" s="9">
        <v>150</v>
      </c>
      <c r="D35" s="33">
        <v>69</v>
      </c>
      <c r="E35" s="33">
        <v>65</v>
      </c>
      <c r="F35" s="33">
        <v>66</v>
      </c>
      <c r="G35" s="33">
        <v>65</v>
      </c>
      <c r="H35" s="33">
        <v>60</v>
      </c>
      <c r="I35" s="33">
        <v>71</v>
      </c>
      <c r="J35" s="33">
        <v>61</v>
      </c>
      <c r="K35" s="34">
        <v>100</v>
      </c>
      <c r="L35" s="34">
        <v>80</v>
      </c>
      <c r="M35" s="34">
        <v>78</v>
      </c>
      <c r="N35" s="34">
        <v>60</v>
      </c>
      <c r="O35" s="34">
        <v>100</v>
      </c>
      <c r="P35" s="34">
        <v>95</v>
      </c>
      <c r="Q35" s="34">
        <v>65</v>
      </c>
      <c r="R35" s="48">
        <f t="shared" si="0"/>
        <v>0.12301086510485301</v>
      </c>
    </row>
    <row r="36" spans="2:18" x14ac:dyDescent="0.35">
      <c r="B36" s="5"/>
      <c r="C36" s="9">
        <v>160</v>
      </c>
      <c r="D36" s="33">
        <v>62</v>
      </c>
      <c r="E36" s="33">
        <v>63</v>
      </c>
      <c r="F36" s="33">
        <v>67</v>
      </c>
      <c r="G36" s="33">
        <v>63</v>
      </c>
      <c r="H36" s="33">
        <v>60</v>
      </c>
      <c r="I36" s="33">
        <v>73</v>
      </c>
      <c r="J36" s="33">
        <v>61</v>
      </c>
      <c r="K36" s="34">
        <v>90</v>
      </c>
      <c r="L36" s="34">
        <v>77</v>
      </c>
      <c r="M36" s="34">
        <v>75</v>
      </c>
      <c r="N36" s="34">
        <v>60</v>
      </c>
      <c r="O36" s="34">
        <v>97</v>
      </c>
      <c r="P36" s="34">
        <v>85</v>
      </c>
      <c r="Q36" s="34">
        <v>65</v>
      </c>
      <c r="R36" s="48">
        <f t="shared" si="0"/>
        <v>3.4954819203529441E-2</v>
      </c>
    </row>
    <row r="37" spans="2:18" x14ac:dyDescent="0.35">
      <c r="B37" s="5"/>
      <c r="C37" s="9">
        <v>170</v>
      </c>
      <c r="D37" s="33">
        <v>55</v>
      </c>
      <c r="E37" s="33">
        <v>63</v>
      </c>
      <c r="F37" s="33">
        <v>67</v>
      </c>
      <c r="G37" s="33">
        <v>64</v>
      </c>
      <c r="H37" s="33">
        <v>60</v>
      </c>
      <c r="I37" s="33">
        <v>75</v>
      </c>
      <c r="J37" s="33">
        <v>62</v>
      </c>
      <c r="K37" s="34">
        <v>90</v>
      </c>
      <c r="L37" s="34">
        <v>79</v>
      </c>
      <c r="M37" s="34">
        <v>75</v>
      </c>
      <c r="N37" s="34">
        <v>63</v>
      </c>
      <c r="O37" s="34">
        <v>95</v>
      </c>
      <c r="P37" s="34">
        <v>62</v>
      </c>
      <c r="Q37" s="34">
        <v>65</v>
      </c>
      <c r="R37" s="48">
        <f t="shared" si="0"/>
        <v>1.2065893858437543E-2</v>
      </c>
    </row>
    <row r="38" spans="2:18" x14ac:dyDescent="0.35">
      <c r="B38" s="12" t="s">
        <v>19</v>
      </c>
      <c r="C38" s="4">
        <v>180</v>
      </c>
      <c r="D38" s="37">
        <v>58</v>
      </c>
      <c r="E38" s="37">
        <v>63</v>
      </c>
      <c r="F38" s="37">
        <v>67</v>
      </c>
      <c r="G38" s="37">
        <v>64</v>
      </c>
      <c r="H38" s="37">
        <v>60</v>
      </c>
      <c r="I38" s="37">
        <v>77</v>
      </c>
      <c r="J38" s="37">
        <v>62</v>
      </c>
      <c r="K38" s="38">
        <v>93</v>
      </c>
      <c r="L38" s="38">
        <v>80</v>
      </c>
      <c r="M38" s="38">
        <v>76</v>
      </c>
      <c r="N38" s="38">
        <v>63</v>
      </c>
      <c r="O38" s="38">
        <v>93</v>
      </c>
      <c r="P38" s="38">
        <v>60</v>
      </c>
      <c r="Q38" s="38">
        <v>66</v>
      </c>
      <c r="R38" s="48">
        <f t="shared" si="0"/>
        <v>1.377001161867651E-2</v>
      </c>
    </row>
    <row r="39" spans="2:18" x14ac:dyDescent="0.35">
      <c r="B39" s="12" t="s">
        <v>20</v>
      </c>
      <c r="C39" s="4">
        <v>190</v>
      </c>
      <c r="D39" s="37">
        <v>58</v>
      </c>
      <c r="E39" s="37">
        <v>65</v>
      </c>
      <c r="F39" s="37">
        <v>67</v>
      </c>
      <c r="G39" s="37">
        <v>63</v>
      </c>
      <c r="H39" s="37">
        <v>60</v>
      </c>
      <c r="I39" s="37">
        <v>79</v>
      </c>
      <c r="J39" s="37">
        <v>61</v>
      </c>
      <c r="K39" s="38">
        <v>93</v>
      </c>
      <c r="L39" s="38">
        <v>80</v>
      </c>
      <c r="M39" s="38">
        <v>76</v>
      </c>
      <c r="N39" s="38">
        <v>60</v>
      </c>
      <c r="O39" s="38">
        <v>93</v>
      </c>
      <c r="P39" s="38">
        <v>60</v>
      </c>
      <c r="Q39" s="38">
        <v>67</v>
      </c>
      <c r="R39" s="48">
        <f t="shared" si="0"/>
        <v>1.6258865863424753E-2</v>
      </c>
    </row>
    <row r="40" spans="2:18" x14ac:dyDescent="0.35">
      <c r="B40" s="12" t="s">
        <v>21</v>
      </c>
      <c r="C40" s="4">
        <v>200</v>
      </c>
      <c r="D40" s="37">
        <v>58</v>
      </c>
      <c r="E40" s="37">
        <v>65</v>
      </c>
      <c r="F40" s="37">
        <v>67</v>
      </c>
      <c r="G40" s="37">
        <v>61</v>
      </c>
      <c r="H40" s="37">
        <v>60</v>
      </c>
      <c r="I40" s="37">
        <v>79</v>
      </c>
      <c r="J40" s="37">
        <v>60</v>
      </c>
      <c r="K40" s="38">
        <v>93</v>
      </c>
      <c r="L40" s="38">
        <v>80</v>
      </c>
      <c r="M40" s="38">
        <v>76</v>
      </c>
      <c r="N40" s="38">
        <v>60</v>
      </c>
      <c r="O40" s="38">
        <v>93</v>
      </c>
      <c r="P40" s="38">
        <v>60</v>
      </c>
      <c r="Q40" s="38">
        <v>67</v>
      </c>
      <c r="R40" s="48">
        <f t="shared" si="0"/>
        <v>1.6358231204588094E-2</v>
      </c>
    </row>
    <row r="41" spans="2:18" x14ac:dyDescent="0.35">
      <c r="B41" s="12" t="s">
        <v>22</v>
      </c>
      <c r="C41" s="4">
        <v>210</v>
      </c>
      <c r="D41" s="37">
        <v>58</v>
      </c>
      <c r="E41" s="37">
        <v>65</v>
      </c>
      <c r="F41" s="37">
        <v>67</v>
      </c>
      <c r="G41" s="37">
        <v>61</v>
      </c>
      <c r="H41" s="37">
        <v>60</v>
      </c>
      <c r="I41" s="37">
        <v>79</v>
      </c>
      <c r="J41" s="37">
        <v>60</v>
      </c>
      <c r="K41" s="38">
        <v>93</v>
      </c>
      <c r="L41" s="38">
        <v>80</v>
      </c>
      <c r="M41" s="38">
        <v>76</v>
      </c>
      <c r="N41" s="38">
        <v>60</v>
      </c>
      <c r="O41" s="38">
        <v>93</v>
      </c>
      <c r="P41" s="38">
        <v>60</v>
      </c>
      <c r="Q41" s="38">
        <v>67</v>
      </c>
      <c r="R41" s="48">
        <f t="shared" si="0"/>
        <v>1.6358231204588094E-2</v>
      </c>
    </row>
  </sheetData>
  <mergeCells count="1">
    <mergeCell ref="P2:AA2"/>
  </mergeCells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49DDC-36F9-4573-A6AB-03AEC2716926}">
  <dimension ref="A1:O12"/>
  <sheetViews>
    <sheetView workbookViewId="0">
      <selection activeCell="U34" sqref="U34"/>
    </sheetView>
  </sheetViews>
  <sheetFormatPr defaultRowHeight="14.5" x14ac:dyDescent="0.35"/>
  <sheetData>
    <row r="1" spans="1:15" x14ac:dyDescent="0.35">
      <c r="A1" t="s">
        <v>4741</v>
      </c>
    </row>
    <row r="2" spans="1:15" ht="16.5" x14ac:dyDescent="0.35">
      <c r="A2" s="19" t="s">
        <v>10</v>
      </c>
      <c r="B2" s="19" t="s">
        <v>4559</v>
      </c>
      <c r="C2" s="19" t="s">
        <v>4560</v>
      </c>
      <c r="D2" s="19" t="s">
        <v>4561</v>
      </c>
      <c r="E2" s="19" t="s">
        <v>4562</v>
      </c>
      <c r="F2" s="19" t="s">
        <v>4563</v>
      </c>
      <c r="G2" s="19" t="s">
        <v>4564</v>
      </c>
      <c r="H2" s="19" t="s">
        <v>4565</v>
      </c>
      <c r="I2" s="19" t="s">
        <v>4566</v>
      </c>
    </row>
    <row r="3" spans="1:15" x14ac:dyDescent="0.35">
      <c r="A3" s="16">
        <v>0</v>
      </c>
      <c r="B3" s="17">
        <v>0.73762000000000005</v>
      </c>
      <c r="C3" s="17">
        <v>1.0941799999999999</v>
      </c>
      <c r="D3" s="17">
        <v>0.42351</v>
      </c>
      <c r="E3" s="17"/>
      <c r="F3" s="17">
        <v>0.83645999999999998</v>
      </c>
      <c r="G3" s="17">
        <v>0.66805999999999999</v>
      </c>
      <c r="H3" s="17">
        <v>1.55911</v>
      </c>
      <c r="I3" s="17">
        <v>1.15788</v>
      </c>
      <c r="J3" s="1"/>
      <c r="K3" s="1"/>
      <c r="L3" s="1"/>
      <c r="M3" s="1"/>
      <c r="N3" s="1"/>
      <c r="O3" s="1"/>
    </row>
    <row r="4" spans="1:15" x14ac:dyDescent="0.35">
      <c r="A4" s="16">
        <v>15</v>
      </c>
      <c r="B4" s="17">
        <v>2.1899000000000002</v>
      </c>
      <c r="C4" s="17">
        <v>1.79152</v>
      </c>
      <c r="D4" s="17">
        <v>1.36249</v>
      </c>
      <c r="E4" s="17">
        <v>1.78769</v>
      </c>
      <c r="F4" s="17">
        <v>1.8681300000000001</v>
      </c>
      <c r="G4" s="17">
        <v>2.17075</v>
      </c>
      <c r="H4" s="17">
        <v>1.58084</v>
      </c>
      <c r="I4" s="17"/>
      <c r="J4" s="1"/>
      <c r="K4" s="1"/>
      <c r="L4" s="1"/>
      <c r="M4" s="1"/>
      <c r="N4" s="1"/>
      <c r="O4" s="1"/>
    </row>
    <row r="5" spans="1:15" x14ac:dyDescent="0.35">
      <c r="A5" s="16">
        <v>30</v>
      </c>
      <c r="B5" s="17">
        <v>1.1857</v>
      </c>
      <c r="C5" s="17">
        <v>1.1454299999999999</v>
      </c>
      <c r="D5" s="17">
        <v>1.17326</v>
      </c>
      <c r="E5" s="17">
        <v>1.4902899999999999</v>
      </c>
      <c r="F5" s="17">
        <v>1.0268200000000001</v>
      </c>
      <c r="G5" s="17">
        <v>1.29114</v>
      </c>
      <c r="H5" s="17">
        <v>2.2576000000000001</v>
      </c>
      <c r="I5" s="17">
        <v>2.1558299999999999</v>
      </c>
      <c r="J5" s="1"/>
      <c r="K5" s="1"/>
      <c r="L5" s="1"/>
      <c r="M5" s="1"/>
      <c r="N5" s="1"/>
      <c r="O5" s="1"/>
    </row>
    <row r="6" spans="1:15" x14ac:dyDescent="0.35">
      <c r="A6" s="16">
        <v>60</v>
      </c>
      <c r="B6" s="17">
        <v>0.84919</v>
      </c>
      <c r="C6" s="17">
        <v>0.76109000000000004</v>
      </c>
      <c r="D6" s="17">
        <v>1.14032</v>
      </c>
      <c r="E6" s="17">
        <v>0.63851000000000002</v>
      </c>
      <c r="F6" s="17">
        <v>0.81855</v>
      </c>
      <c r="G6" s="17">
        <v>0.60404000000000002</v>
      </c>
      <c r="H6" s="17">
        <v>0.73811000000000004</v>
      </c>
      <c r="I6" s="17">
        <v>0.71894999999999998</v>
      </c>
      <c r="J6" s="1"/>
      <c r="K6" s="1"/>
      <c r="L6" s="1"/>
      <c r="M6" s="1"/>
      <c r="N6" s="1"/>
      <c r="O6" s="1"/>
    </row>
    <row r="8" spans="1:15" x14ac:dyDescent="0.35">
      <c r="A8" s="19" t="s">
        <v>10</v>
      </c>
      <c r="B8" s="19" t="s">
        <v>1</v>
      </c>
      <c r="C8" s="19" t="s">
        <v>2</v>
      </c>
      <c r="D8" s="19" t="s">
        <v>3</v>
      </c>
      <c r="E8" s="19" t="s">
        <v>4</v>
      </c>
      <c r="F8" s="19" t="s">
        <v>5</v>
      </c>
      <c r="G8" s="19" t="s">
        <v>6</v>
      </c>
      <c r="H8" s="19" t="s">
        <v>7</v>
      </c>
      <c r="I8" s="19" t="s">
        <v>8</v>
      </c>
      <c r="J8" s="19" t="s">
        <v>9</v>
      </c>
      <c r="K8" s="19" t="s">
        <v>11</v>
      </c>
      <c r="L8" t="s">
        <v>4811</v>
      </c>
    </row>
    <row r="9" spans="1:15" x14ac:dyDescent="0.35">
      <c r="A9" s="16">
        <v>0</v>
      </c>
      <c r="B9" s="17">
        <v>0.853298</v>
      </c>
      <c r="C9" s="17">
        <v>0.98948199999999997</v>
      </c>
      <c r="D9" s="17"/>
      <c r="E9" s="17">
        <v>1.100039</v>
      </c>
      <c r="F9" s="17">
        <v>0.88771</v>
      </c>
      <c r="G9" s="17">
        <v>0.54725100000000004</v>
      </c>
      <c r="H9" s="17">
        <v>0.50185599999999997</v>
      </c>
      <c r="I9" s="17">
        <v>0.53480399999999995</v>
      </c>
      <c r="J9" s="17">
        <v>0.88478100000000004</v>
      </c>
      <c r="K9" s="17">
        <v>0.62046800000000002</v>
      </c>
      <c r="L9" s="1">
        <f>_xlfn.T.TEST(B3:I3,B9:K9,2,2)</f>
        <v>0.31388108179467533</v>
      </c>
      <c r="M9" s="1"/>
      <c r="N9" s="1"/>
      <c r="O9" s="1"/>
    </row>
    <row r="10" spans="1:15" x14ac:dyDescent="0.35">
      <c r="A10" s="16">
        <v>15</v>
      </c>
      <c r="B10" s="17">
        <v>1.34334</v>
      </c>
      <c r="C10" s="17">
        <v>1.4812399999999999</v>
      </c>
      <c r="D10" s="17">
        <v>0.98326999999999998</v>
      </c>
      <c r="E10" s="17">
        <v>3.1743700000000001</v>
      </c>
      <c r="F10" s="17">
        <v>1.7225699999999999</v>
      </c>
      <c r="G10" s="17">
        <v>2.87175</v>
      </c>
      <c r="H10" s="17">
        <v>1.0330600000000001</v>
      </c>
      <c r="I10" s="17">
        <v>2.7108699999999999</v>
      </c>
      <c r="J10" s="17">
        <v>1.6651100000000001</v>
      </c>
      <c r="K10" s="17">
        <v>1.1901200000000001</v>
      </c>
      <c r="L10" s="1">
        <f t="shared" ref="L10:L12" si="0">_xlfn.T.TEST(B4:I4,B10:K10,2,2)</f>
        <v>0.99010045783065359</v>
      </c>
      <c r="M10" s="1"/>
      <c r="N10" s="1"/>
      <c r="O10" s="1"/>
    </row>
    <row r="11" spans="1:15" x14ac:dyDescent="0.35">
      <c r="A11" s="16">
        <v>30</v>
      </c>
      <c r="B11" s="17">
        <v>1.79853</v>
      </c>
      <c r="C11" s="17">
        <v>0.95799999999999996</v>
      </c>
      <c r="D11" s="17">
        <v>1.01071</v>
      </c>
      <c r="E11" s="17">
        <v>1.45295</v>
      </c>
      <c r="F11" s="17"/>
      <c r="G11" s="17">
        <v>1.11615</v>
      </c>
      <c r="H11" s="17">
        <v>0.97118000000000004</v>
      </c>
      <c r="I11" s="17">
        <v>0.93603000000000003</v>
      </c>
      <c r="J11" s="17"/>
      <c r="K11" s="17">
        <v>0.93384</v>
      </c>
      <c r="L11" s="1">
        <f t="shared" si="0"/>
        <v>0.13730034005519351</v>
      </c>
      <c r="M11" s="1"/>
      <c r="N11" s="1"/>
      <c r="O11" s="1"/>
    </row>
    <row r="12" spans="1:15" x14ac:dyDescent="0.35">
      <c r="A12" s="16">
        <v>60</v>
      </c>
      <c r="B12" s="17">
        <v>0.87983999999999996</v>
      </c>
      <c r="C12" s="17">
        <v>0.32057000000000002</v>
      </c>
      <c r="D12" s="17">
        <v>0.42399999999999999</v>
      </c>
      <c r="E12" s="17">
        <v>0.78024000000000004</v>
      </c>
      <c r="F12" s="17">
        <v>0.56189999999999996</v>
      </c>
      <c r="G12" s="17">
        <v>0.63468000000000002</v>
      </c>
      <c r="H12" s="17">
        <v>0.60021000000000002</v>
      </c>
      <c r="I12" s="17">
        <v>0.95645000000000002</v>
      </c>
      <c r="J12" s="17">
        <v>0.81472</v>
      </c>
      <c r="K12" s="17">
        <v>0.7994</v>
      </c>
      <c r="L12" s="1">
        <f t="shared" si="0"/>
        <v>0.25149298396616698</v>
      </c>
      <c r="M12" s="1"/>
      <c r="N12" s="1"/>
      <c r="O12" s="1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6A486-B542-40A0-AC36-D9D7285B5E3C}">
  <dimension ref="B2:V12"/>
  <sheetViews>
    <sheetView workbookViewId="0">
      <selection activeCell="R46" sqref="R46"/>
    </sheetView>
  </sheetViews>
  <sheetFormatPr defaultRowHeight="14.5" x14ac:dyDescent="0.35"/>
  <cols>
    <col min="2" max="2" width="14" customWidth="1"/>
  </cols>
  <sheetData>
    <row r="2" spans="2:22" x14ac:dyDescent="0.35">
      <c r="J2" s="1"/>
      <c r="K2" s="1"/>
      <c r="L2" s="1"/>
    </row>
    <row r="3" spans="2:22" x14ac:dyDescent="0.35">
      <c r="B3" t="s">
        <v>4815</v>
      </c>
      <c r="J3" s="1"/>
      <c r="K3" s="1"/>
      <c r="L3" s="1"/>
    </row>
    <row r="4" spans="2:22" ht="16.5" x14ac:dyDescent="0.35">
      <c r="C4" s="27" t="s">
        <v>4559</v>
      </c>
      <c r="D4" s="27" t="s">
        <v>4560</v>
      </c>
      <c r="E4" s="27" t="s">
        <v>4561</v>
      </c>
      <c r="F4" s="27" t="s">
        <v>4562</v>
      </c>
      <c r="G4" s="27" t="s">
        <v>4563</v>
      </c>
      <c r="H4" s="27" t="s">
        <v>4564</v>
      </c>
      <c r="I4" s="27" t="s">
        <v>4565</v>
      </c>
      <c r="J4" s="27" t="s">
        <v>4566</v>
      </c>
      <c r="K4" s="27" t="s">
        <v>4567</v>
      </c>
      <c r="M4" t="s">
        <v>1</v>
      </c>
      <c r="N4" s="48" t="s">
        <v>2</v>
      </c>
      <c r="O4" s="48" t="s">
        <v>3</v>
      </c>
      <c r="P4" s="48" t="s">
        <v>4</v>
      </c>
      <c r="Q4" s="48" t="s">
        <v>5</v>
      </c>
      <c r="R4" s="48" t="s">
        <v>6</v>
      </c>
      <c r="S4" s="48" t="s">
        <v>4811</v>
      </c>
      <c r="T4" s="48"/>
    </row>
    <row r="5" spans="2:22" x14ac:dyDescent="0.35">
      <c r="B5" s="16" t="s">
        <v>165</v>
      </c>
      <c r="C5" s="17">
        <v>1508.78</v>
      </c>
      <c r="D5" s="17">
        <v>2327.58</v>
      </c>
      <c r="E5" s="17">
        <v>1802.08</v>
      </c>
      <c r="F5" s="17">
        <v>1812.26</v>
      </c>
      <c r="G5" s="17">
        <v>2124.0300000000002</v>
      </c>
      <c r="H5" s="17">
        <v>1585.7</v>
      </c>
      <c r="I5" s="17">
        <v>2059.6</v>
      </c>
      <c r="J5" s="17">
        <v>2181.61</v>
      </c>
      <c r="K5" s="17">
        <v>2211.35</v>
      </c>
      <c r="L5" s="1"/>
      <c r="M5" s="17">
        <v>2144.38</v>
      </c>
      <c r="N5" s="17">
        <v>1656.36</v>
      </c>
      <c r="O5" s="17">
        <v>1750.79</v>
      </c>
      <c r="P5" s="17">
        <v>1936.27</v>
      </c>
      <c r="Q5" s="17">
        <v>2382.0100000000002</v>
      </c>
      <c r="R5" s="17">
        <v>2118.29</v>
      </c>
      <c r="S5" s="17">
        <f>_xlfn.T.TEST(C5:K5,M5:R5,2,2)</f>
        <v>0.78748311679415917</v>
      </c>
      <c r="T5" s="17"/>
      <c r="U5" s="1"/>
      <c r="V5" s="1"/>
    </row>
    <row r="6" spans="2:22" x14ac:dyDescent="0.35">
      <c r="B6" s="16" t="s">
        <v>4573</v>
      </c>
      <c r="C6" s="17">
        <v>74.2</v>
      </c>
      <c r="D6" s="17">
        <v>24.88</v>
      </c>
      <c r="E6" s="17">
        <v>26.65</v>
      </c>
      <c r="F6" s="17">
        <v>58.08</v>
      </c>
      <c r="G6" s="17" t="s">
        <v>49</v>
      </c>
      <c r="H6" s="17">
        <v>77.98</v>
      </c>
      <c r="I6" s="17">
        <v>48.03</v>
      </c>
      <c r="J6" s="17">
        <v>58.73</v>
      </c>
      <c r="K6" s="17">
        <v>27.18</v>
      </c>
      <c r="L6" s="1"/>
      <c r="M6" s="17">
        <v>61.79</v>
      </c>
      <c r="N6" s="17">
        <v>35.369999999999997</v>
      </c>
      <c r="O6" s="17">
        <v>93.72</v>
      </c>
      <c r="P6" s="17">
        <v>31.03</v>
      </c>
      <c r="Q6" s="17">
        <v>66.92</v>
      </c>
      <c r="R6" s="17">
        <v>74.709999999999994</v>
      </c>
      <c r="S6" s="17">
        <f t="shared" ref="S6:S12" si="0">_xlfn.T.TEST(C6:K6,M6:R6,2,2)</f>
        <v>0.37730744186290111</v>
      </c>
      <c r="T6" s="17"/>
      <c r="U6" s="1"/>
      <c r="V6" s="1"/>
    </row>
    <row r="7" spans="2:22" x14ac:dyDescent="0.35">
      <c r="B7" s="16" t="s">
        <v>4574</v>
      </c>
      <c r="C7" s="17">
        <v>39.19</v>
      </c>
      <c r="D7" s="17">
        <v>45.5</v>
      </c>
      <c r="E7" s="17">
        <v>25.73</v>
      </c>
      <c r="F7" s="17">
        <v>59.51</v>
      </c>
      <c r="G7" s="17">
        <v>40.28</v>
      </c>
      <c r="H7" s="17">
        <v>44.3</v>
      </c>
      <c r="I7" s="17">
        <v>39.159999999999997</v>
      </c>
      <c r="J7" s="17">
        <v>55.83</v>
      </c>
      <c r="K7" s="17">
        <v>34.770000000000003</v>
      </c>
      <c r="L7" s="1"/>
      <c r="M7" s="17">
        <v>67.86</v>
      </c>
      <c r="N7" s="17">
        <v>26.36</v>
      </c>
      <c r="O7" s="17">
        <v>67.739999999999995</v>
      </c>
      <c r="P7" s="17">
        <v>31.94</v>
      </c>
      <c r="Q7" s="17">
        <v>59.83</v>
      </c>
      <c r="R7" s="17">
        <v>76.38</v>
      </c>
      <c r="S7" s="17">
        <f t="shared" si="0"/>
        <v>0.14822966769034018</v>
      </c>
      <c r="T7" s="17"/>
      <c r="U7" s="1"/>
      <c r="V7" s="1"/>
    </row>
    <row r="8" spans="2:22" x14ac:dyDescent="0.35">
      <c r="B8" s="16" t="s">
        <v>161</v>
      </c>
      <c r="C8" s="17">
        <v>1863.85</v>
      </c>
      <c r="D8" s="17">
        <v>1408.22</v>
      </c>
      <c r="E8" s="17">
        <v>1281.25</v>
      </c>
      <c r="F8" s="17">
        <v>1835.63</v>
      </c>
      <c r="G8" s="17">
        <v>1620.83</v>
      </c>
      <c r="H8" s="17">
        <v>1308.32</v>
      </c>
      <c r="I8" s="17">
        <v>1220.1500000000001</v>
      </c>
      <c r="J8" s="17">
        <v>1433.25</v>
      </c>
      <c r="K8" s="17">
        <v>1275.6099999999999</v>
      </c>
      <c r="L8" s="1"/>
      <c r="M8" s="17">
        <v>1371.53</v>
      </c>
      <c r="N8" s="17">
        <v>2171.96</v>
      </c>
      <c r="O8" s="17">
        <v>1461.09</v>
      </c>
      <c r="P8" s="17">
        <v>1144.6099999999999</v>
      </c>
      <c r="Q8" s="17">
        <v>1624.97</v>
      </c>
      <c r="R8" s="17">
        <v>1685.45</v>
      </c>
      <c r="S8" s="17">
        <f t="shared" si="0"/>
        <v>0.50460041259024724</v>
      </c>
      <c r="T8" s="17"/>
      <c r="U8" s="1"/>
      <c r="V8" s="1"/>
    </row>
    <row r="9" spans="2:22" x14ac:dyDescent="0.35">
      <c r="B9" s="16" t="s">
        <v>169</v>
      </c>
      <c r="C9" s="17">
        <v>792.23</v>
      </c>
      <c r="D9" s="17">
        <v>851.09</v>
      </c>
      <c r="E9" s="17">
        <v>1053.8</v>
      </c>
      <c r="F9" s="17">
        <v>678.73</v>
      </c>
      <c r="G9" s="17">
        <v>917.19</v>
      </c>
      <c r="H9" s="17">
        <v>591.53</v>
      </c>
      <c r="I9" s="17">
        <v>721.67</v>
      </c>
      <c r="J9" s="17">
        <v>957</v>
      </c>
      <c r="K9" s="17">
        <v>873.63711699999999</v>
      </c>
      <c r="L9" s="1"/>
      <c r="M9" s="17">
        <v>777.34</v>
      </c>
      <c r="N9" s="17">
        <v>792.5</v>
      </c>
      <c r="O9" s="17">
        <v>605.6</v>
      </c>
      <c r="P9" s="17">
        <v>749.95</v>
      </c>
      <c r="Q9" s="17">
        <v>617.91</v>
      </c>
      <c r="R9" s="17">
        <v>850.92</v>
      </c>
      <c r="S9" s="17">
        <f t="shared" si="0"/>
        <v>0.19202383276322013</v>
      </c>
      <c r="T9" s="17"/>
      <c r="U9" s="1"/>
      <c r="V9" s="1"/>
    </row>
    <row r="10" spans="2:22" x14ac:dyDescent="0.35">
      <c r="B10" s="16" t="s">
        <v>168</v>
      </c>
      <c r="C10" s="17">
        <v>279.68</v>
      </c>
      <c r="D10" s="17">
        <v>407.93</v>
      </c>
      <c r="E10" s="17">
        <v>331.52</v>
      </c>
      <c r="F10" s="17">
        <v>301.29000000000002</v>
      </c>
      <c r="G10" s="17">
        <v>282.35000000000002</v>
      </c>
      <c r="H10" s="17">
        <v>293.31</v>
      </c>
      <c r="I10" s="17">
        <v>322.38</v>
      </c>
      <c r="J10" s="17">
        <v>330.2643195</v>
      </c>
      <c r="K10" s="17"/>
      <c r="L10" s="1"/>
      <c r="M10" s="17">
        <v>313.38</v>
      </c>
      <c r="N10" s="17">
        <v>284.89999999999998</v>
      </c>
      <c r="O10" s="17">
        <v>244.09</v>
      </c>
      <c r="P10" s="17">
        <v>249.93</v>
      </c>
      <c r="Q10" s="17">
        <v>166.91</v>
      </c>
      <c r="R10" s="17">
        <v>331.29</v>
      </c>
      <c r="S10" s="17">
        <f t="shared" si="0"/>
        <v>6.8793634811864554E-2</v>
      </c>
      <c r="T10" s="17"/>
      <c r="U10" s="1"/>
      <c r="V10" s="1"/>
    </row>
    <row r="11" spans="2:22" x14ac:dyDescent="0.35">
      <c r="B11" s="16" t="s">
        <v>170</v>
      </c>
      <c r="C11" s="17">
        <v>35.909999999999997</v>
      </c>
      <c r="D11" s="17">
        <v>49.27</v>
      </c>
      <c r="E11" s="17">
        <v>39.15</v>
      </c>
      <c r="F11" s="17">
        <v>57.59</v>
      </c>
      <c r="G11" s="17">
        <v>27</v>
      </c>
      <c r="H11" s="17">
        <v>23.54</v>
      </c>
      <c r="I11" s="17">
        <v>21.36</v>
      </c>
      <c r="J11" s="17">
        <v>34.945531440000003</v>
      </c>
      <c r="K11" s="17">
        <v>43.103000799999997</v>
      </c>
      <c r="L11" s="1"/>
      <c r="M11" s="17">
        <v>29.19</v>
      </c>
      <c r="N11" s="17">
        <v>38.43</v>
      </c>
      <c r="O11" s="17">
        <v>30.63</v>
      </c>
      <c r="P11" s="17">
        <v>24.67</v>
      </c>
      <c r="Q11" s="17">
        <v>46.42</v>
      </c>
      <c r="R11" s="17">
        <v>36.61</v>
      </c>
      <c r="S11" s="17">
        <f t="shared" si="0"/>
        <v>0.65441209709111381</v>
      </c>
      <c r="T11" s="17"/>
      <c r="U11" s="1"/>
      <c r="V11" s="1"/>
    </row>
    <row r="12" spans="2:22" x14ac:dyDescent="0.35">
      <c r="B12" s="16" t="s">
        <v>4575</v>
      </c>
      <c r="C12" s="17">
        <v>85.39</v>
      </c>
      <c r="D12" s="17">
        <v>215.37</v>
      </c>
      <c r="E12" s="17">
        <v>96.44</v>
      </c>
      <c r="F12" s="17">
        <v>170.33</v>
      </c>
      <c r="G12" s="17">
        <v>96.18</v>
      </c>
      <c r="H12" s="17">
        <v>99.14</v>
      </c>
      <c r="I12" s="17">
        <v>143.32</v>
      </c>
      <c r="J12" s="17">
        <v>125.77</v>
      </c>
      <c r="K12" s="17">
        <v>84.42</v>
      </c>
      <c r="L12" s="1"/>
      <c r="M12" s="17">
        <v>204.56</v>
      </c>
      <c r="N12" s="17">
        <v>182.64</v>
      </c>
      <c r="O12" s="17">
        <v>148.6</v>
      </c>
      <c r="P12" s="17">
        <v>130.08000000000001</v>
      </c>
      <c r="Q12" s="17">
        <v>193.09</v>
      </c>
      <c r="R12" s="17">
        <v>227.06</v>
      </c>
      <c r="S12" s="17">
        <f t="shared" si="0"/>
        <v>2.2206271384807016E-2</v>
      </c>
      <c r="T12" s="17"/>
      <c r="U12" s="1"/>
      <c r="V12" s="1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3A4C-BF3D-492D-BED2-E29193917A44}">
  <dimension ref="A1:E24"/>
  <sheetViews>
    <sheetView workbookViewId="0">
      <selection activeCell="G30" sqref="G30"/>
    </sheetView>
  </sheetViews>
  <sheetFormatPr defaultRowHeight="14.5" x14ac:dyDescent="0.35"/>
  <cols>
    <col min="2" max="2" width="20.26953125" customWidth="1"/>
    <col min="3" max="3" width="20.7265625" customWidth="1"/>
    <col min="4" max="4" width="19.54296875" customWidth="1"/>
    <col min="5" max="5" width="18.81640625" customWidth="1"/>
  </cols>
  <sheetData>
    <row r="1" spans="1:5" x14ac:dyDescent="0.35">
      <c r="A1" t="s">
        <v>4742</v>
      </c>
      <c r="B1" t="s">
        <v>4828</v>
      </c>
    </row>
    <row r="2" spans="1:5" x14ac:dyDescent="0.35">
      <c r="B2" t="s">
        <v>4665</v>
      </c>
    </row>
    <row r="3" spans="1:5" ht="15.5" x14ac:dyDescent="0.35">
      <c r="B3" s="29" t="s">
        <v>4576</v>
      </c>
      <c r="C3" s="29" t="s">
        <v>4577</v>
      </c>
      <c r="D3" s="20" t="s">
        <v>23</v>
      </c>
      <c r="E3" s="20" t="s">
        <v>50</v>
      </c>
    </row>
    <row r="4" spans="1:5" x14ac:dyDescent="0.35">
      <c r="A4" t="s">
        <v>4816</v>
      </c>
      <c r="B4" s="17">
        <v>0.92949499999999996</v>
      </c>
      <c r="C4" s="17">
        <v>3.9378649999999999</v>
      </c>
      <c r="D4" s="17">
        <v>3.7429709999999998</v>
      </c>
      <c r="E4" s="17">
        <v>6.1181099999999997</v>
      </c>
    </row>
    <row r="5" spans="1:5" x14ac:dyDescent="0.35">
      <c r="A5" s="48" t="s">
        <v>4817</v>
      </c>
      <c r="B5" s="17">
        <v>1.009452</v>
      </c>
      <c r="C5" s="17">
        <v>3.853475</v>
      </c>
      <c r="D5" s="17">
        <v>2.4306709999999998</v>
      </c>
      <c r="E5" s="17">
        <v>4.167408</v>
      </c>
    </row>
    <row r="6" spans="1:5" x14ac:dyDescent="0.35">
      <c r="A6" s="48" t="s">
        <v>4818</v>
      </c>
      <c r="B6" s="17">
        <v>1.061053</v>
      </c>
      <c r="C6" s="17">
        <v>3.7755969999999999</v>
      </c>
      <c r="D6" s="17">
        <v>3.3403689999999999</v>
      </c>
      <c r="E6" s="17">
        <v>5.5491469999999996</v>
      </c>
    </row>
    <row r="7" spans="1:5" x14ac:dyDescent="0.35">
      <c r="A7" s="48" t="s">
        <v>4819</v>
      </c>
      <c r="B7" s="17">
        <v>0.84253800000000001</v>
      </c>
      <c r="C7" s="17">
        <v>3.7537199999999999</v>
      </c>
      <c r="D7" s="17">
        <v>2.3141280000000002</v>
      </c>
      <c r="E7" s="17">
        <v>4.0789679999999997</v>
      </c>
    </row>
    <row r="8" spans="1:5" x14ac:dyDescent="0.35">
      <c r="A8" s="48" t="s">
        <v>4820</v>
      </c>
      <c r="B8" s="17">
        <v>0.98772499999999996</v>
      </c>
      <c r="C8" s="17">
        <v>2.9798499999999999</v>
      </c>
      <c r="D8" s="17">
        <v>2.704421</v>
      </c>
      <c r="E8" s="17">
        <v>5.1251329999999999</v>
      </c>
    </row>
    <row r="9" spans="1:5" x14ac:dyDescent="0.35">
      <c r="A9" s="48" t="s">
        <v>4821</v>
      </c>
      <c r="B9" s="17">
        <v>1.169737</v>
      </c>
      <c r="C9" s="17">
        <v>4.2821040000000004</v>
      </c>
      <c r="D9" s="17"/>
      <c r="E9" s="17">
        <v>4.339118</v>
      </c>
    </row>
    <row r="10" spans="1:5" x14ac:dyDescent="0.35">
      <c r="A10" s="48" t="s">
        <v>4822</v>
      </c>
      <c r="B10" s="17"/>
      <c r="C10" s="17"/>
      <c r="D10" s="17"/>
      <c r="E10" s="17">
        <v>4.3784850000000004</v>
      </c>
    </row>
    <row r="11" spans="1:5" ht="15.5" x14ac:dyDescent="0.35">
      <c r="B11" s="29" t="s">
        <v>4823</v>
      </c>
      <c r="C11" s="29" t="s">
        <v>4824</v>
      </c>
      <c r="D11" s="29" t="s">
        <v>4925</v>
      </c>
      <c r="E11" s="29" t="s">
        <v>4924</v>
      </c>
    </row>
    <row r="12" spans="1:5" x14ac:dyDescent="0.35">
      <c r="A12" t="s">
        <v>4811</v>
      </c>
      <c r="B12">
        <f>_xlfn.T.TEST(B4:B9,C4:C9,2,2)</f>
        <v>2.9680138615801376E-8</v>
      </c>
      <c r="C12" s="48">
        <f>_xlfn.T.TEST(B4:B9,D4:D9,2,2)</f>
        <v>3.535205577361058E-5</v>
      </c>
      <c r="D12" s="48">
        <f>_xlfn.T.TEST(D4:D9,E4:E9,2,2)</f>
        <v>1.6849662129746457E-3</v>
      </c>
      <c r="E12" s="48">
        <f>_xlfn.T.TEST(C4:C9,E4:E9,2,2)</f>
        <v>1.4379592366183349E-2</v>
      </c>
    </row>
    <row r="14" spans="1:5" x14ac:dyDescent="0.35">
      <c r="B14" t="s">
        <v>4666</v>
      </c>
    </row>
    <row r="15" spans="1:5" ht="15.5" x14ac:dyDescent="0.35">
      <c r="B15" s="29" t="s">
        <v>4576</v>
      </c>
      <c r="C15" s="29" t="s">
        <v>4577</v>
      </c>
      <c r="D15" s="20" t="s">
        <v>23</v>
      </c>
      <c r="E15" s="20" t="s">
        <v>50</v>
      </c>
    </row>
    <row r="16" spans="1:5" x14ac:dyDescent="0.35">
      <c r="A16" s="48" t="s">
        <v>4816</v>
      </c>
      <c r="B16" s="17">
        <v>0.87788999999999995</v>
      </c>
      <c r="C16" s="17">
        <v>4.1970809999999998</v>
      </c>
      <c r="D16" s="17">
        <v>1.494373</v>
      </c>
      <c r="E16" s="17">
        <v>6.2336819999999999</v>
      </c>
    </row>
    <row r="17" spans="1:5" x14ac:dyDescent="0.35">
      <c r="A17" s="48" t="s">
        <v>4817</v>
      </c>
      <c r="B17" s="17">
        <v>1.1221099999999999</v>
      </c>
      <c r="C17" s="17">
        <v>3.049925</v>
      </c>
      <c r="D17" s="17">
        <v>1.7862169999999999</v>
      </c>
      <c r="E17" s="17">
        <v>5.9236269999999998</v>
      </c>
    </row>
    <row r="18" spans="1:5" x14ac:dyDescent="0.35">
      <c r="A18" s="48" t="s">
        <v>4818</v>
      </c>
      <c r="B18" s="17">
        <v>0.80646799999999996</v>
      </c>
      <c r="C18" s="17">
        <v>2.371489</v>
      </c>
      <c r="D18" s="17">
        <v>1.765109</v>
      </c>
      <c r="E18" s="17">
        <v>4.0794059999999996</v>
      </c>
    </row>
    <row r="19" spans="1:5" x14ac:dyDescent="0.35">
      <c r="A19" s="48" t="s">
        <v>4819</v>
      </c>
      <c r="B19" s="17">
        <v>1.181659</v>
      </c>
      <c r="C19" s="17">
        <v>4.0945859999999996</v>
      </c>
      <c r="D19" s="17">
        <v>1.7977540000000001</v>
      </c>
      <c r="E19" s="17">
        <v>2.77156</v>
      </c>
    </row>
    <row r="20" spans="1:5" x14ac:dyDescent="0.35">
      <c r="A20" s="48" t="s">
        <v>4820</v>
      </c>
      <c r="B20" s="17">
        <v>1.0118720000000001</v>
      </c>
      <c r="C20" s="17">
        <v>2.4374709999999999</v>
      </c>
      <c r="D20" s="17">
        <v>1.330651</v>
      </c>
      <c r="E20" s="17">
        <v>3.709047</v>
      </c>
    </row>
    <row r="21" spans="1:5" x14ac:dyDescent="0.35">
      <c r="A21" s="48" t="s">
        <v>4821</v>
      </c>
      <c r="B21" s="17"/>
      <c r="C21" s="17"/>
      <c r="D21" s="17"/>
      <c r="E21" s="17">
        <v>4.8629600000000002</v>
      </c>
    </row>
    <row r="22" spans="1:5" x14ac:dyDescent="0.35">
      <c r="A22" s="48" t="s">
        <v>4822</v>
      </c>
      <c r="B22" s="17"/>
      <c r="C22" s="17"/>
      <c r="D22" s="17"/>
      <c r="E22" s="17">
        <v>3.898126</v>
      </c>
    </row>
    <row r="23" spans="1:5" ht="15.5" x14ac:dyDescent="0.35">
      <c r="A23" s="48"/>
      <c r="B23" s="29" t="s">
        <v>4823</v>
      </c>
      <c r="C23" s="29" t="s">
        <v>4824</v>
      </c>
      <c r="D23" s="29" t="s">
        <v>4925</v>
      </c>
      <c r="E23" s="29" t="s">
        <v>4924</v>
      </c>
    </row>
    <row r="24" spans="1:5" x14ac:dyDescent="0.35">
      <c r="A24" s="48" t="s">
        <v>4811</v>
      </c>
      <c r="B24" s="48">
        <f>_xlfn.T.TEST(B16:B21,C16:C21,2,2)</f>
        <v>5.1495341496216051E-4</v>
      </c>
      <c r="C24" s="48">
        <f>_xlfn.T.TEST(B16:B21,D16:D21,2,2)</f>
        <v>6.6655524553701649E-4</v>
      </c>
      <c r="D24" s="48">
        <f>_xlfn.T.TEST(D16:D21,E16:E21,2,2)</f>
        <v>8.8266282390621169E-4</v>
      </c>
      <c r="E24" s="48">
        <f>_xlfn.T.TEST(C16:C21,E16:E21,1,2)</f>
        <v>4.1067274626843578E-2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1360F-0F22-442C-BA62-986B699A3B98}">
  <dimension ref="A1:O6"/>
  <sheetViews>
    <sheetView workbookViewId="0">
      <selection activeCell="Q40" sqref="Q40"/>
    </sheetView>
  </sheetViews>
  <sheetFormatPr defaultRowHeight="14.5" x14ac:dyDescent="0.35"/>
  <cols>
    <col min="1" max="1" width="49" customWidth="1"/>
    <col min="2" max="2" width="11.26953125" customWidth="1"/>
    <col min="13" max="13" width="10" customWidth="1"/>
  </cols>
  <sheetData>
    <row r="1" spans="1:15" x14ac:dyDescent="0.35">
      <c r="A1" t="s">
        <v>4825</v>
      </c>
    </row>
    <row r="2" spans="1:15" ht="15.5" x14ac:dyDescent="0.35">
      <c r="A2" s="19" t="s">
        <v>4578</v>
      </c>
      <c r="B2" s="29" t="s">
        <v>4579</v>
      </c>
      <c r="C2" s="29" t="s">
        <v>4580</v>
      </c>
      <c r="D2" s="29" t="s">
        <v>4581</v>
      </c>
      <c r="E2" s="29" t="s">
        <v>4582</v>
      </c>
      <c r="F2" s="29" t="s">
        <v>4583</v>
      </c>
      <c r="G2" s="29" t="s">
        <v>4584</v>
      </c>
      <c r="I2" s="52" t="s">
        <v>1</v>
      </c>
      <c r="J2" s="52" t="s">
        <v>2</v>
      </c>
      <c r="K2" s="52" t="s">
        <v>3</v>
      </c>
      <c r="L2" s="52" t="s">
        <v>4</v>
      </c>
      <c r="M2" s="52" t="s">
        <v>5</v>
      </c>
      <c r="N2" s="52" t="s">
        <v>6</v>
      </c>
      <c r="O2" s="61" t="s">
        <v>4811</v>
      </c>
    </row>
    <row r="3" spans="1:15" x14ac:dyDescent="0.35">
      <c r="A3" s="24" t="s">
        <v>171</v>
      </c>
      <c r="B3" s="25">
        <v>1.0221739999999999</v>
      </c>
      <c r="C3" s="25">
        <v>1.04206</v>
      </c>
      <c r="D3" s="25">
        <v>0.75192199999999998</v>
      </c>
      <c r="E3" s="25">
        <v>1.225195</v>
      </c>
      <c r="F3" s="25">
        <v>0.97147799999999995</v>
      </c>
      <c r="G3" s="25">
        <v>0.98717200000000005</v>
      </c>
      <c r="I3" s="25">
        <v>0.91058399999999995</v>
      </c>
      <c r="J3" s="25">
        <v>1.032146</v>
      </c>
      <c r="K3" s="25">
        <v>1.082308</v>
      </c>
      <c r="L3" s="25">
        <v>1.1136200000000001</v>
      </c>
      <c r="M3" s="25">
        <v>0.71778699999999995</v>
      </c>
      <c r="N3" s="25">
        <v>0.649455</v>
      </c>
      <c r="O3">
        <f>_xlfn.T.TEST(B3:G3,I3:N3,2,2)</f>
        <v>0.43387304817239591</v>
      </c>
    </row>
    <row r="4" spans="1:15" x14ac:dyDescent="0.35">
      <c r="A4" s="24" t="s">
        <v>172</v>
      </c>
      <c r="B4" s="25">
        <v>0.88676100000000002</v>
      </c>
      <c r="C4" s="25">
        <v>1.0867249999999999</v>
      </c>
      <c r="D4" s="25">
        <v>0.89544999999999997</v>
      </c>
      <c r="E4" s="25">
        <v>1.204453</v>
      </c>
      <c r="F4" s="25">
        <v>0.90001799999999998</v>
      </c>
      <c r="G4" s="25">
        <v>1.0265930000000001</v>
      </c>
      <c r="I4" s="25">
        <v>0.82301899999999995</v>
      </c>
      <c r="J4" s="25">
        <v>1.179125</v>
      </c>
      <c r="K4" s="25">
        <v>1.079372</v>
      </c>
      <c r="L4" s="25">
        <v>1.1708050000000001</v>
      </c>
      <c r="M4" s="25">
        <v>0.641988</v>
      </c>
      <c r="N4" s="25">
        <v>0.57872900000000005</v>
      </c>
      <c r="O4" s="48">
        <f t="shared" ref="O4:O6" si="0">_xlfn.T.TEST(B4:G4,I4:N4,2,2)</f>
        <v>0.48592450633299833</v>
      </c>
    </row>
    <row r="5" spans="1:15" x14ac:dyDescent="0.35">
      <c r="A5" s="24" t="s">
        <v>173</v>
      </c>
      <c r="B5" s="25">
        <v>0.93032800000000004</v>
      </c>
      <c r="C5" s="25">
        <v>0.92732199999999998</v>
      </c>
      <c r="D5" s="25">
        <v>1.083691</v>
      </c>
      <c r="E5" s="25">
        <v>1.1868840000000001</v>
      </c>
      <c r="F5" s="25">
        <v>1.045793</v>
      </c>
      <c r="G5" s="25">
        <v>0.82598199999999999</v>
      </c>
      <c r="I5" s="25">
        <v>0.90489299999999995</v>
      </c>
      <c r="J5" s="25">
        <v>0.95983700000000005</v>
      </c>
      <c r="K5" s="25">
        <v>1.0793649999999999</v>
      </c>
      <c r="L5" s="25">
        <v>1.111272</v>
      </c>
      <c r="M5" s="25">
        <v>0.80211699999999997</v>
      </c>
      <c r="N5" s="25">
        <v>0.588947</v>
      </c>
      <c r="O5" s="48">
        <f t="shared" si="0"/>
        <v>0.35443653365582706</v>
      </c>
    </row>
    <row r="6" spans="1:15" x14ac:dyDescent="0.35">
      <c r="A6" s="24" t="s">
        <v>174</v>
      </c>
      <c r="B6" s="25">
        <v>1.0428710000000001</v>
      </c>
      <c r="C6" s="25">
        <v>1.1071869999999999</v>
      </c>
      <c r="D6" s="25">
        <v>1.0563359999999999</v>
      </c>
      <c r="E6" s="25">
        <v>1.0639380000000001</v>
      </c>
      <c r="F6" s="25">
        <v>0.94162699999999999</v>
      </c>
      <c r="G6" s="25">
        <v>0.78804099999999999</v>
      </c>
      <c r="I6" s="25">
        <v>0.85935600000000001</v>
      </c>
      <c r="J6" s="25">
        <v>1.0981320000000001</v>
      </c>
      <c r="K6" s="25">
        <v>0.92964999999999998</v>
      </c>
      <c r="L6" s="25">
        <v>1.0141020000000001</v>
      </c>
      <c r="M6" s="25">
        <v>0.706318</v>
      </c>
      <c r="N6" s="25">
        <v>0.65101900000000001</v>
      </c>
      <c r="O6" s="48">
        <f t="shared" si="0"/>
        <v>0.17951561701719354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E252E-D240-4D6A-A303-476BAEBF4CB7}">
  <dimension ref="A1:Z92"/>
  <sheetViews>
    <sheetView topLeftCell="C1" workbookViewId="0">
      <selection activeCell="AB30" sqref="AB30"/>
    </sheetView>
  </sheetViews>
  <sheetFormatPr defaultRowHeight="14.5" x14ac:dyDescent="0.35"/>
  <cols>
    <col min="1" max="1" width="21.7265625" customWidth="1"/>
    <col min="3" max="3" width="11.81640625" bestFit="1" customWidth="1"/>
  </cols>
  <sheetData>
    <row r="1" spans="1:26" s="48" customFormat="1" x14ac:dyDescent="0.35">
      <c r="A1" s="48" t="s">
        <v>4743</v>
      </c>
    </row>
    <row r="2" spans="1:26" x14ac:dyDescent="0.35">
      <c r="A2" t="s">
        <v>4827</v>
      </c>
    </row>
    <row r="3" spans="1:26" x14ac:dyDescent="0.35">
      <c r="A3" t="s">
        <v>160</v>
      </c>
    </row>
    <row r="4" spans="1:26" ht="15.5" x14ac:dyDescent="0.35">
      <c r="A4" s="23"/>
      <c r="B4" s="29" t="s">
        <v>4579</v>
      </c>
      <c r="C4" s="29" t="s">
        <v>4580</v>
      </c>
      <c r="D4" s="29" t="s">
        <v>4581</v>
      </c>
      <c r="E4" s="29" t="s">
        <v>4582</v>
      </c>
      <c r="F4" s="29" t="s">
        <v>4583</v>
      </c>
      <c r="G4" s="29" t="s">
        <v>4584</v>
      </c>
      <c r="H4" s="29" t="s">
        <v>4609</v>
      </c>
      <c r="I4" s="29" t="s">
        <v>4610</v>
      </c>
      <c r="J4" s="29" t="s">
        <v>4611</v>
      </c>
      <c r="K4" s="29" t="s">
        <v>4612</v>
      </c>
      <c r="L4" s="22"/>
      <c r="M4" s="22"/>
      <c r="N4" s="22" t="s">
        <v>1</v>
      </c>
      <c r="O4" s="22" t="s">
        <v>2</v>
      </c>
      <c r="P4" s="22" t="s">
        <v>3</v>
      </c>
      <c r="Q4" s="22" t="s">
        <v>4</v>
      </c>
      <c r="R4" s="22" t="s">
        <v>5</v>
      </c>
      <c r="S4" s="22" t="s">
        <v>6</v>
      </c>
      <c r="T4" s="22" t="s">
        <v>7</v>
      </c>
      <c r="U4" s="22" t="s">
        <v>8</v>
      </c>
      <c r="V4" s="22" t="s">
        <v>9</v>
      </c>
      <c r="W4" s="22" t="s">
        <v>11</v>
      </c>
      <c r="X4" s="22" t="s">
        <v>12</v>
      </c>
      <c r="Y4" s="22" t="s">
        <v>13</v>
      </c>
      <c r="Z4" s="22" t="s">
        <v>14</v>
      </c>
    </row>
    <row r="5" spans="1:26" x14ac:dyDescent="0.35">
      <c r="A5" s="23" t="s">
        <v>4585</v>
      </c>
      <c r="B5" s="22">
        <v>0.89339199999999996</v>
      </c>
      <c r="C5" s="22">
        <v>0.87732399999999999</v>
      </c>
      <c r="D5" s="22">
        <v>0.810415</v>
      </c>
      <c r="E5" s="22">
        <v>0.80173099999999997</v>
      </c>
      <c r="F5" s="22">
        <v>0.84031900000000004</v>
      </c>
      <c r="G5" s="22">
        <v>0.97126999999999997</v>
      </c>
      <c r="H5" s="22">
        <v>0.94416</v>
      </c>
      <c r="I5" s="22">
        <v>0.84016299999999999</v>
      </c>
      <c r="J5" s="22">
        <v>0.92086100000000004</v>
      </c>
      <c r="K5" s="22">
        <v>0.84341200000000005</v>
      </c>
      <c r="L5" s="22"/>
      <c r="M5" s="22"/>
      <c r="N5" s="22">
        <v>0.93374800000000002</v>
      </c>
      <c r="O5" s="22">
        <v>0.88543899999999998</v>
      </c>
      <c r="P5" s="22">
        <v>0.91850200000000004</v>
      </c>
      <c r="Q5" s="22">
        <v>0.93526100000000001</v>
      </c>
      <c r="R5" s="22">
        <v>0.94057400000000002</v>
      </c>
      <c r="S5" s="22">
        <v>0.89804799999999996</v>
      </c>
      <c r="T5" s="22">
        <v>0.92586299999999999</v>
      </c>
      <c r="U5" s="22">
        <v>0.85729299999999997</v>
      </c>
      <c r="V5" s="22">
        <v>0.88153400000000004</v>
      </c>
      <c r="W5" s="22">
        <v>0.87831899999999996</v>
      </c>
      <c r="X5" s="22">
        <v>0.92108599999999996</v>
      </c>
      <c r="Y5" s="22">
        <v>0.94644700000000004</v>
      </c>
      <c r="Z5" s="22">
        <v>0.90203800000000001</v>
      </c>
    </row>
    <row r="6" spans="1:26" x14ac:dyDescent="0.35">
      <c r="A6" s="23"/>
      <c r="B6" s="22">
        <v>0.91642500000000005</v>
      </c>
      <c r="C6" s="22">
        <v>0.86149900000000001</v>
      </c>
      <c r="D6" s="22">
        <v>0.82475900000000002</v>
      </c>
      <c r="E6" s="22">
        <v>0.81436299999999995</v>
      </c>
      <c r="F6" s="22">
        <v>0.81916100000000003</v>
      </c>
      <c r="G6" s="22">
        <v>0.95760400000000001</v>
      </c>
      <c r="H6" s="22">
        <v>0.93992299999999995</v>
      </c>
      <c r="I6" s="22">
        <v>0.84875800000000001</v>
      </c>
      <c r="J6" s="22">
        <v>0.89730100000000002</v>
      </c>
      <c r="K6" s="22">
        <v>0.86072199999999999</v>
      </c>
      <c r="L6" s="22"/>
      <c r="M6" s="22"/>
      <c r="N6" s="22">
        <v>0.94672100000000003</v>
      </c>
      <c r="O6" s="22">
        <v>0.87773999999999996</v>
      </c>
      <c r="P6" s="22">
        <v>0.922767</v>
      </c>
      <c r="Q6" s="22">
        <v>0.93898099999999995</v>
      </c>
      <c r="R6" s="22">
        <v>0.95503700000000002</v>
      </c>
      <c r="S6" s="22">
        <v>0.90952599999999995</v>
      </c>
      <c r="T6" s="22">
        <v>0.92740299999999998</v>
      </c>
      <c r="U6" s="22">
        <v>0.86865999999999999</v>
      </c>
      <c r="V6" s="22">
        <v>0.86973299999999998</v>
      </c>
      <c r="W6" s="22">
        <v>0.86593900000000001</v>
      </c>
      <c r="X6" s="22">
        <v>0.90324499999999996</v>
      </c>
      <c r="Y6" s="22">
        <v>0.96648100000000003</v>
      </c>
      <c r="Z6" s="22">
        <v>0.94052000000000002</v>
      </c>
    </row>
    <row r="7" spans="1:26" x14ac:dyDescent="0.35">
      <c r="A7" s="23"/>
      <c r="B7" s="22">
        <v>0.89668800000000004</v>
      </c>
      <c r="C7" s="22">
        <v>0.85560199999999997</v>
      </c>
      <c r="D7" s="22">
        <v>0.82504200000000005</v>
      </c>
      <c r="E7" s="22">
        <v>0.82940400000000003</v>
      </c>
      <c r="F7" s="22">
        <v>0.81488899999999997</v>
      </c>
      <c r="G7" s="22">
        <v>0.98221599999999998</v>
      </c>
      <c r="H7" s="22">
        <v>0.92547599999999997</v>
      </c>
      <c r="I7" s="22">
        <v>0.84462000000000004</v>
      </c>
      <c r="J7" s="22">
        <v>0.91470700000000005</v>
      </c>
      <c r="K7" s="22">
        <v>0.84777000000000002</v>
      </c>
      <c r="L7" s="22"/>
      <c r="M7" s="22"/>
      <c r="N7" s="22">
        <v>0.93269800000000003</v>
      </c>
      <c r="O7" s="22">
        <v>0.89512700000000001</v>
      </c>
      <c r="P7" s="22">
        <v>0.91559699999999999</v>
      </c>
      <c r="Q7" s="22">
        <v>0.92476499999999995</v>
      </c>
      <c r="R7" s="22">
        <v>0.95774999999999999</v>
      </c>
      <c r="S7" s="22">
        <v>0.89373899999999995</v>
      </c>
      <c r="T7" s="22">
        <v>0.92607099999999998</v>
      </c>
      <c r="U7" s="22">
        <v>0.90882600000000002</v>
      </c>
      <c r="V7" s="22">
        <v>0.851688</v>
      </c>
      <c r="W7" s="22">
        <v>0.83779899999999996</v>
      </c>
      <c r="X7" s="22">
        <v>0.922682</v>
      </c>
      <c r="Y7" s="22">
        <v>0.94680200000000003</v>
      </c>
      <c r="Z7" s="22">
        <v>0.91329899999999997</v>
      </c>
    </row>
    <row r="8" spans="1:26" x14ac:dyDescent="0.35">
      <c r="A8" s="23"/>
      <c r="B8" s="22">
        <v>0.91164699999999999</v>
      </c>
      <c r="C8" s="22">
        <v>0.85482499999999995</v>
      </c>
      <c r="D8" s="22">
        <v>0.82537099999999997</v>
      </c>
      <c r="E8" s="22">
        <v>0.83859700000000004</v>
      </c>
      <c r="F8" s="22">
        <v>0.80897300000000005</v>
      </c>
      <c r="G8" s="22">
        <v>0.96407399999999999</v>
      </c>
      <c r="H8" s="22">
        <v>0.91065200000000002</v>
      </c>
      <c r="I8" s="22">
        <v>0.876579</v>
      </c>
      <c r="J8" s="22">
        <v>0.91539300000000001</v>
      </c>
      <c r="K8" s="22">
        <v>0.83140400000000003</v>
      </c>
      <c r="L8" s="22"/>
      <c r="M8" s="22"/>
      <c r="N8" s="22">
        <v>0.898281</v>
      </c>
      <c r="O8" s="22">
        <v>0.87932600000000005</v>
      </c>
      <c r="P8" s="22">
        <v>0.89433499999999999</v>
      </c>
      <c r="Q8" s="22">
        <v>0.93040400000000001</v>
      </c>
      <c r="R8" s="22">
        <v>0.98223000000000005</v>
      </c>
      <c r="S8" s="22">
        <v>0.88583199999999995</v>
      </c>
      <c r="T8" s="22">
        <v>0.94525599999999999</v>
      </c>
      <c r="U8" s="22">
        <v>0.89818100000000001</v>
      </c>
      <c r="V8" s="22">
        <v>0.85971600000000004</v>
      </c>
      <c r="W8" s="22">
        <v>0.83850400000000003</v>
      </c>
      <c r="X8" s="22">
        <v>0.93974999999999997</v>
      </c>
      <c r="Y8" s="22">
        <v>0.95257400000000003</v>
      </c>
      <c r="Z8" s="22">
        <v>0.90058199999999999</v>
      </c>
    </row>
    <row r="9" spans="1:26" x14ac:dyDescent="0.35">
      <c r="A9" s="23" t="s">
        <v>4586</v>
      </c>
      <c r="B9" s="22">
        <v>0.90205599999999997</v>
      </c>
      <c r="C9" s="22">
        <v>0.83014900000000003</v>
      </c>
      <c r="D9" s="22">
        <v>0.82866499999999998</v>
      </c>
      <c r="E9" s="22">
        <v>0.797296</v>
      </c>
      <c r="F9" s="22">
        <v>0.77427000000000001</v>
      </c>
      <c r="G9" s="22">
        <v>0.95665500000000003</v>
      </c>
      <c r="H9" s="22">
        <v>0.92081299999999999</v>
      </c>
      <c r="I9" s="22">
        <v>0.84668500000000002</v>
      </c>
      <c r="J9" s="22">
        <v>0.94448500000000002</v>
      </c>
      <c r="K9" s="22">
        <v>0.80425199999999997</v>
      </c>
      <c r="L9" s="22"/>
      <c r="M9" s="22"/>
      <c r="N9" s="22">
        <v>0.88923600000000003</v>
      </c>
      <c r="O9" s="22">
        <v>0.89896900000000002</v>
      </c>
      <c r="P9" s="22">
        <v>0.88461900000000004</v>
      </c>
      <c r="Q9" s="22">
        <v>0.91468899999999997</v>
      </c>
      <c r="R9" s="22">
        <v>0.95880200000000004</v>
      </c>
      <c r="S9" s="22">
        <v>0.86415699999999995</v>
      </c>
      <c r="T9" s="22">
        <v>0.90257500000000002</v>
      </c>
      <c r="U9" s="22">
        <v>0.86522399999999999</v>
      </c>
      <c r="V9" s="22">
        <v>0.84232799999999997</v>
      </c>
      <c r="W9" s="22">
        <v>0.84056399999999998</v>
      </c>
      <c r="X9" s="22">
        <v>0.93993499999999996</v>
      </c>
      <c r="Y9" s="22">
        <v>0.93414900000000001</v>
      </c>
      <c r="Z9" s="22">
        <v>0.88405400000000001</v>
      </c>
    </row>
    <row r="10" spans="1:26" x14ac:dyDescent="0.35">
      <c r="A10" s="23"/>
      <c r="B10" s="22">
        <v>0.91754999999999998</v>
      </c>
      <c r="C10" s="22">
        <v>0.83332399999999995</v>
      </c>
      <c r="D10" s="22">
        <v>0.77932599999999996</v>
      </c>
      <c r="E10" s="22">
        <v>0.79358899999999999</v>
      </c>
      <c r="F10" s="22">
        <v>0.84971200000000002</v>
      </c>
      <c r="G10" s="22">
        <v>0.96900799999999998</v>
      </c>
      <c r="H10" s="22">
        <v>0.907447</v>
      </c>
      <c r="I10" s="22">
        <v>0.89775000000000005</v>
      </c>
      <c r="J10" s="22">
        <v>0.885629</v>
      </c>
      <c r="K10" s="22">
        <v>0.84208799999999995</v>
      </c>
      <c r="L10" s="22"/>
      <c r="M10" s="22"/>
      <c r="N10" s="22">
        <v>0.89699099999999998</v>
      </c>
      <c r="O10" s="22">
        <v>0.90923699999999996</v>
      </c>
      <c r="P10" s="22">
        <v>0.906829</v>
      </c>
      <c r="Q10" s="22">
        <v>0.92010499999999995</v>
      </c>
      <c r="R10" s="22">
        <v>0.95489500000000005</v>
      </c>
      <c r="S10" s="22">
        <v>0.90617199999999998</v>
      </c>
      <c r="T10" s="22">
        <v>0.91831700000000005</v>
      </c>
      <c r="U10" s="22">
        <v>0.88393699999999997</v>
      </c>
      <c r="V10" s="22">
        <v>0.881629</v>
      </c>
      <c r="W10" s="22">
        <v>0.82224699999999995</v>
      </c>
      <c r="X10" s="22">
        <v>0.89636700000000002</v>
      </c>
      <c r="Y10" s="22">
        <v>0.95499699999999998</v>
      </c>
      <c r="Z10" s="22">
        <v>0.91243099999999999</v>
      </c>
    </row>
    <row r="11" spans="1:26" x14ac:dyDescent="0.35">
      <c r="A11" s="23"/>
      <c r="B11" s="22">
        <v>0.89660300000000004</v>
      </c>
      <c r="C11" s="22">
        <v>0.800431</v>
      </c>
      <c r="D11" s="22">
        <v>0.763679</v>
      </c>
      <c r="E11" s="22">
        <v>0.77056199999999997</v>
      </c>
      <c r="F11" s="22">
        <v>0.81702200000000003</v>
      </c>
      <c r="G11" s="22">
        <v>0.94815000000000005</v>
      </c>
      <c r="H11" s="22">
        <v>0.91515400000000002</v>
      </c>
      <c r="I11" s="22">
        <v>0.83279700000000001</v>
      </c>
      <c r="J11" s="22">
        <v>0.90017400000000003</v>
      </c>
      <c r="K11" s="22">
        <v>0.84490299999999996</v>
      </c>
      <c r="L11" s="22"/>
      <c r="M11" s="22"/>
      <c r="N11" s="22">
        <v>0.92675399999999997</v>
      </c>
      <c r="O11" s="22">
        <v>0.89352799999999999</v>
      </c>
      <c r="P11" s="22">
        <v>0.88324800000000003</v>
      </c>
      <c r="Q11" s="22">
        <v>0.89986600000000005</v>
      </c>
      <c r="R11" s="22">
        <v>0.94996599999999998</v>
      </c>
      <c r="S11" s="22">
        <v>0.888046</v>
      </c>
      <c r="T11" s="22">
        <v>0.90104200000000001</v>
      </c>
      <c r="U11" s="22">
        <v>0.86175199999999996</v>
      </c>
      <c r="V11" s="22">
        <v>0.86085299999999998</v>
      </c>
      <c r="W11" s="22">
        <v>0.83486499999999997</v>
      </c>
      <c r="X11" s="22">
        <v>0.886741</v>
      </c>
      <c r="Y11" s="22">
        <v>0.89779799999999998</v>
      </c>
      <c r="Z11" s="22">
        <v>0.85087800000000002</v>
      </c>
    </row>
    <row r="12" spans="1:26" x14ac:dyDescent="0.35">
      <c r="A12" s="23" t="s">
        <v>4587</v>
      </c>
      <c r="B12" s="22">
        <v>0.87902800000000003</v>
      </c>
      <c r="C12" s="22">
        <v>0.81027300000000002</v>
      </c>
      <c r="D12" s="22">
        <v>0.78248200000000001</v>
      </c>
      <c r="E12" s="22">
        <v>0.84773699999999996</v>
      </c>
      <c r="F12" s="22">
        <v>0.84102200000000005</v>
      </c>
      <c r="G12" s="22">
        <v>0.95467100000000005</v>
      </c>
      <c r="H12" s="22">
        <v>0.90214700000000003</v>
      </c>
      <c r="I12" s="22">
        <v>0.85357400000000005</v>
      </c>
      <c r="J12" s="22">
        <v>0.89888599999999996</v>
      </c>
      <c r="K12" s="22">
        <v>0.84110600000000002</v>
      </c>
      <c r="L12" s="22"/>
      <c r="M12" s="22"/>
      <c r="N12" s="22">
        <v>0.94921800000000001</v>
      </c>
      <c r="O12" s="22">
        <v>0.90149800000000002</v>
      </c>
      <c r="P12" s="22">
        <v>0.937361</v>
      </c>
      <c r="Q12" s="22">
        <v>0.93789599999999995</v>
      </c>
      <c r="R12" s="22">
        <v>0.949411</v>
      </c>
      <c r="S12" s="22">
        <v>0.91334700000000002</v>
      </c>
      <c r="T12" s="22">
        <v>0.923875</v>
      </c>
      <c r="U12" s="22">
        <v>0.87665999999999999</v>
      </c>
      <c r="V12" s="22">
        <v>0.85218499999999997</v>
      </c>
      <c r="W12" s="22">
        <v>0.84074400000000005</v>
      </c>
      <c r="X12" s="22">
        <v>0.90358000000000005</v>
      </c>
      <c r="Y12" s="22">
        <v>0.93311500000000003</v>
      </c>
      <c r="Z12" s="22">
        <v>0.85856100000000002</v>
      </c>
    </row>
    <row r="13" spans="1:26" x14ac:dyDescent="0.35">
      <c r="A13" s="23"/>
      <c r="B13" s="22">
        <v>0.88149100000000002</v>
      </c>
      <c r="C13" s="22">
        <v>0.80004299999999995</v>
      </c>
      <c r="D13" s="22">
        <v>0.79025299999999998</v>
      </c>
      <c r="E13" s="22">
        <v>0.806813</v>
      </c>
      <c r="F13" s="22">
        <v>0.864672</v>
      </c>
      <c r="G13" s="22">
        <v>0.98635200000000001</v>
      </c>
      <c r="H13" s="22">
        <v>0.89452200000000004</v>
      </c>
      <c r="I13" s="22">
        <v>0.86717500000000003</v>
      </c>
      <c r="J13" s="22">
        <v>0.91174900000000003</v>
      </c>
      <c r="K13" s="22">
        <v>0.840113</v>
      </c>
      <c r="L13" s="22"/>
      <c r="M13" s="22"/>
      <c r="N13" s="22">
        <v>0.95803000000000005</v>
      </c>
      <c r="O13" s="22">
        <v>0.87983900000000004</v>
      </c>
      <c r="P13" s="22">
        <v>0.911327</v>
      </c>
      <c r="Q13" s="22">
        <v>0.94950599999999996</v>
      </c>
      <c r="R13" s="22">
        <v>0.96309900000000004</v>
      </c>
      <c r="S13" s="22">
        <v>0.89476100000000003</v>
      </c>
      <c r="T13" s="22">
        <v>0.92903500000000006</v>
      </c>
      <c r="U13" s="22">
        <v>0.88139900000000004</v>
      </c>
      <c r="V13" s="22">
        <v>0.83237000000000005</v>
      </c>
      <c r="W13" s="22">
        <v>0.84435800000000005</v>
      </c>
      <c r="X13" s="22">
        <v>0.87870300000000001</v>
      </c>
      <c r="Y13" s="22">
        <v>0.94426699999999997</v>
      </c>
      <c r="Z13" s="22">
        <v>0.86643000000000003</v>
      </c>
    </row>
    <row r="14" spans="1:26" x14ac:dyDescent="0.35">
      <c r="A14" s="23"/>
      <c r="B14" s="22">
        <v>0.90070799999999995</v>
      </c>
      <c r="C14" s="22">
        <v>0.78258799999999995</v>
      </c>
      <c r="D14" s="22">
        <v>0.781559</v>
      </c>
      <c r="E14" s="22">
        <v>0.78478400000000004</v>
      </c>
      <c r="F14" s="22">
        <v>0.81331299999999995</v>
      </c>
      <c r="G14" s="22">
        <v>0.93001</v>
      </c>
      <c r="H14" s="22">
        <v>0.87390100000000004</v>
      </c>
      <c r="I14" s="22">
        <v>0.82800600000000002</v>
      </c>
      <c r="J14" s="22">
        <v>0.89034500000000005</v>
      </c>
      <c r="K14" s="22">
        <v>0.77329499999999995</v>
      </c>
      <c r="L14" s="22"/>
      <c r="M14" s="22"/>
      <c r="N14" s="22">
        <v>0.93241700000000005</v>
      </c>
      <c r="O14" s="22">
        <v>0.89044500000000004</v>
      </c>
      <c r="P14" s="22">
        <v>0.905864</v>
      </c>
      <c r="Q14" s="22">
        <v>0.930253</v>
      </c>
      <c r="R14" s="22">
        <v>0.93885799999999997</v>
      </c>
      <c r="S14" s="22">
        <v>0.87229199999999996</v>
      </c>
      <c r="T14" s="22">
        <v>0.899308</v>
      </c>
      <c r="U14" s="22">
        <v>0.85387100000000005</v>
      </c>
      <c r="V14" s="22">
        <v>0.86626800000000004</v>
      </c>
      <c r="W14" s="22">
        <v>0.82506000000000002</v>
      </c>
      <c r="X14" s="22">
        <v>0.86621499999999996</v>
      </c>
      <c r="Y14" s="22">
        <v>0.94499299999999997</v>
      </c>
      <c r="Z14" s="22">
        <v>0.84471600000000002</v>
      </c>
    </row>
    <row r="15" spans="1:26" x14ac:dyDescent="0.35">
      <c r="A15" s="23"/>
      <c r="B15" s="22">
        <v>0.90133399999999997</v>
      </c>
      <c r="C15" s="22">
        <v>0.79167100000000001</v>
      </c>
      <c r="D15" s="22">
        <v>0.78770700000000005</v>
      </c>
      <c r="E15" s="22">
        <v>0.78143799999999997</v>
      </c>
      <c r="F15" s="22">
        <v>0.86305299999999996</v>
      </c>
      <c r="G15" s="22">
        <v>0.97400500000000001</v>
      </c>
      <c r="H15" s="22">
        <v>0.88513299999999995</v>
      </c>
      <c r="I15" s="22">
        <v>0.85052099999999997</v>
      </c>
      <c r="J15" s="22">
        <v>0.91835800000000001</v>
      </c>
      <c r="K15" s="22">
        <v>0.79811299999999996</v>
      </c>
      <c r="L15" s="22"/>
      <c r="M15" s="22"/>
      <c r="N15" s="22">
        <v>0.95655800000000002</v>
      </c>
      <c r="O15" s="22">
        <v>0.89402700000000002</v>
      </c>
      <c r="P15" s="22">
        <v>0.91084500000000002</v>
      </c>
      <c r="Q15" s="22">
        <v>0.91397499999999998</v>
      </c>
      <c r="R15" s="22">
        <v>0.94725599999999999</v>
      </c>
      <c r="S15" s="22">
        <v>0.89176900000000003</v>
      </c>
      <c r="T15" s="22">
        <v>0.90860700000000005</v>
      </c>
      <c r="U15" s="22">
        <v>0.84340400000000004</v>
      </c>
      <c r="V15" s="22">
        <v>0.88144299999999998</v>
      </c>
      <c r="W15" s="22">
        <v>0.83667999999999998</v>
      </c>
      <c r="X15" s="22">
        <v>0.87405299999999997</v>
      </c>
      <c r="Y15" s="22">
        <v>0.93765500000000002</v>
      </c>
      <c r="Z15" s="22">
        <v>0.87977700000000003</v>
      </c>
    </row>
    <row r="16" spans="1:26" x14ac:dyDescent="0.35">
      <c r="A16" s="23" t="s">
        <v>4588</v>
      </c>
      <c r="B16" s="22">
        <v>0.88006499999999999</v>
      </c>
      <c r="C16" s="22">
        <v>0.77950799999999998</v>
      </c>
      <c r="D16" s="22">
        <v>0.79918400000000001</v>
      </c>
      <c r="E16" s="22">
        <v>0.80722300000000002</v>
      </c>
      <c r="F16" s="22">
        <v>0.83594599999999997</v>
      </c>
      <c r="G16" s="22">
        <v>0.95099999999999996</v>
      </c>
      <c r="H16" s="22">
        <v>0.91124700000000003</v>
      </c>
      <c r="I16" s="22">
        <v>0.84330899999999998</v>
      </c>
      <c r="J16" s="22">
        <v>0.91124499999999997</v>
      </c>
      <c r="K16" s="22">
        <v>0.80590799999999996</v>
      </c>
      <c r="L16" s="22"/>
      <c r="M16" s="22"/>
      <c r="N16" s="22">
        <v>0.963808</v>
      </c>
      <c r="O16" s="22">
        <v>0.90946199999999999</v>
      </c>
      <c r="P16" s="22">
        <v>0.93659899999999996</v>
      </c>
      <c r="Q16" s="22">
        <v>0.91690700000000003</v>
      </c>
      <c r="R16" s="22">
        <v>0.953407</v>
      </c>
      <c r="S16" s="22">
        <v>0.88044199999999995</v>
      </c>
      <c r="T16" s="22">
        <v>0.88941199999999998</v>
      </c>
      <c r="U16" s="22">
        <v>0.87440300000000004</v>
      </c>
      <c r="V16" s="22">
        <v>0.88172099999999998</v>
      </c>
      <c r="W16" s="22">
        <v>0.83360800000000002</v>
      </c>
      <c r="X16" s="22">
        <v>0.87823300000000004</v>
      </c>
      <c r="Y16" s="22">
        <v>0.95964300000000002</v>
      </c>
      <c r="Z16" s="22">
        <v>0.90625599999999995</v>
      </c>
    </row>
    <row r="17" spans="1:26" x14ac:dyDescent="0.35">
      <c r="A17" s="23"/>
      <c r="B17" s="22">
        <v>0.89430200000000004</v>
      </c>
      <c r="C17" s="22">
        <v>0.76119999999999999</v>
      </c>
      <c r="D17" s="22">
        <v>0.77134100000000005</v>
      </c>
      <c r="E17" s="22">
        <v>0.78655699999999995</v>
      </c>
      <c r="F17" s="22">
        <v>0.84497900000000004</v>
      </c>
      <c r="G17" s="22">
        <v>0.94053299999999995</v>
      </c>
      <c r="H17" s="22">
        <v>0.94039499999999998</v>
      </c>
      <c r="I17" s="22">
        <v>0.84495600000000004</v>
      </c>
      <c r="J17" s="22">
        <v>0.86658500000000005</v>
      </c>
      <c r="K17" s="22">
        <v>0.83519699999999997</v>
      </c>
      <c r="L17" s="22"/>
      <c r="M17" s="22"/>
      <c r="N17" s="22">
        <v>0.961399</v>
      </c>
      <c r="O17" s="22">
        <v>0.88272600000000001</v>
      </c>
      <c r="P17" s="22">
        <v>0.89742299999999997</v>
      </c>
      <c r="Q17" s="22">
        <v>0.90601100000000001</v>
      </c>
      <c r="R17" s="22">
        <v>0.94318900000000006</v>
      </c>
      <c r="S17" s="22">
        <v>0.87507999999999997</v>
      </c>
      <c r="T17" s="22">
        <v>0.90072399999999997</v>
      </c>
      <c r="U17" s="22">
        <v>0.89754999999999996</v>
      </c>
      <c r="V17" s="22">
        <v>0.84612699999999996</v>
      </c>
      <c r="W17" s="22">
        <v>0.80112300000000003</v>
      </c>
      <c r="X17" s="22">
        <v>0.850271</v>
      </c>
      <c r="Y17" s="22">
        <v>0.92360399999999998</v>
      </c>
      <c r="Z17" s="22">
        <v>0.87765400000000005</v>
      </c>
    </row>
    <row r="18" spans="1:26" x14ac:dyDescent="0.35">
      <c r="A18" s="23"/>
      <c r="B18" s="22">
        <v>0.86761900000000003</v>
      </c>
      <c r="C18" s="22">
        <v>0.79500099999999996</v>
      </c>
      <c r="D18" s="22">
        <v>0.76692099999999996</v>
      </c>
      <c r="E18" s="22">
        <v>0.81460399999999999</v>
      </c>
      <c r="F18" s="22">
        <v>0.85954399999999997</v>
      </c>
      <c r="G18" s="22">
        <v>0.96562400000000004</v>
      </c>
      <c r="H18" s="22">
        <v>0.97989999999999999</v>
      </c>
      <c r="I18" s="22">
        <v>0.86995400000000001</v>
      </c>
      <c r="J18" s="22">
        <v>0.89710299999999998</v>
      </c>
      <c r="K18" s="22">
        <v>0.82143200000000005</v>
      </c>
      <c r="L18" s="22"/>
      <c r="M18" s="22"/>
      <c r="N18" s="22">
        <v>0.972526</v>
      </c>
      <c r="O18" s="22">
        <v>0.88203500000000001</v>
      </c>
      <c r="P18" s="22">
        <v>0.91465099999999999</v>
      </c>
      <c r="Q18" s="22">
        <v>0.92207099999999997</v>
      </c>
      <c r="R18" s="22">
        <v>0.92828599999999994</v>
      </c>
      <c r="S18" s="22">
        <v>0.89721200000000001</v>
      </c>
      <c r="T18" s="22">
        <v>0.91065700000000005</v>
      </c>
      <c r="U18" s="22">
        <v>0.89614700000000003</v>
      </c>
      <c r="V18" s="22">
        <v>0.83625899999999997</v>
      </c>
      <c r="W18" s="22">
        <v>0.83309999999999995</v>
      </c>
      <c r="X18" s="22">
        <v>0.87596600000000002</v>
      </c>
      <c r="Y18" s="22">
        <v>0.92745699999999998</v>
      </c>
      <c r="Z18" s="22">
        <v>0.87410299999999996</v>
      </c>
    </row>
    <row r="19" spans="1:26" x14ac:dyDescent="0.35">
      <c r="A19" s="23" t="s">
        <v>4589</v>
      </c>
      <c r="B19" s="22">
        <v>0.87692999999999999</v>
      </c>
      <c r="C19" s="22">
        <v>0.79694100000000001</v>
      </c>
      <c r="D19" s="22">
        <v>0.80827899999999997</v>
      </c>
      <c r="E19" s="22">
        <v>0.77843399999999996</v>
      </c>
      <c r="F19" s="22">
        <v>0.81922899999999998</v>
      </c>
      <c r="G19" s="22">
        <v>0.94123599999999996</v>
      </c>
      <c r="H19" s="22">
        <v>0.94207399999999997</v>
      </c>
      <c r="I19" s="22">
        <v>0.87711700000000004</v>
      </c>
      <c r="J19" s="22">
        <v>0.86577400000000004</v>
      </c>
      <c r="K19" s="22">
        <v>0.83401499999999995</v>
      </c>
      <c r="L19" s="22"/>
      <c r="M19" s="22"/>
      <c r="N19" s="22">
        <v>0.94336900000000001</v>
      </c>
      <c r="O19" s="22">
        <v>0.86013700000000004</v>
      </c>
      <c r="P19" s="22">
        <v>0.91945100000000002</v>
      </c>
      <c r="Q19" s="22">
        <v>0.89058300000000001</v>
      </c>
      <c r="R19" s="22">
        <v>0.90239400000000003</v>
      </c>
      <c r="S19" s="22">
        <v>0.87732699999999997</v>
      </c>
      <c r="T19" s="22">
        <v>0.89111099999999999</v>
      </c>
      <c r="U19" s="22">
        <v>0.85887500000000006</v>
      </c>
      <c r="V19" s="22">
        <v>0.87749200000000005</v>
      </c>
      <c r="W19" s="22">
        <v>0.83282999999999996</v>
      </c>
      <c r="X19" s="22">
        <v>0.84256600000000004</v>
      </c>
      <c r="Y19" s="22">
        <v>0.94857000000000002</v>
      </c>
      <c r="Z19" s="22">
        <v>0.90132000000000001</v>
      </c>
    </row>
    <row r="20" spans="1:26" x14ac:dyDescent="0.35">
      <c r="A20" s="23"/>
      <c r="B20" s="22">
        <v>0.87460599999999999</v>
      </c>
      <c r="C20" s="22">
        <v>0.81996400000000003</v>
      </c>
      <c r="D20" s="22">
        <v>0.78312000000000004</v>
      </c>
      <c r="E20" s="22">
        <v>0.81335900000000005</v>
      </c>
      <c r="F20" s="22">
        <v>0.83288099999999998</v>
      </c>
      <c r="G20" s="22">
        <v>0.95134799999999997</v>
      </c>
      <c r="H20" s="22">
        <v>0.94277699999999998</v>
      </c>
      <c r="I20" s="22">
        <v>0.83881600000000001</v>
      </c>
      <c r="J20" s="22">
        <v>0.89166000000000001</v>
      </c>
      <c r="K20" s="22">
        <v>0.75948099999999996</v>
      </c>
      <c r="L20" s="22"/>
      <c r="M20" s="22"/>
      <c r="N20" s="22">
        <v>0.93302099999999999</v>
      </c>
      <c r="O20" s="22">
        <v>0.84941199999999994</v>
      </c>
      <c r="P20" s="22">
        <v>0.92628299999999997</v>
      </c>
      <c r="Q20" s="22">
        <v>0.90444899999999995</v>
      </c>
      <c r="R20" s="22">
        <v>0.91989100000000001</v>
      </c>
      <c r="S20" s="22">
        <v>0.86540700000000004</v>
      </c>
      <c r="T20" s="22">
        <v>0.92381100000000005</v>
      </c>
      <c r="U20" s="22">
        <v>0.87450600000000001</v>
      </c>
      <c r="V20" s="22">
        <v>0.85006000000000004</v>
      </c>
      <c r="W20" s="22">
        <v>0.82527499999999998</v>
      </c>
      <c r="X20" s="22">
        <v>0.86482300000000001</v>
      </c>
      <c r="Y20" s="22">
        <v>0.85871500000000001</v>
      </c>
      <c r="Z20" s="22">
        <v>0.84375299999999998</v>
      </c>
    </row>
    <row r="21" spans="1:26" x14ac:dyDescent="0.35">
      <c r="A21" s="23"/>
      <c r="B21" s="22">
        <v>0.91891199999999995</v>
      </c>
      <c r="C21" s="22">
        <v>0.85239799999999999</v>
      </c>
      <c r="D21" s="22">
        <v>0.80413500000000004</v>
      </c>
      <c r="E21" s="22">
        <v>0.79808500000000004</v>
      </c>
      <c r="F21" s="22">
        <v>0.858491</v>
      </c>
      <c r="G21" s="22">
        <v>0.96290299999999995</v>
      </c>
      <c r="H21" s="22">
        <v>0.93709200000000004</v>
      </c>
      <c r="I21" s="22">
        <v>0.85271300000000005</v>
      </c>
      <c r="J21" s="22">
        <v>0.849028</v>
      </c>
      <c r="K21" s="22">
        <v>0.77641499999999997</v>
      </c>
      <c r="L21" s="22"/>
      <c r="M21" s="22"/>
      <c r="N21" s="22">
        <v>0.95213700000000001</v>
      </c>
      <c r="O21" s="22">
        <v>0.90140600000000004</v>
      </c>
      <c r="P21" s="22">
        <v>0.94164099999999995</v>
      </c>
      <c r="Q21" s="22">
        <v>0.903142</v>
      </c>
      <c r="R21" s="22">
        <v>0.940998</v>
      </c>
      <c r="S21" s="22">
        <v>0.87915399999999999</v>
      </c>
      <c r="T21" s="22">
        <v>0.886992</v>
      </c>
      <c r="U21" s="22">
        <v>0.87597000000000003</v>
      </c>
      <c r="V21" s="22">
        <v>0.85203399999999996</v>
      </c>
      <c r="W21" s="22">
        <v>0.823963</v>
      </c>
      <c r="X21" s="22">
        <v>0.83428999999999998</v>
      </c>
      <c r="Y21" s="22">
        <v>0.91484600000000005</v>
      </c>
      <c r="Z21" s="22">
        <v>0.88756100000000004</v>
      </c>
    </row>
    <row r="22" spans="1:26" x14ac:dyDescent="0.35">
      <c r="A22" s="23"/>
      <c r="B22" s="22">
        <v>0.88302700000000001</v>
      </c>
      <c r="C22" s="22">
        <v>0.81972500000000004</v>
      </c>
      <c r="D22" s="22">
        <v>0.793462</v>
      </c>
      <c r="E22" s="22">
        <v>0.78883700000000001</v>
      </c>
      <c r="F22" s="22">
        <v>0.81826399999999999</v>
      </c>
      <c r="G22" s="22">
        <v>0.95289800000000002</v>
      </c>
      <c r="H22" s="22">
        <v>0.90842500000000004</v>
      </c>
      <c r="I22" s="22">
        <v>0.86197800000000002</v>
      </c>
      <c r="J22" s="22">
        <v>0.85260599999999998</v>
      </c>
      <c r="K22" s="22">
        <v>0.81028299999999998</v>
      </c>
      <c r="L22" s="22"/>
      <c r="M22" s="22"/>
      <c r="N22" s="22">
        <v>0.925126</v>
      </c>
      <c r="O22" s="22">
        <v>0.88144999999999996</v>
      </c>
      <c r="P22" s="22">
        <v>0.92995300000000003</v>
      </c>
      <c r="Q22" s="22">
        <v>0.90933799999999998</v>
      </c>
      <c r="R22" s="22">
        <v>0.93405800000000005</v>
      </c>
      <c r="S22" s="22">
        <v>0.87868800000000002</v>
      </c>
      <c r="T22" s="22">
        <v>0.89320900000000003</v>
      </c>
      <c r="U22" s="22">
        <v>0.883405</v>
      </c>
      <c r="V22" s="22">
        <v>0.88076699999999997</v>
      </c>
      <c r="W22" s="22">
        <v>0.83068500000000001</v>
      </c>
      <c r="X22" s="22">
        <v>0.83131699999999997</v>
      </c>
      <c r="Y22" s="22">
        <v>0.90201100000000001</v>
      </c>
      <c r="Z22" s="22">
        <v>0.86336299999999999</v>
      </c>
    </row>
    <row r="23" spans="1:26" x14ac:dyDescent="0.35">
      <c r="A23" s="23" t="s">
        <v>4590</v>
      </c>
      <c r="B23" s="22">
        <v>0.90480700000000003</v>
      </c>
      <c r="C23" s="22">
        <v>0.80892900000000001</v>
      </c>
      <c r="D23" s="22">
        <v>0.78447299999999998</v>
      </c>
      <c r="E23" s="22">
        <v>0.79579</v>
      </c>
      <c r="F23" s="22">
        <v>0.79228399999999999</v>
      </c>
      <c r="G23" s="22">
        <v>0.97533300000000001</v>
      </c>
      <c r="H23" s="22">
        <v>0.92159400000000002</v>
      </c>
      <c r="I23" s="22">
        <v>0.86574899999999999</v>
      </c>
      <c r="J23" s="22">
        <v>0.87658800000000003</v>
      </c>
      <c r="K23" s="22">
        <v>0.81115700000000002</v>
      </c>
      <c r="L23" s="22"/>
      <c r="M23" s="22"/>
      <c r="N23" s="22">
        <v>0.92739199999999999</v>
      </c>
      <c r="O23" s="22">
        <v>0.89975799999999995</v>
      </c>
      <c r="P23" s="22">
        <v>0.89133700000000005</v>
      </c>
      <c r="Q23" s="22">
        <v>0.92204299999999995</v>
      </c>
      <c r="R23" s="22">
        <v>0.92777399999999999</v>
      </c>
      <c r="S23" s="22">
        <v>0.87157700000000005</v>
      </c>
      <c r="T23" s="22">
        <v>0.90404300000000004</v>
      </c>
      <c r="U23" s="22">
        <v>0.88009199999999999</v>
      </c>
      <c r="V23" s="22">
        <v>0.86831899999999995</v>
      </c>
      <c r="W23" s="22">
        <v>0.82358100000000001</v>
      </c>
      <c r="X23" s="22">
        <v>0.861819</v>
      </c>
      <c r="Y23" s="22">
        <v>0.88037799999999999</v>
      </c>
      <c r="Z23" s="22">
        <v>0.87231499999999995</v>
      </c>
    </row>
    <row r="24" spans="1:26" x14ac:dyDescent="0.35">
      <c r="A24" s="23"/>
      <c r="B24" s="22">
        <v>0.93606699999999998</v>
      </c>
      <c r="C24" s="22">
        <v>0.81292200000000003</v>
      </c>
      <c r="D24" s="22">
        <v>0.81196199999999996</v>
      </c>
      <c r="E24" s="22">
        <v>0.77017400000000003</v>
      </c>
      <c r="F24" s="22">
        <v>0.78170799999999996</v>
      </c>
      <c r="G24" s="22">
        <v>0.975715</v>
      </c>
      <c r="H24" s="22">
        <v>0.90736399999999995</v>
      </c>
      <c r="I24" s="22">
        <v>0.85386099999999998</v>
      </c>
      <c r="J24" s="22">
        <v>0.86076299999999994</v>
      </c>
      <c r="K24" s="22">
        <v>0.77152299999999996</v>
      </c>
      <c r="L24" s="22"/>
      <c r="M24" s="22"/>
      <c r="N24" s="22">
        <v>0.93418699999999999</v>
      </c>
      <c r="O24" s="22">
        <v>0.86719400000000002</v>
      </c>
      <c r="P24" s="22">
        <v>0.91711299999999996</v>
      </c>
      <c r="Q24" s="22">
        <v>0.91142500000000004</v>
      </c>
      <c r="R24" s="22">
        <v>0.931365</v>
      </c>
      <c r="S24" s="22">
        <v>0.841696</v>
      </c>
      <c r="T24" s="22">
        <v>0.87112900000000004</v>
      </c>
      <c r="U24" s="22">
        <v>0.84966299999999995</v>
      </c>
      <c r="V24" s="22">
        <v>0.84405600000000003</v>
      </c>
      <c r="W24" s="22">
        <v>0.80968300000000004</v>
      </c>
      <c r="X24" s="22">
        <v>0.84388099999999999</v>
      </c>
      <c r="Y24" s="22">
        <v>0.86537699999999995</v>
      </c>
      <c r="Z24" s="22">
        <v>0.885741</v>
      </c>
    </row>
    <row r="25" spans="1:26" x14ac:dyDescent="0.35">
      <c r="A25" s="23"/>
      <c r="B25" s="22">
        <v>0.88403299999999996</v>
      </c>
      <c r="C25" s="22">
        <v>0.82996700000000001</v>
      </c>
      <c r="D25" s="22">
        <v>0.75983400000000001</v>
      </c>
      <c r="E25" s="22">
        <v>0.82944200000000001</v>
      </c>
      <c r="F25" s="22">
        <v>0.785084</v>
      </c>
      <c r="G25" s="22">
        <v>0.96720200000000001</v>
      </c>
      <c r="H25" s="22">
        <v>0.931562</v>
      </c>
      <c r="I25" s="22">
        <v>0.85314000000000001</v>
      </c>
      <c r="J25" s="22">
        <v>0.85095699999999996</v>
      </c>
      <c r="K25" s="22">
        <v>0.79916299999999996</v>
      </c>
      <c r="L25" s="22"/>
      <c r="M25" s="22"/>
      <c r="N25" s="22">
        <v>0.90256099999999995</v>
      </c>
      <c r="O25" s="22">
        <v>0.87097100000000005</v>
      </c>
      <c r="P25" s="22">
        <v>0.87747600000000003</v>
      </c>
      <c r="Q25" s="22">
        <v>0.91677900000000001</v>
      </c>
      <c r="R25" s="22">
        <v>0.92498599999999997</v>
      </c>
      <c r="S25" s="22">
        <v>0.89370899999999998</v>
      </c>
      <c r="T25" s="22">
        <v>0.90170899999999998</v>
      </c>
      <c r="U25" s="22">
        <v>0.87638099999999997</v>
      </c>
      <c r="V25" s="22">
        <v>0.89319099999999996</v>
      </c>
      <c r="W25" s="22">
        <v>0.83779099999999995</v>
      </c>
      <c r="X25" s="22">
        <v>0.86761299999999997</v>
      </c>
      <c r="Y25" s="22">
        <v>0.85373200000000005</v>
      </c>
      <c r="Z25" s="22">
        <v>0.897096</v>
      </c>
    </row>
    <row r="26" spans="1:26" x14ac:dyDescent="0.35">
      <c r="A26" s="23" t="s">
        <v>4591</v>
      </c>
      <c r="B26" s="22">
        <v>0.87535099999999999</v>
      </c>
      <c r="C26" s="22">
        <v>0.84549300000000005</v>
      </c>
      <c r="D26" s="22">
        <v>0.78126499999999999</v>
      </c>
      <c r="E26" s="22">
        <v>0.830063</v>
      </c>
      <c r="F26" s="22">
        <v>0.81783300000000003</v>
      </c>
      <c r="G26" s="22">
        <v>0.94256899999999999</v>
      </c>
      <c r="H26" s="22">
        <v>0.93583899999999998</v>
      </c>
      <c r="I26" s="22">
        <v>0.83372400000000002</v>
      </c>
      <c r="J26" s="22">
        <v>0.87726199999999999</v>
      </c>
      <c r="K26" s="22">
        <v>0.78064800000000001</v>
      </c>
      <c r="L26" s="22"/>
      <c r="M26" s="22"/>
      <c r="N26" s="22">
        <v>0.96540999999999999</v>
      </c>
      <c r="O26" s="22">
        <v>0.85499800000000004</v>
      </c>
      <c r="P26" s="22">
        <v>0.90071999999999997</v>
      </c>
      <c r="Q26" s="22">
        <v>0.93447100000000005</v>
      </c>
      <c r="R26" s="22">
        <v>0.939612</v>
      </c>
      <c r="S26" s="22">
        <v>0.90935200000000005</v>
      </c>
      <c r="T26" s="22">
        <v>0.91067100000000001</v>
      </c>
      <c r="U26" s="22">
        <v>0.87031499999999995</v>
      </c>
      <c r="V26" s="22">
        <v>0.83883300000000005</v>
      </c>
      <c r="W26" s="22">
        <v>0.80079400000000001</v>
      </c>
      <c r="X26" s="22">
        <v>0.87557600000000002</v>
      </c>
      <c r="Y26" s="22">
        <v>0.89286200000000004</v>
      </c>
      <c r="Z26" s="22">
        <v>0.88666199999999995</v>
      </c>
    </row>
    <row r="27" spans="1:26" x14ac:dyDescent="0.35">
      <c r="A27" s="23"/>
      <c r="B27" s="22">
        <v>0.89486900000000003</v>
      </c>
      <c r="C27" s="22">
        <v>0.81090200000000001</v>
      </c>
      <c r="D27" s="22">
        <v>0.76151400000000002</v>
      </c>
      <c r="E27" s="22">
        <v>0.83949700000000005</v>
      </c>
      <c r="F27" s="22">
        <v>0.82451200000000002</v>
      </c>
      <c r="G27" s="22">
        <v>0.992058</v>
      </c>
      <c r="H27" s="22">
        <v>0.94569000000000003</v>
      </c>
      <c r="I27" s="22">
        <v>0.84648100000000004</v>
      </c>
      <c r="J27" s="22">
        <v>0.86398799999999998</v>
      </c>
      <c r="K27" s="22">
        <v>0.78116200000000002</v>
      </c>
      <c r="L27" s="22"/>
      <c r="M27" s="22"/>
      <c r="N27" s="22">
        <v>0.91329300000000002</v>
      </c>
      <c r="O27" s="22">
        <v>0.88234800000000002</v>
      </c>
      <c r="P27" s="22">
        <v>0.87271799999999999</v>
      </c>
      <c r="Q27" s="22">
        <v>0.90894699999999995</v>
      </c>
      <c r="R27" s="22">
        <v>0.95101400000000003</v>
      </c>
      <c r="S27" s="22">
        <v>0.86466200000000004</v>
      </c>
      <c r="T27" s="22">
        <v>0.91988499999999995</v>
      </c>
      <c r="U27" s="22">
        <v>0.86521899999999996</v>
      </c>
      <c r="V27" s="22">
        <v>0.83108199999999999</v>
      </c>
      <c r="W27" s="22">
        <v>0.85082100000000005</v>
      </c>
      <c r="X27" s="22">
        <v>0.85418099999999997</v>
      </c>
      <c r="Y27" s="22">
        <v>0.88881500000000002</v>
      </c>
      <c r="Z27" s="22">
        <v>0.87547600000000003</v>
      </c>
    </row>
    <row r="28" spans="1:26" x14ac:dyDescent="0.35">
      <c r="A28" s="23"/>
      <c r="B28" s="22">
        <v>0.87125900000000001</v>
      </c>
      <c r="C28" s="22">
        <v>0.80912099999999998</v>
      </c>
      <c r="D28" s="22">
        <v>0.78409600000000002</v>
      </c>
      <c r="E28" s="22">
        <v>0.81197299999999994</v>
      </c>
      <c r="F28" s="22">
        <v>0.80166999999999999</v>
      </c>
      <c r="G28" s="22">
        <v>0.96072599999999997</v>
      </c>
      <c r="H28" s="22">
        <v>0.94316100000000003</v>
      </c>
      <c r="I28" s="22">
        <v>0.81877900000000003</v>
      </c>
      <c r="J28" s="22">
        <v>0.94489100000000004</v>
      </c>
      <c r="K28" s="22">
        <v>0.75238400000000005</v>
      </c>
      <c r="L28" s="22"/>
      <c r="M28" s="22"/>
      <c r="N28" s="22">
        <v>0.90188100000000004</v>
      </c>
      <c r="O28" s="22">
        <v>0.85774399999999995</v>
      </c>
      <c r="P28" s="22">
        <v>0.87863800000000003</v>
      </c>
      <c r="Q28" s="22">
        <v>0.90022100000000005</v>
      </c>
      <c r="R28" s="22">
        <v>0.91573199999999999</v>
      </c>
      <c r="S28" s="22">
        <v>0.88573599999999997</v>
      </c>
      <c r="T28" s="22">
        <v>0.916103</v>
      </c>
      <c r="U28" s="22">
        <v>0.85538099999999995</v>
      </c>
      <c r="V28" s="22">
        <v>0.85758699999999999</v>
      </c>
      <c r="W28" s="22">
        <v>0.816612</v>
      </c>
      <c r="X28" s="22">
        <v>0.93291900000000005</v>
      </c>
      <c r="Y28" s="22">
        <v>0.89145700000000005</v>
      </c>
      <c r="Z28" s="22">
        <v>0.88940200000000003</v>
      </c>
    </row>
    <row r="29" spans="1:26" x14ac:dyDescent="0.35">
      <c r="A29" s="23"/>
      <c r="B29" s="22">
        <v>0.89234800000000003</v>
      </c>
      <c r="C29" s="22">
        <v>0.83805099999999999</v>
      </c>
      <c r="D29" s="22">
        <v>0.78622599999999998</v>
      </c>
      <c r="E29" s="22">
        <v>0.76791799999999999</v>
      </c>
      <c r="F29" s="22">
        <v>0.76731199999999999</v>
      </c>
      <c r="G29" s="22">
        <v>0.94621500000000003</v>
      </c>
      <c r="H29" s="22">
        <v>0.96829699999999996</v>
      </c>
      <c r="I29" s="22">
        <v>0.82189900000000005</v>
      </c>
      <c r="J29" s="22">
        <v>0.89714700000000003</v>
      </c>
      <c r="K29" s="22">
        <v>0.81497200000000003</v>
      </c>
      <c r="L29" s="22"/>
      <c r="M29" s="22"/>
      <c r="N29" s="22">
        <v>0.89172899999999999</v>
      </c>
      <c r="O29" s="22">
        <v>0.84373600000000004</v>
      </c>
      <c r="P29" s="22">
        <v>0.84479199999999999</v>
      </c>
      <c r="Q29" s="22">
        <v>0.90526399999999996</v>
      </c>
      <c r="R29" s="22">
        <v>0.92166499999999996</v>
      </c>
      <c r="S29" s="22">
        <v>0.92218599999999995</v>
      </c>
      <c r="T29" s="22">
        <v>0.92815800000000004</v>
      </c>
      <c r="U29" s="22">
        <v>0.86330099999999999</v>
      </c>
      <c r="V29" s="22">
        <v>0.84159799999999996</v>
      </c>
      <c r="W29" s="22">
        <v>0.80878099999999997</v>
      </c>
      <c r="X29" s="22">
        <v>0.88839800000000002</v>
      </c>
      <c r="Y29" s="22">
        <v>0.89456199999999997</v>
      </c>
      <c r="Z29" s="22">
        <v>0.83341799999999999</v>
      </c>
    </row>
    <row r="30" spans="1:26" x14ac:dyDescent="0.35">
      <c r="A30" s="23" t="s">
        <v>4592</v>
      </c>
      <c r="B30" s="22">
        <v>0.86970000000000003</v>
      </c>
      <c r="C30" s="22">
        <v>0.79831200000000002</v>
      </c>
      <c r="D30" s="22">
        <v>0.750282</v>
      </c>
      <c r="E30" s="22">
        <v>0.79341099999999998</v>
      </c>
      <c r="F30" s="22">
        <v>0.79240600000000005</v>
      </c>
      <c r="G30" s="22">
        <v>0.94764599999999999</v>
      </c>
      <c r="H30" s="22">
        <v>0.92410700000000001</v>
      </c>
      <c r="I30" s="22">
        <v>0.82025099999999995</v>
      </c>
      <c r="J30" s="22">
        <v>0.86270000000000002</v>
      </c>
      <c r="K30" s="22">
        <v>0.74274799999999996</v>
      </c>
      <c r="L30" s="22"/>
      <c r="M30" s="22"/>
      <c r="N30" s="22">
        <v>0.89130399999999999</v>
      </c>
      <c r="O30" s="22">
        <v>0.83389599999999997</v>
      </c>
      <c r="P30" s="22">
        <v>0.87217</v>
      </c>
      <c r="Q30" s="22">
        <v>0.90053099999999997</v>
      </c>
      <c r="R30" s="22">
        <v>0.93396199999999996</v>
      </c>
      <c r="S30" s="22">
        <v>0.88760600000000001</v>
      </c>
      <c r="T30" s="22">
        <v>0.88956900000000005</v>
      </c>
      <c r="U30" s="22">
        <v>0.84508799999999995</v>
      </c>
      <c r="V30" s="22">
        <v>0.88549800000000001</v>
      </c>
      <c r="W30" s="22">
        <v>0.81124700000000005</v>
      </c>
      <c r="X30" s="22">
        <v>0.89959500000000003</v>
      </c>
      <c r="Y30" s="22">
        <v>0.89977099999999999</v>
      </c>
      <c r="Z30" s="22">
        <v>0.82727700000000004</v>
      </c>
    </row>
    <row r="31" spans="1:26" x14ac:dyDescent="0.35">
      <c r="A31" s="23"/>
      <c r="B31" s="22">
        <v>0.90627899999999995</v>
      </c>
      <c r="C31" s="22">
        <v>0.79837999999999998</v>
      </c>
      <c r="D31" s="22">
        <v>0.750166</v>
      </c>
      <c r="E31" s="22">
        <v>0.80660500000000002</v>
      </c>
      <c r="F31" s="22">
        <v>0.74861999999999995</v>
      </c>
      <c r="G31" s="22">
        <v>0.97737300000000005</v>
      </c>
      <c r="H31" s="22">
        <v>0.90710599999999997</v>
      </c>
      <c r="I31" s="22">
        <v>0.84567999999999999</v>
      </c>
      <c r="J31" s="22">
        <v>0.84886499999999998</v>
      </c>
      <c r="K31" s="22">
        <v>0.846939</v>
      </c>
      <c r="L31" s="22"/>
      <c r="M31" s="22"/>
      <c r="N31" s="22">
        <v>0.88940900000000001</v>
      </c>
      <c r="O31" s="22">
        <v>0.85269499999999998</v>
      </c>
      <c r="P31" s="22">
        <v>0.88937900000000003</v>
      </c>
      <c r="Q31" s="22">
        <v>0.92203999999999997</v>
      </c>
      <c r="R31" s="22">
        <v>0.93025000000000002</v>
      </c>
      <c r="S31" s="22">
        <v>0.88722199999999996</v>
      </c>
      <c r="T31" s="22">
        <v>0.90814700000000004</v>
      </c>
      <c r="U31" s="22">
        <v>0.88690199999999997</v>
      </c>
      <c r="V31" s="22">
        <v>0.86020399999999997</v>
      </c>
      <c r="W31" s="22">
        <v>0.818994</v>
      </c>
      <c r="X31" s="22">
        <v>0.90239199999999997</v>
      </c>
      <c r="Y31" s="22">
        <v>0.90216700000000005</v>
      </c>
      <c r="Z31" s="22">
        <v>0.82473399999999997</v>
      </c>
    </row>
    <row r="32" spans="1:26" x14ac:dyDescent="0.35">
      <c r="A32" s="23"/>
      <c r="B32" s="22">
        <v>0.89927800000000002</v>
      </c>
      <c r="C32" s="22">
        <v>0.81167500000000004</v>
      </c>
      <c r="D32" s="22">
        <v>0.75068800000000002</v>
      </c>
      <c r="E32" s="22">
        <v>0.775088</v>
      </c>
      <c r="F32" s="22">
        <v>0.80574699999999999</v>
      </c>
      <c r="G32" s="22">
        <v>0.986147</v>
      </c>
      <c r="H32" s="22">
        <v>0.89927699999999999</v>
      </c>
      <c r="I32" s="22">
        <v>0.88331099999999996</v>
      </c>
      <c r="J32" s="22">
        <v>0.87157099999999998</v>
      </c>
      <c r="K32" s="22">
        <v>0.77157900000000001</v>
      </c>
      <c r="L32" s="22"/>
      <c r="M32" s="22"/>
      <c r="N32" s="22">
        <v>0.88818200000000003</v>
      </c>
      <c r="O32" s="22">
        <v>0.86586799999999997</v>
      </c>
      <c r="P32" s="22">
        <v>0.90212000000000003</v>
      </c>
      <c r="Q32" s="22">
        <v>0.90514600000000001</v>
      </c>
      <c r="R32" s="22">
        <v>0.92804500000000001</v>
      </c>
      <c r="S32" s="22">
        <v>0.87027699999999997</v>
      </c>
      <c r="T32" s="22">
        <v>0.88099499999999997</v>
      </c>
      <c r="U32" s="22">
        <v>0.86240399999999995</v>
      </c>
      <c r="V32" s="22">
        <v>0.83753999999999995</v>
      </c>
      <c r="W32" s="22">
        <v>0.83698399999999995</v>
      </c>
      <c r="X32" s="22">
        <v>0.91914399999999996</v>
      </c>
      <c r="Y32" s="22">
        <v>0.89753799999999995</v>
      </c>
      <c r="Z32" s="22">
        <v>0.86568199999999995</v>
      </c>
    </row>
    <row r="33" spans="1:26" x14ac:dyDescent="0.35">
      <c r="A33" s="23" t="s">
        <v>4593</v>
      </c>
      <c r="B33" s="22">
        <v>0.89226799999999995</v>
      </c>
      <c r="C33" s="22">
        <v>0.82358200000000004</v>
      </c>
      <c r="D33" s="22">
        <v>0.82949700000000004</v>
      </c>
      <c r="E33" s="22">
        <v>0.81208499999999995</v>
      </c>
      <c r="F33" s="22">
        <v>0.81443699999999997</v>
      </c>
      <c r="G33" s="22">
        <v>0.98702599999999996</v>
      </c>
      <c r="H33" s="22">
        <v>0.92688400000000004</v>
      </c>
      <c r="I33" s="22">
        <v>0.91720699999999999</v>
      </c>
      <c r="J33" s="22">
        <v>0.89738600000000002</v>
      </c>
      <c r="K33" s="22">
        <v>0.82428199999999996</v>
      </c>
      <c r="L33" s="22"/>
      <c r="M33" s="22"/>
      <c r="N33" s="22">
        <v>0.98734999999999995</v>
      </c>
      <c r="O33" s="22">
        <v>0.93656200000000001</v>
      </c>
      <c r="P33" s="22">
        <v>0.92185600000000001</v>
      </c>
      <c r="Q33" s="22">
        <v>0.90777399999999997</v>
      </c>
      <c r="R33" s="22">
        <v>0.96516000000000002</v>
      </c>
      <c r="S33" s="22">
        <v>0.92899500000000002</v>
      </c>
      <c r="T33" s="22">
        <v>0.93624799999999997</v>
      </c>
      <c r="U33" s="22">
        <v>0.89214000000000004</v>
      </c>
      <c r="V33" s="22">
        <v>0.87668500000000005</v>
      </c>
      <c r="W33" s="22">
        <v>0.86866200000000005</v>
      </c>
      <c r="X33" s="22">
        <v>0.93599200000000005</v>
      </c>
      <c r="Y33" s="22">
        <v>0.90028699999999995</v>
      </c>
      <c r="Z33" s="22">
        <v>0.85882899999999995</v>
      </c>
    </row>
    <row r="34" spans="1:26" x14ac:dyDescent="0.35">
      <c r="A34" s="23"/>
      <c r="B34" s="22">
        <v>0.89524700000000001</v>
      </c>
      <c r="C34" s="22">
        <v>0.86299000000000003</v>
      </c>
      <c r="D34" s="22">
        <v>0.78555399999999997</v>
      </c>
      <c r="E34" s="22">
        <v>0.78482700000000005</v>
      </c>
      <c r="F34" s="22">
        <v>0.75815600000000005</v>
      </c>
      <c r="G34" s="22">
        <v>0.97225099999999998</v>
      </c>
      <c r="H34" s="22">
        <v>0.85840399999999994</v>
      </c>
      <c r="I34" s="22">
        <v>0.87762600000000002</v>
      </c>
      <c r="J34" s="22">
        <v>0.868394</v>
      </c>
      <c r="K34" s="22">
        <v>0.78644499999999995</v>
      </c>
      <c r="L34" s="22"/>
      <c r="M34" s="22"/>
      <c r="N34" s="22">
        <v>0.91881599999999997</v>
      </c>
      <c r="O34" s="22">
        <v>0.879857</v>
      </c>
      <c r="P34" s="22">
        <v>0.91535999999999995</v>
      </c>
      <c r="Q34" s="22">
        <v>0.87360099999999996</v>
      </c>
      <c r="R34" s="22">
        <v>0.94236600000000004</v>
      </c>
      <c r="S34" s="22">
        <v>0.85775000000000001</v>
      </c>
      <c r="T34" s="22">
        <v>0.94641399999999998</v>
      </c>
      <c r="U34" s="22">
        <v>0.87749100000000002</v>
      </c>
      <c r="V34" s="22">
        <v>0.85924199999999995</v>
      </c>
      <c r="W34" s="22">
        <v>0.86275400000000002</v>
      </c>
      <c r="X34" s="22">
        <v>0.92274299999999998</v>
      </c>
      <c r="Y34" s="22">
        <v>0.91820500000000005</v>
      </c>
      <c r="Z34" s="22">
        <v>0.84808799999999995</v>
      </c>
    </row>
    <row r="35" spans="1:26" x14ac:dyDescent="0.35">
      <c r="A35" s="23"/>
      <c r="B35" s="22">
        <v>0.89463700000000002</v>
      </c>
      <c r="C35" s="22">
        <v>0.89184300000000005</v>
      </c>
      <c r="D35" s="22">
        <v>0.80632499999999996</v>
      </c>
      <c r="E35" s="22">
        <v>0.79222700000000001</v>
      </c>
      <c r="F35" s="22">
        <v>0.77691699999999997</v>
      </c>
      <c r="G35" s="22">
        <v>0.95695699999999995</v>
      </c>
      <c r="H35" s="22">
        <v>0.91242500000000004</v>
      </c>
      <c r="I35" s="22">
        <v>0.89136800000000005</v>
      </c>
      <c r="J35" s="22">
        <v>0.87811799999999995</v>
      </c>
      <c r="K35" s="22">
        <v>0.78471800000000003</v>
      </c>
      <c r="L35" s="22"/>
      <c r="M35" s="22"/>
      <c r="N35" s="22">
        <v>0.92908500000000005</v>
      </c>
      <c r="O35" s="22">
        <v>0.88339699999999999</v>
      </c>
      <c r="P35" s="22">
        <v>0.91646799999999995</v>
      </c>
      <c r="Q35" s="22">
        <v>0.93544899999999997</v>
      </c>
      <c r="R35" s="22">
        <v>0.94056300000000004</v>
      </c>
      <c r="S35" s="22">
        <v>0.88356400000000002</v>
      </c>
      <c r="T35" s="22">
        <v>0.94917700000000005</v>
      </c>
      <c r="U35" s="22">
        <v>0.88221899999999998</v>
      </c>
      <c r="V35" s="22">
        <v>0.90420400000000001</v>
      </c>
      <c r="W35" s="22">
        <v>0.89890599999999998</v>
      </c>
      <c r="X35" s="22">
        <v>0.947237</v>
      </c>
      <c r="Y35" s="22">
        <v>0.919493</v>
      </c>
      <c r="Z35" s="22">
        <v>0.86808300000000005</v>
      </c>
    </row>
    <row r="36" spans="1:26" x14ac:dyDescent="0.35">
      <c r="A36" s="23"/>
      <c r="B36" s="22">
        <v>0.88152299999999995</v>
      </c>
      <c r="C36" s="22">
        <v>0.93849099999999996</v>
      </c>
      <c r="D36" s="22">
        <v>0.82604599999999995</v>
      </c>
      <c r="E36" s="22">
        <v>0.77221899999999999</v>
      </c>
      <c r="F36" s="22">
        <v>0.80694600000000005</v>
      </c>
      <c r="G36" s="22">
        <v>0.94550900000000004</v>
      </c>
      <c r="H36" s="22">
        <v>0.91866099999999995</v>
      </c>
      <c r="I36" s="22">
        <v>0.88409300000000002</v>
      </c>
      <c r="J36" s="22">
        <v>0.88997800000000005</v>
      </c>
      <c r="K36" s="22">
        <v>0.79352100000000003</v>
      </c>
      <c r="L36" s="22"/>
      <c r="M36" s="22"/>
      <c r="N36" s="22">
        <v>0.92579500000000003</v>
      </c>
      <c r="O36" s="22">
        <v>0.95898099999999997</v>
      </c>
      <c r="P36" s="22">
        <v>0.93990300000000004</v>
      </c>
      <c r="Q36" s="22">
        <v>0.89957900000000002</v>
      </c>
      <c r="R36" s="22">
        <v>0.94325099999999995</v>
      </c>
      <c r="S36" s="22">
        <v>0.924678</v>
      </c>
      <c r="T36" s="22">
        <v>0.95147999999999999</v>
      </c>
      <c r="U36" s="22">
        <v>0.91100599999999998</v>
      </c>
      <c r="V36" s="22">
        <v>0.91816299999999995</v>
      </c>
      <c r="W36" s="22">
        <v>0.87257799999999996</v>
      </c>
      <c r="X36" s="22">
        <v>0.97928099999999996</v>
      </c>
      <c r="Y36" s="22">
        <v>0.92650699999999997</v>
      </c>
      <c r="Z36" s="22">
        <v>0.81500300000000003</v>
      </c>
    </row>
    <row r="37" spans="1:26" x14ac:dyDescent="0.35">
      <c r="A37" s="23" t="s">
        <v>4594</v>
      </c>
      <c r="B37" s="22">
        <v>0.89039000000000001</v>
      </c>
      <c r="C37" s="22">
        <v>0.88902000000000003</v>
      </c>
      <c r="D37" s="22">
        <v>0.80944199999999999</v>
      </c>
      <c r="E37" s="22">
        <v>0.77603</v>
      </c>
      <c r="F37" s="22">
        <v>0.79522599999999999</v>
      </c>
      <c r="G37" s="22">
        <v>0.97684400000000005</v>
      </c>
      <c r="H37" s="22">
        <v>0.90822700000000001</v>
      </c>
      <c r="I37" s="22">
        <v>0.881409</v>
      </c>
      <c r="J37" s="22">
        <v>0.85247899999999999</v>
      </c>
      <c r="K37" s="22">
        <v>0.82555599999999996</v>
      </c>
      <c r="L37" s="22"/>
      <c r="M37" s="22"/>
      <c r="N37" s="22">
        <v>0.91695400000000005</v>
      </c>
      <c r="O37" s="22">
        <v>0.933701</v>
      </c>
      <c r="P37" s="22">
        <v>0.93204900000000002</v>
      </c>
      <c r="Q37" s="22">
        <v>0.93907499999999999</v>
      </c>
      <c r="R37" s="22">
        <v>0.95018100000000005</v>
      </c>
      <c r="S37" s="22">
        <v>0.91399399999999997</v>
      </c>
      <c r="T37" s="22">
        <v>0.93578399999999995</v>
      </c>
      <c r="U37" s="22">
        <v>0.85962300000000003</v>
      </c>
      <c r="V37" s="22">
        <v>0.85074399999999994</v>
      </c>
      <c r="W37" s="22">
        <v>0.86288500000000001</v>
      </c>
      <c r="X37" s="22">
        <v>0.94951399999999997</v>
      </c>
      <c r="Y37" s="22">
        <v>0.90596600000000005</v>
      </c>
      <c r="Z37" s="22">
        <v>0.84228099999999995</v>
      </c>
    </row>
    <row r="38" spans="1:26" x14ac:dyDescent="0.35">
      <c r="A38" s="23"/>
      <c r="B38" s="22">
        <v>0.890517</v>
      </c>
      <c r="C38" s="22">
        <v>0.83982000000000001</v>
      </c>
      <c r="D38" s="22">
        <v>0.763679</v>
      </c>
      <c r="E38" s="22">
        <v>0.77764299999999997</v>
      </c>
      <c r="F38" s="22">
        <v>0.80457500000000004</v>
      </c>
      <c r="G38" s="22">
        <v>0.98240700000000003</v>
      </c>
      <c r="H38" s="22">
        <v>0.90165300000000004</v>
      </c>
      <c r="I38" s="22">
        <v>0.855213</v>
      </c>
      <c r="J38" s="22">
        <v>0.88273599999999997</v>
      </c>
      <c r="K38" s="22">
        <v>0.87265400000000004</v>
      </c>
      <c r="L38" s="22"/>
      <c r="M38" s="22"/>
      <c r="N38" s="22">
        <v>0.93422400000000005</v>
      </c>
      <c r="O38" s="22">
        <v>0.91719099999999998</v>
      </c>
      <c r="P38" s="22">
        <v>0.90251599999999998</v>
      </c>
      <c r="Q38" s="22">
        <v>0.89447600000000005</v>
      </c>
      <c r="R38" s="22">
        <v>0.95133599999999996</v>
      </c>
      <c r="S38" s="22">
        <v>0.89224999999999999</v>
      </c>
      <c r="T38" s="22">
        <v>0.95916400000000002</v>
      </c>
      <c r="U38" s="22">
        <v>0.90139599999999998</v>
      </c>
      <c r="V38" s="22">
        <v>0.83664499999999997</v>
      </c>
      <c r="W38" s="22">
        <v>0.83114100000000002</v>
      </c>
      <c r="X38" s="22">
        <v>0.95014600000000005</v>
      </c>
      <c r="Y38" s="22">
        <v>0.94325899999999996</v>
      </c>
      <c r="Z38" s="22">
        <v>0.83454700000000004</v>
      </c>
    </row>
    <row r="39" spans="1:26" x14ac:dyDescent="0.35">
      <c r="A39" s="23"/>
      <c r="B39" s="22">
        <v>0.91349000000000002</v>
      </c>
      <c r="C39" s="22">
        <v>0.86845899999999998</v>
      </c>
      <c r="D39" s="22">
        <v>0.75716600000000001</v>
      </c>
      <c r="E39" s="22">
        <v>0.750834</v>
      </c>
      <c r="F39" s="22">
        <v>0.82105300000000003</v>
      </c>
      <c r="G39" s="22">
        <v>1.0025660000000001</v>
      </c>
      <c r="H39" s="22">
        <v>0.91795099999999996</v>
      </c>
      <c r="I39" s="22">
        <v>0.86684300000000003</v>
      </c>
      <c r="J39" s="22">
        <v>0.92318100000000003</v>
      </c>
      <c r="K39" s="22">
        <v>0.81646300000000005</v>
      </c>
      <c r="L39" s="22"/>
      <c r="M39" s="22"/>
      <c r="N39" s="22">
        <v>0.94536500000000001</v>
      </c>
      <c r="O39" s="22">
        <v>0.92598100000000005</v>
      </c>
      <c r="P39" s="22">
        <v>0.87429299999999999</v>
      </c>
      <c r="Q39" s="22">
        <v>0.92436099999999999</v>
      </c>
      <c r="R39" s="22">
        <v>0.97702900000000004</v>
      </c>
      <c r="S39" s="22">
        <v>0.92813900000000005</v>
      </c>
      <c r="T39" s="22">
        <v>0.956395</v>
      </c>
      <c r="U39" s="22">
        <v>0.90950799999999998</v>
      </c>
      <c r="V39" s="22">
        <v>0.84213700000000002</v>
      </c>
      <c r="W39" s="22">
        <v>0.82128199999999996</v>
      </c>
      <c r="X39" s="22">
        <v>0.95248100000000002</v>
      </c>
      <c r="Y39" s="22">
        <v>0.93232300000000001</v>
      </c>
      <c r="Z39" s="22">
        <v>0.84620399999999996</v>
      </c>
    </row>
    <row r="40" spans="1:26" x14ac:dyDescent="0.35">
      <c r="A40" s="23" t="s">
        <v>4595</v>
      </c>
      <c r="B40" s="22">
        <v>0.90014099999999997</v>
      </c>
      <c r="C40" s="22">
        <v>0.90560799999999997</v>
      </c>
      <c r="D40" s="22">
        <v>0.786327</v>
      </c>
      <c r="E40" s="22">
        <v>0.77717400000000003</v>
      </c>
      <c r="F40" s="22">
        <v>0.83997599999999994</v>
      </c>
      <c r="G40" s="22">
        <v>0.97913399999999995</v>
      </c>
      <c r="H40" s="22">
        <v>0.93767299999999998</v>
      </c>
      <c r="I40" s="22">
        <v>0.89055499999999999</v>
      </c>
      <c r="J40" s="22">
        <v>0.91927599999999998</v>
      </c>
      <c r="K40" s="22">
        <v>0.82866899999999999</v>
      </c>
      <c r="L40" s="22"/>
      <c r="M40" s="22"/>
      <c r="N40" s="22">
        <v>0.94251499999999999</v>
      </c>
      <c r="O40" s="22">
        <v>0.92329399999999995</v>
      </c>
      <c r="P40" s="22">
        <v>0.91096299999999997</v>
      </c>
      <c r="Q40" s="22">
        <v>0.94147599999999998</v>
      </c>
      <c r="R40" s="22">
        <v>0.99307500000000004</v>
      </c>
      <c r="S40" s="22">
        <v>0.96058299999999996</v>
      </c>
      <c r="T40" s="22">
        <v>0.99080400000000002</v>
      </c>
      <c r="U40" s="22">
        <v>0.92379100000000003</v>
      </c>
      <c r="V40" s="22">
        <v>0.86412199999999995</v>
      </c>
      <c r="W40" s="22">
        <v>0.84839699999999996</v>
      </c>
      <c r="X40" s="22">
        <v>0.96931699999999998</v>
      </c>
      <c r="Y40" s="22">
        <v>0.96001099999999995</v>
      </c>
      <c r="Z40" s="22">
        <v>0.864622</v>
      </c>
    </row>
    <row r="41" spans="1:26" x14ac:dyDescent="0.35">
      <c r="A41" s="23"/>
      <c r="B41" s="22">
        <v>0.89534999999999998</v>
      </c>
      <c r="C41" s="22">
        <v>0.90149900000000005</v>
      </c>
      <c r="D41" s="22">
        <v>0.78896500000000003</v>
      </c>
      <c r="E41" s="22">
        <v>0.75820399999999999</v>
      </c>
      <c r="F41" s="22">
        <v>0.90052100000000002</v>
      </c>
      <c r="G41" s="22">
        <v>0.98929299999999998</v>
      </c>
      <c r="H41" s="22">
        <v>0.91569199999999995</v>
      </c>
      <c r="I41" s="22">
        <v>0.88609099999999996</v>
      </c>
      <c r="J41" s="22">
        <v>0.90604099999999999</v>
      </c>
      <c r="K41" s="22">
        <v>0.80030000000000001</v>
      </c>
      <c r="L41" s="22"/>
      <c r="M41" s="22"/>
      <c r="N41" s="22">
        <v>0.94025599999999998</v>
      </c>
      <c r="O41" s="22">
        <v>0.96436299999999997</v>
      </c>
      <c r="P41" s="22">
        <v>0.90261899999999995</v>
      </c>
      <c r="Q41" s="22">
        <v>0.89477200000000001</v>
      </c>
      <c r="R41" s="22">
        <v>0.96025700000000003</v>
      </c>
      <c r="S41" s="22">
        <v>0.88519700000000001</v>
      </c>
      <c r="T41" s="22">
        <v>0.96173200000000003</v>
      </c>
      <c r="U41" s="22">
        <v>0.90788199999999997</v>
      </c>
      <c r="V41" s="22">
        <v>0.87292700000000001</v>
      </c>
      <c r="W41" s="22">
        <v>0.83738500000000005</v>
      </c>
      <c r="X41" s="22">
        <v>0.96668600000000005</v>
      </c>
      <c r="Y41" s="22">
        <v>0.95870299999999997</v>
      </c>
      <c r="Z41" s="22">
        <v>0.90525299999999997</v>
      </c>
    </row>
    <row r="42" spans="1:26" x14ac:dyDescent="0.35">
      <c r="A42" s="23"/>
      <c r="B42" s="22">
        <v>0.92285499999999998</v>
      </c>
      <c r="C42" s="22">
        <v>0.94424300000000005</v>
      </c>
      <c r="D42" s="22">
        <v>0.78419000000000005</v>
      </c>
      <c r="E42" s="22">
        <v>0.78902000000000005</v>
      </c>
      <c r="F42" s="22">
        <v>0.90644999999999998</v>
      </c>
      <c r="G42" s="22">
        <v>0.99783100000000002</v>
      </c>
      <c r="H42" s="22">
        <v>0.93083899999999997</v>
      </c>
      <c r="I42" s="22">
        <v>0.89042299999999996</v>
      </c>
      <c r="J42" s="22">
        <v>0.93200899999999998</v>
      </c>
      <c r="K42" s="22">
        <v>0.82355599999999995</v>
      </c>
      <c r="L42" s="22"/>
      <c r="M42" s="22"/>
      <c r="N42" s="22">
        <v>0.94860100000000003</v>
      </c>
      <c r="O42" s="22">
        <v>0.94942300000000002</v>
      </c>
      <c r="P42" s="22">
        <v>0.94272400000000001</v>
      </c>
      <c r="Q42" s="22">
        <v>0.915628</v>
      </c>
      <c r="R42" s="22">
        <v>0.96406899999999995</v>
      </c>
      <c r="S42" s="22">
        <v>0.91547500000000004</v>
      </c>
      <c r="T42" s="22">
        <v>0.96145199999999997</v>
      </c>
      <c r="U42" s="22">
        <v>0.92053399999999996</v>
      </c>
      <c r="V42" s="22">
        <v>0.88416399999999995</v>
      </c>
      <c r="W42" s="22">
        <v>0.90529400000000004</v>
      </c>
      <c r="X42" s="22">
        <v>0.97888200000000003</v>
      </c>
      <c r="Y42" s="22">
        <v>0.96829399999999999</v>
      </c>
      <c r="Z42" s="22">
        <v>0.88802599999999998</v>
      </c>
    </row>
    <row r="43" spans="1:26" x14ac:dyDescent="0.35">
      <c r="A43" s="23"/>
      <c r="B43" s="22">
        <v>0.90507000000000004</v>
      </c>
      <c r="C43" s="22">
        <v>0.97813700000000003</v>
      </c>
      <c r="D43" s="22">
        <v>0.846302</v>
      </c>
      <c r="E43" s="22">
        <v>0.78662799999999999</v>
      </c>
      <c r="F43" s="22">
        <v>0.95144799999999996</v>
      </c>
      <c r="G43" s="22">
        <v>1.0146470000000001</v>
      </c>
      <c r="H43" s="22">
        <v>0.957237</v>
      </c>
      <c r="I43" s="22">
        <v>0.91273400000000005</v>
      </c>
      <c r="J43" s="22">
        <v>0.896374</v>
      </c>
      <c r="K43" s="22">
        <v>0.851549</v>
      </c>
      <c r="L43" s="22"/>
      <c r="M43" s="22"/>
      <c r="N43" s="22">
        <v>0.953129</v>
      </c>
      <c r="O43" s="22">
        <v>0.99870300000000001</v>
      </c>
      <c r="P43" s="22">
        <v>0.96529100000000001</v>
      </c>
      <c r="Q43" s="22">
        <v>0.92928999999999995</v>
      </c>
      <c r="R43" s="22">
        <v>0.97072000000000003</v>
      </c>
      <c r="S43" s="22">
        <v>0.95886899999999997</v>
      </c>
      <c r="T43" s="22">
        <v>0.96767099999999995</v>
      </c>
      <c r="U43" s="22">
        <v>0.89849800000000002</v>
      </c>
      <c r="V43" s="22">
        <v>0.85815300000000005</v>
      </c>
      <c r="W43" s="22">
        <v>0.86219299999999999</v>
      </c>
      <c r="X43" s="22">
        <v>0.97831199999999996</v>
      </c>
      <c r="Y43" s="22">
        <v>0.989008</v>
      </c>
      <c r="Z43" s="22">
        <v>0.90339999999999998</v>
      </c>
    </row>
    <row r="44" spans="1:26" x14ac:dyDescent="0.35">
      <c r="A44" s="23" t="s">
        <v>4596</v>
      </c>
      <c r="B44" s="22">
        <v>0.91491699999999998</v>
      </c>
      <c r="C44" s="22">
        <v>0.96119699999999997</v>
      </c>
      <c r="D44" s="22">
        <v>0.80252699999999999</v>
      </c>
      <c r="E44" s="22">
        <v>0.76346000000000003</v>
      </c>
      <c r="F44" s="22">
        <v>0.9526</v>
      </c>
      <c r="G44" s="22">
        <v>0.99624999999999997</v>
      </c>
      <c r="H44" s="22">
        <v>0.93581199999999998</v>
      </c>
      <c r="I44" s="22">
        <v>0.88098399999999999</v>
      </c>
      <c r="J44" s="22">
        <v>0.88427900000000004</v>
      </c>
      <c r="K44" s="22">
        <v>0.82169800000000004</v>
      </c>
      <c r="L44" s="22"/>
      <c r="M44" s="22"/>
      <c r="N44" s="22">
        <v>0.94565200000000005</v>
      </c>
      <c r="O44" s="22">
        <v>0.990178</v>
      </c>
      <c r="P44" s="22">
        <v>0.934917</v>
      </c>
      <c r="Q44" s="22">
        <v>0.91389500000000001</v>
      </c>
      <c r="R44" s="22">
        <v>0.93970600000000004</v>
      </c>
      <c r="S44" s="22">
        <v>0.89793400000000001</v>
      </c>
      <c r="T44" s="22">
        <v>0.94314399999999998</v>
      </c>
      <c r="U44" s="22">
        <v>0.91721200000000003</v>
      </c>
      <c r="V44" s="22">
        <v>0.85808899999999999</v>
      </c>
      <c r="W44" s="22">
        <v>0.84919299999999998</v>
      </c>
      <c r="X44" s="22">
        <v>0.97812600000000005</v>
      </c>
      <c r="Y44" s="22">
        <v>0.97767099999999996</v>
      </c>
      <c r="Z44" s="22">
        <v>0.87663199999999997</v>
      </c>
    </row>
    <row r="45" spans="1:26" x14ac:dyDescent="0.35">
      <c r="A45" s="23"/>
      <c r="B45" s="22">
        <v>0.87510600000000005</v>
      </c>
      <c r="C45" s="22">
        <v>0.94500099999999998</v>
      </c>
      <c r="D45" s="22">
        <v>0.79571899999999995</v>
      </c>
      <c r="E45" s="22">
        <v>0.77908599999999995</v>
      </c>
      <c r="F45" s="22">
        <v>0.93556300000000003</v>
      </c>
      <c r="G45" s="22">
        <v>1.0126900000000001</v>
      </c>
      <c r="H45" s="22">
        <v>0.92889299999999997</v>
      </c>
      <c r="I45" s="22">
        <v>0.85419900000000004</v>
      </c>
      <c r="J45" s="22">
        <v>0.89738899999999999</v>
      </c>
      <c r="K45" s="22">
        <v>0.80332999999999999</v>
      </c>
      <c r="L45" s="22"/>
      <c r="M45" s="22"/>
      <c r="N45" s="22">
        <v>0.96123099999999995</v>
      </c>
      <c r="O45" s="22">
        <v>0.97013099999999997</v>
      </c>
      <c r="P45" s="22">
        <v>0.93381599999999998</v>
      </c>
      <c r="Q45" s="22">
        <v>0.92386299999999999</v>
      </c>
      <c r="R45" s="22">
        <v>0.93382799999999999</v>
      </c>
      <c r="S45" s="22">
        <v>0.90511200000000003</v>
      </c>
      <c r="T45" s="22">
        <v>0.91049400000000003</v>
      </c>
      <c r="U45" s="22">
        <v>0.89684200000000003</v>
      </c>
      <c r="V45" s="22">
        <v>0.87633000000000005</v>
      </c>
      <c r="W45" s="22">
        <v>0.86605200000000004</v>
      </c>
      <c r="X45" s="22">
        <v>0.96049200000000001</v>
      </c>
      <c r="Y45" s="22">
        <v>0.93023599999999995</v>
      </c>
      <c r="Z45" s="22">
        <v>0.88699600000000001</v>
      </c>
    </row>
    <row r="46" spans="1:26" x14ac:dyDescent="0.35">
      <c r="A46" s="23"/>
      <c r="B46" s="22">
        <v>0.92470600000000003</v>
      </c>
      <c r="C46" s="22">
        <v>0.95897500000000002</v>
      </c>
      <c r="D46" s="22">
        <v>0.79295300000000002</v>
      </c>
      <c r="E46" s="22">
        <v>0.77136099999999996</v>
      </c>
      <c r="F46" s="22">
        <v>0.946245</v>
      </c>
      <c r="G46" s="22">
        <v>1.005986</v>
      </c>
      <c r="H46" s="22">
        <v>0.949542</v>
      </c>
      <c r="I46" s="22">
        <v>0.89513100000000001</v>
      </c>
      <c r="J46" s="22">
        <v>0.875996</v>
      </c>
      <c r="K46" s="22">
        <v>0.80620599999999998</v>
      </c>
      <c r="L46" s="22"/>
      <c r="M46" s="22"/>
      <c r="N46" s="22">
        <v>0.98126899999999995</v>
      </c>
      <c r="O46" s="22">
        <v>0.95868500000000001</v>
      </c>
      <c r="P46" s="22">
        <v>0.92818199999999995</v>
      </c>
      <c r="Q46" s="22">
        <v>0.95794500000000005</v>
      </c>
      <c r="R46" s="22">
        <v>0.98874899999999999</v>
      </c>
      <c r="S46" s="22">
        <v>0.93204200000000004</v>
      </c>
      <c r="T46" s="22">
        <v>0.97333099999999995</v>
      </c>
      <c r="U46" s="22">
        <v>0.91576299999999999</v>
      </c>
      <c r="V46" s="22">
        <v>0.87642200000000003</v>
      </c>
      <c r="W46" s="22">
        <v>0.85077100000000005</v>
      </c>
      <c r="X46" s="22">
        <v>0.99109800000000003</v>
      </c>
      <c r="Y46" s="22">
        <v>0.964754</v>
      </c>
      <c r="Z46" s="22">
        <v>0.90517999999999998</v>
      </c>
    </row>
    <row r="47" spans="1:26" x14ac:dyDescent="0.35">
      <c r="A47" s="23" t="s">
        <v>4597</v>
      </c>
      <c r="B47" s="22">
        <v>0.90123200000000003</v>
      </c>
      <c r="C47" s="22">
        <v>0.91549599999999998</v>
      </c>
      <c r="D47" s="22">
        <v>0.80788199999999999</v>
      </c>
      <c r="E47" s="22">
        <v>0.78183400000000003</v>
      </c>
      <c r="F47" s="22">
        <v>0.92169599999999996</v>
      </c>
      <c r="G47" s="22">
        <v>0.97498200000000002</v>
      </c>
      <c r="H47" s="22">
        <v>0.92817099999999997</v>
      </c>
      <c r="I47" s="22">
        <v>0.87253700000000001</v>
      </c>
      <c r="J47" s="22">
        <v>0.92727499999999996</v>
      </c>
      <c r="K47" s="22">
        <v>0.82672100000000004</v>
      </c>
      <c r="L47" s="22"/>
      <c r="M47" s="22"/>
      <c r="N47" s="22">
        <v>0.96936999999999995</v>
      </c>
      <c r="O47" s="22">
        <v>0.93940100000000004</v>
      </c>
      <c r="P47" s="22">
        <v>0.93687600000000004</v>
      </c>
      <c r="Q47" s="22">
        <v>0.95168699999999995</v>
      </c>
      <c r="R47" s="22">
        <v>0.94414699999999996</v>
      </c>
      <c r="S47" s="22">
        <v>0.87720200000000004</v>
      </c>
      <c r="T47" s="22">
        <v>0.94623900000000005</v>
      </c>
      <c r="U47" s="22">
        <v>0.92044400000000004</v>
      </c>
      <c r="V47" s="22">
        <v>0.880888</v>
      </c>
      <c r="W47" s="22">
        <v>0.92436399999999996</v>
      </c>
      <c r="X47" s="22">
        <v>1.0194000000000001</v>
      </c>
      <c r="Y47" s="22">
        <v>0.97524200000000005</v>
      </c>
      <c r="Z47" s="22">
        <v>0.94101699999999999</v>
      </c>
    </row>
    <row r="48" spans="1:26" x14ac:dyDescent="0.35">
      <c r="A48" s="23"/>
      <c r="B48" s="22">
        <v>0.92874100000000004</v>
      </c>
      <c r="C48" s="22">
        <v>0.95512900000000001</v>
      </c>
      <c r="D48" s="22">
        <v>0.85072999999999999</v>
      </c>
      <c r="E48" s="22">
        <v>0.76365000000000005</v>
      </c>
      <c r="F48" s="22">
        <v>0.90923699999999996</v>
      </c>
      <c r="G48" s="22">
        <v>0.96882900000000005</v>
      </c>
      <c r="H48" s="22">
        <v>0.91981000000000002</v>
      </c>
      <c r="I48" s="22">
        <v>0.89621700000000004</v>
      </c>
      <c r="J48" s="22">
        <v>0.92369599999999996</v>
      </c>
      <c r="K48" s="22">
        <v>0.87029599999999996</v>
      </c>
      <c r="L48" s="22"/>
      <c r="M48" s="22"/>
      <c r="N48" s="22">
        <v>0.96941200000000005</v>
      </c>
      <c r="O48" s="22">
        <v>0.96869499999999997</v>
      </c>
      <c r="P48" s="22">
        <v>0.936774</v>
      </c>
      <c r="Q48" s="22">
        <v>0.95050400000000002</v>
      </c>
      <c r="R48" s="22">
        <v>0.93570299999999995</v>
      </c>
      <c r="S48" s="22">
        <v>0.91069900000000004</v>
      </c>
      <c r="T48" s="22">
        <v>0.94847199999999998</v>
      </c>
      <c r="U48" s="22">
        <v>0.93713199999999997</v>
      </c>
      <c r="V48" s="22">
        <v>0.91678599999999999</v>
      </c>
      <c r="W48" s="22">
        <v>0.932728</v>
      </c>
      <c r="X48" s="22">
        <v>0.99218499999999998</v>
      </c>
      <c r="Y48" s="22">
        <v>0.97148699999999999</v>
      </c>
      <c r="Z48" s="22">
        <v>0.94110400000000005</v>
      </c>
    </row>
    <row r="49" spans="1:26" x14ac:dyDescent="0.35">
      <c r="A49" s="23"/>
      <c r="B49" s="22">
        <v>0.92211900000000002</v>
      </c>
      <c r="C49" s="22">
        <v>0.97851100000000002</v>
      </c>
      <c r="D49" s="22">
        <v>0.84246799999999999</v>
      </c>
      <c r="E49" s="22">
        <v>0.83135000000000003</v>
      </c>
      <c r="F49" s="22">
        <v>0.94938400000000001</v>
      </c>
      <c r="G49" s="22">
        <v>1.0198149999999999</v>
      </c>
      <c r="H49" s="22">
        <v>0.96185500000000002</v>
      </c>
      <c r="I49" s="22">
        <v>0.907474</v>
      </c>
      <c r="J49" s="22">
        <v>0.94618100000000005</v>
      </c>
      <c r="K49" s="22">
        <v>0.86454399999999998</v>
      </c>
      <c r="L49" s="22"/>
      <c r="M49" s="22"/>
      <c r="N49" s="22">
        <v>0.99044600000000005</v>
      </c>
      <c r="O49" s="22">
        <v>0.96908499999999997</v>
      </c>
      <c r="P49" s="22">
        <v>0.95471799999999996</v>
      </c>
      <c r="Q49" s="22">
        <v>0.94936699999999996</v>
      </c>
      <c r="R49" s="22">
        <v>0.951187</v>
      </c>
      <c r="S49" s="22">
        <v>0.928948</v>
      </c>
      <c r="T49" s="22">
        <v>0.98209400000000002</v>
      </c>
      <c r="U49" s="22">
        <v>0.96088300000000004</v>
      </c>
      <c r="V49" s="22">
        <v>0.91012300000000002</v>
      </c>
      <c r="W49" s="22">
        <v>0.95450599999999997</v>
      </c>
      <c r="X49" s="22">
        <v>0.97035499999999997</v>
      </c>
      <c r="Y49" s="22">
        <v>0.94709100000000002</v>
      </c>
      <c r="Z49" s="22">
        <v>0.88413799999999998</v>
      </c>
    </row>
    <row r="50" spans="1:26" x14ac:dyDescent="0.35">
      <c r="A50" s="23"/>
      <c r="B50" s="22">
        <v>0.93442099999999995</v>
      </c>
      <c r="C50" s="22">
        <v>0.95343100000000003</v>
      </c>
      <c r="D50" s="22">
        <v>0.87597599999999998</v>
      </c>
      <c r="E50" s="22">
        <v>0.81960100000000002</v>
      </c>
      <c r="F50" s="22">
        <v>0.92940699999999998</v>
      </c>
      <c r="G50" s="22">
        <v>1.002872</v>
      </c>
      <c r="H50" s="22">
        <v>0.95897100000000002</v>
      </c>
      <c r="I50" s="22">
        <v>0.87909000000000004</v>
      </c>
      <c r="J50" s="22">
        <v>0.96903300000000003</v>
      </c>
      <c r="K50" s="22">
        <v>0.84129100000000001</v>
      </c>
      <c r="L50" s="22"/>
      <c r="M50" s="22"/>
      <c r="N50" s="22">
        <v>0.989093</v>
      </c>
      <c r="O50" s="22">
        <v>0.95374599999999998</v>
      </c>
      <c r="P50" s="22">
        <v>0.95008800000000004</v>
      </c>
      <c r="Q50" s="22">
        <v>0.96256799999999998</v>
      </c>
      <c r="R50" s="22">
        <v>0.94998099999999996</v>
      </c>
      <c r="S50" s="22">
        <v>0.91915400000000003</v>
      </c>
      <c r="T50" s="22">
        <v>0.95232799999999995</v>
      </c>
      <c r="U50" s="22">
        <v>0.94829300000000005</v>
      </c>
      <c r="V50" s="22">
        <v>0.94828500000000004</v>
      </c>
      <c r="W50" s="22">
        <v>0.94803300000000001</v>
      </c>
      <c r="X50" s="22">
        <v>0.96905799999999997</v>
      </c>
      <c r="Y50" s="22">
        <v>0.96082400000000001</v>
      </c>
      <c r="Z50" s="22">
        <v>0.92148399999999997</v>
      </c>
    </row>
    <row r="51" spans="1:26" x14ac:dyDescent="0.35">
      <c r="A51" s="23" t="s">
        <v>4598</v>
      </c>
      <c r="B51" s="22">
        <v>0.92668399999999995</v>
      </c>
      <c r="C51" s="22">
        <v>0.98598699999999995</v>
      </c>
      <c r="D51" s="22">
        <v>0.87940700000000005</v>
      </c>
      <c r="E51" s="22">
        <v>0.82906000000000002</v>
      </c>
      <c r="F51" s="22">
        <v>0.97359499999999999</v>
      </c>
      <c r="G51" s="22">
        <v>0.96476899999999999</v>
      </c>
      <c r="H51" s="22">
        <v>0.973858</v>
      </c>
      <c r="I51" s="22">
        <v>0.87965700000000002</v>
      </c>
      <c r="J51" s="22">
        <v>0.96278900000000001</v>
      </c>
      <c r="K51" s="22">
        <v>0.86046900000000004</v>
      </c>
      <c r="L51" s="22"/>
      <c r="M51" s="22"/>
      <c r="N51" s="22">
        <v>0.98167800000000005</v>
      </c>
      <c r="O51" s="22">
        <v>0.98264600000000002</v>
      </c>
      <c r="P51" s="22">
        <v>0.95382299999999998</v>
      </c>
      <c r="Q51" s="22">
        <v>0.94279100000000005</v>
      </c>
      <c r="R51" s="22">
        <v>0.91947000000000001</v>
      </c>
      <c r="S51" s="22">
        <v>0.92162500000000003</v>
      </c>
      <c r="T51" s="22">
        <v>0.96473699999999996</v>
      </c>
      <c r="U51" s="22">
        <v>0.96184599999999998</v>
      </c>
      <c r="V51" s="22">
        <v>0.93625999999999998</v>
      </c>
      <c r="W51" s="22">
        <v>0.93165200000000004</v>
      </c>
      <c r="X51" s="22">
        <v>0.96192200000000005</v>
      </c>
      <c r="Y51" s="22">
        <v>0.95129600000000003</v>
      </c>
      <c r="Z51" s="22">
        <v>0.94431500000000002</v>
      </c>
    </row>
    <row r="52" spans="1:26" x14ac:dyDescent="0.35">
      <c r="A52" s="23"/>
      <c r="B52" s="22">
        <v>0.91335900000000003</v>
      </c>
      <c r="C52" s="22">
        <v>0.95707600000000004</v>
      </c>
      <c r="D52" s="22">
        <v>0.89634100000000005</v>
      </c>
      <c r="E52" s="22">
        <v>0.80706900000000004</v>
      </c>
      <c r="F52" s="22">
        <v>0.93548799999999999</v>
      </c>
      <c r="G52" s="22">
        <v>0.96419699999999997</v>
      </c>
      <c r="H52" s="22">
        <v>0.94894999999999996</v>
      </c>
      <c r="I52" s="22">
        <v>0.88391900000000001</v>
      </c>
      <c r="J52" s="22">
        <v>0.99292800000000003</v>
      </c>
      <c r="K52" s="22">
        <v>0.82340899999999995</v>
      </c>
      <c r="L52" s="22"/>
      <c r="M52" s="22"/>
      <c r="N52" s="22">
        <v>0.98659600000000003</v>
      </c>
      <c r="O52" s="22">
        <v>0.96006899999999995</v>
      </c>
      <c r="P52" s="22">
        <v>0.94476700000000002</v>
      </c>
      <c r="Q52" s="22">
        <v>0.92082200000000003</v>
      </c>
      <c r="R52" s="22">
        <v>0.90059999999999996</v>
      </c>
      <c r="S52" s="22">
        <v>0.90284600000000004</v>
      </c>
      <c r="T52" s="22">
        <v>0.94882900000000003</v>
      </c>
      <c r="U52" s="22">
        <v>0.93888799999999994</v>
      </c>
      <c r="V52" s="22">
        <v>0.92225500000000005</v>
      </c>
      <c r="W52" s="22">
        <v>0.94975100000000001</v>
      </c>
      <c r="X52" s="22">
        <v>0.96571399999999996</v>
      </c>
      <c r="Y52" s="22">
        <v>0.96015300000000003</v>
      </c>
      <c r="Z52" s="22">
        <v>0.93880300000000005</v>
      </c>
    </row>
    <row r="53" spans="1:26" x14ac:dyDescent="0.35">
      <c r="A53" s="23"/>
      <c r="B53" s="22">
        <v>0.93871400000000005</v>
      </c>
      <c r="C53" s="22">
        <v>0.98342600000000002</v>
      </c>
      <c r="D53" s="22">
        <v>0.893401</v>
      </c>
      <c r="E53" s="22">
        <v>0.82995399999999997</v>
      </c>
      <c r="F53" s="22">
        <v>0.95602200000000004</v>
      </c>
      <c r="G53" s="22">
        <v>1.005595</v>
      </c>
      <c r="H53" s="22">
        <v>0.938751</v>
      </c>
      <c r="I53" s="22">
        <v>0.91113900000000003</v>
      </c>
      <c r="J53" s="22">
        <v>0.98885800000000001</v>
      </c>
      <c r="K53" s="22">
        <v>0.82513599999999998</v>
      </c>
      <c r="L53" s="22"/>
      <c r="M53" s="22"/>
      <c r="N53" s="22">
        <v>0.97398200000000001</v>
      </c>
      <c r="O53" s="22">
        <v>0.94498499999999996</v>
      </c>
      <c r="P53" s="22">
        <v>0.93018500000000004</v>
      </c>
      <c r="Q53" s="22">
        <v>0.91051800000000005</v>
      </c>
      <c r="R53" s="22">
        <v>0.95170900000000003</v>
      </c>
      <c r="S53" s="22">
        <v>0.91700599999999999</v>
      </c>
      <c r="T53" s="22">
        <v>0.95804500000000004</v>
      </c>
      <c r="U53" s="22">
        <v>0.95331500000000002</v>
      </c>
      <c r="V53" s="22">
        <v>0.90975899999999998</v>
      </c>
      <c r="W53" s="22">
        <v>0.93458200000000002</v>
      </c>
      <c r="X53" s="22">
        <v>0.95706899999999995</v>
      </c>
      <c r="Y53" s="22">
        <v>0.95652000000000004</v>
      </c>
      <c r="Z53" s="22">
        <v>0.93387299999999995</v>
      </c>
    </row>
    <row r="54" spans="1:26" x14ac:dyDescent="0.35">
      <c r="A54" s="23"/>
      <c r="B54" s="22">
        <v>0.93293800000000005</v>
      </c>
      <c r="C54" s="22">
        <v>0.95362400000000003</v>
      </c>
      <c r="D54" s="22">
        <v>0.87383100000000002</v>
      </c>
      <c r="E54" s="22">
        <v>0.83838100000000004</v>
      </c>
      <c r="F54" s="22">
        <v>0.95399500000000004</v>
      </c>
      <c r="G54" s="22">
        <v>0.98772300000000002</v>
      </c>
      <c r="H54" s="22">
        <v>0.92718999999999996</v>
      </c>
      <c r="I54" s="22">
        <v>0.88254100000000002</v>
      </c>
      <c r="J54" s="22">
        <v>0.97542799999999996</v>
      </c>
      <c r="K54" s="22">
        <v>0.810751</v>
      </c>
      <c r="L54" s="22"/>
      <c r="M54" s="22"/>
      <c r="N54" s="22">
        <v>0.94034300000000004</v>
      </c>
      <c r="O54" s="22">
        <v>0.96848400000000001</v>
      </c>
      <c r="P54" s="22">
        <v>0.924342</v>
      </c>
      <c r="Q54" s="22">
        <v>0.90585700000000002</v>
      </c>
      <c r="R54" s="22">
        <v>0.91318299999999997</v>
      </c>
      <c r="S54" s="22">
        <v>0.91824700000000004</v>
      </c>
      <c r="T54" s="22">
        <v>0.95268900000000001</v>
      </c>
      <c r="U54" s="22">
        <v>0.94691199999999998</v>
      </c>
      <c r="V54" s="22">
        <v>0.93335100000000004</v>
      </c>
      <c r="W54" s="22">
        <v>0.91992499999999999</v>
      </c>
      <c r="X54" s="22">
        <v>0.94838699999999998</v>
      </c>
      <c r="Y54" s="22">
        <v>0.94623299999999999</v>
      </c>
      <c r="Z54" s="22">
        <v>0.94909299999999996</v>
      </c>
    </row>
    <row r="55" spans="1:26" x14ac:dyDescent="0.35">
      <c r="A55" s="23" t="s">
        <v>4599</v>
      </c>
      <c r="B55" s="22">
        <v>0.91347900000000004</v>
      </c>
      <c r="C55" s="22">
        <v>0.98357099999999997</v>
      </c>
      <c r="D55" s="22">
        <v>0.84789800000000004</v>
      </c>
      <c r="E55" s="22">
        <v>0.82684299999999999</v>
      </c>
      <c r="F55" s="22">
        <v>0.95604</v>
      </c>
      <c r="G55" s="22">
        <v>0.98982700000000001</v>
      </c>
      <c r="H55" s="22">
        <v>0.944295</v>
      </c>
      <c r="I55" s="22">
        <v>0.90457299999999996</v>
      </c>
      <c r="J55" s="22">
        <v>0.96694899999999995</v>
      </c>
      <c r="K55" s="22">
        <v>0.81929300000000005</v>
      </c>
      <c r="L55" s="22"/>
      <c r="M55" s="22"/>
      <c r="N55" s="22">
        <v>0.91255500000000001</v>
      </c>
      <c r="O55" s="22">
        <v>0.96834399999999998</v>
      </c>
      <c r="P55" s="22">
        <v>0.89927900000000005</v>
      </c>
      <c r="Q55" s="22">
        <v>0.93565699999999996</v>
      </c>
      <c r="R55" s="22">
        <v>0.91229000000000005</v>
      </c>
      <c r="S55" s="22">
        <v>0.92816900000000002</v>
      </c>
      <c r="T55" s="22">
        <v>0.96782599999999996</v>
      </c>
      <c r="U55" s="22">
        <v>0.90853399999999995</v>
      </c>
      <c r="V55" s="22">
        <v>0.94882900000000003</v>
      </c>
      <c r="W55" s="22">
        <v>0.94407200000000002</v>
      </c>
      <c r="X55" s="22">
        <v>0.94525700000000001</v>
      </c>
      <c r="Y55" s="22">
        <v>0.93578799999999995</v>
      </c>
      <c r="Z55" s="22">
        <v>0.93366300000000002</v>
      </c>
    </row>
    <row r="56" spans="1:26" x14ac:dyDescent="0.35">
      <c r="A56" s="23"/>
      <c r="B56" s="22">
        <v>0.92644099999999996</v>
      </c>
      <c r="C56" s="22">
        <v>0.99444900000000003</v>
      </c>
      <c r="D56" s="22">
        <v>0.88277000000000005</v>
      </c>
      <c r="E56" s="22">
        <v>0.85512600000000005</v>
      </c>
      <c r="F56" s="22">
        <v>0.91122899999999996</v>
      </c>
      <c r="G56" s="22">
        <v>0.96517399999999998</v>
      </c>
      <c r="H56" s="22">
        <v>0.94450299999999998</v>
      </c>
      <c r="I56" s="22">
        <v>0.90554299999999999</v>
      </c>
      <c r="J56" s="22">
        <v>0.98470899999999995</v>
      </c>
      <c r="K56" s="22">
        <v>0.83623700000000001</v>
      </c>
      <c r="L56" s="22"/>
      <c r="M56" s="22"/>
      <c r="N56" s="22">
        <v>0.91489399999999999</v>
      </c>
      <c r="O56" s="22">
        <v>0.97907</v>
      </c>
      <c r="P56" s="22">
        <v>0.89143600000000001</v>
      </c>
      <c r="Q56" s="22">
        <v>0.95589199999999996</v>
      </c>
      <c r="R56" s="22">
        <v>0.90880700000000003</v>
      </c>
      <c r="S56" s="22">
        <v>0.92947299999999999</v>
      </c>
      <c r="T56" s="22">
        <v>0.96801300000000001</v>
      </c>
      <c r="U56" s="22">
        <v>0.92826200000000003</v>
      </c>
      <c r="V56" s="22">
        <v>0.93976199999999999</v>
      </c>
      <c r="W56" s="22">
        <v>0.92339599999999999</v>
      </c>
      <c r="X56" s="22">
        <v>0.96792900000000004</v>
      </c>
      <c r="Y56" s="22">
        <v>0.95322399999999996</v>
      </c>
      <c r="Z56" s="22">
        <v>0.97098499999999999</v>
      </c>
    </row>
    <row r="57" spans="1:26" x14ac:dyDescent="0.35">
      <c r="A57" s="23"/>
      <c r="B57" s="22">
        <v>0.93055900000000003</v>
      </c>
      <c r="C57" s="22">
        <v>0.96283099999999999</v>
      </c>
      <c r="D57" s="22">
        <v>0.88308699999999996</v>
      </c>
      <c r="E57" s="22">
        <v>0.89033600000000002</v>
      </c>
      <c r="F57" s="22">
        <v>0.90792099999999998</v>
      </c>
      <c r="G57" s="22">
        <v>0.96768100000000001</v>
      </c>
      <c r="H57" s="22">
        <v>0.94842800000000005</v>
      </c>
      <c r="I57" s="22">
        <v>0.90114000000000005</v>
      </c>
      <c r="J57" s="22">
        <v>0.98713099999999998</v>
      </c>
      <c r="K57" s="22">
        <v>0.85174899999999998</v>
      </c>
      <c r="L57" s="22"/>
      <c r="M57" s="22"/>
      <c r="N57" s="22">
        <v>0.92245699999999997</v>
      </c>
      <c r="O57" s="22">
        <v>0.95397900000000002</v>
      </c>
      <c r="P57" s="22">
        <v>0.87505100000000002</v>
      </c>
      <c r="Q57" s="22">
        <v>0.93240100000000004</v>
      </c>
      <c r="R57" s="22">
        <v>0.94549099999999997</v>
      </c>
      <c r="S57" s="22">
        <v>0.90052600000000005</v>
      </c>
      <c r="T57" s="22">
        <v>0.98047499999999999</v>
      </c>
      <c r="U57" s="22">
        <v>0.90759599999999996</v>
      </c>
      <c r="V57" s="22">
        <v>0.93569999999999998</v>
      </c>
      <c r="W57" s="22">
        <v>0.93247800000000003</v>
      </c>
      <c r="X57" s="22">
        <v>0.95307500000000001</v>
      </c>
      <c r="Y57" s="22">
        <v>0.93061000000000005</v>
      </c>
      <c r="Z57" s="22">
        <v>0.95473399999999997</v>
      </c>
    </row>
    <row r="58" spans="1:26" x14ac:dyDescent="0.35">
      <c r="A58" s="23" t="s">
        <v>4600</v>
      </c>
      <c r="B58" s="22">
        <v>0.91075600000000001</v>
      </c>
      <c r="C58" s="22">
        <v>0.98487100000000005</v>
      </c>
      <c r="D58" s="22">
        <v>0.86623399999999995</v>
      </c>
      <c r="E58" s="22">
        <v>0.87630399999999997</v>
      </c>
      <c r="F58" s="22">
        <v>0.89811700000000005</v>
      </c>
      <c r="G58" s="22">
        <v>0.98492199999999996</v>
      </c>
      <c r="H58" s="22">
        <v>0.95638900000000004</v>
      </c>
      <c r="I58" s="22">
        <v>0.90645500000000001</v>
      </c>
      <c r="J58" s="22">
        <v>0.97589800000000004</v>
      </c>
      <c r="K58" s="22">
        <v>0.84323400000000004</v>
      </c>
      <c r="L58" s="22"/>
      <c r="M58" s="22"/>
      <c r="N58" s="22">
        <v>0.93889400000000001</v>
      </c>
      <c r="O58" s="22">
        <v>0.94781700000000002</v>
      </c>
      <c r="P58" s="22">
        <v>0.87705299999999997</v>
      </c>
      <c r="Q58" s="22">
        <v>0.91773499999999997</v>
      </c>
      <c r="R58" s="22">
        <v>0.93576899999999996</v>
      </c>
      <c r="S58" s="22">
        <v>0.90930100000000003</v>
      </c>
      <c r="T58" s="22">
        <v>0.99166699999999997</v>
      </c>
      <c r="U58" s="22">
        <v>0.91501999999999994</v>
      </c>
      <c r="V58" s="22">
        <v>0.93980600000000003</v>
      </c>
      <c r="W58" s="22">
        <v>0.93942099999999995</v>
      </c>
      <c r="X58" s="22">
        <v>0.97812600000000005</v>
      </c>
      <c r="Y58" s="22">
        <v>0.929979</v>
      </c>
      <c r="Z58" s="22">
        <v>0.97841500000000003</v>
      </c>
    </row>
    <row r="59" spans="1:26" x14ac:dyDescent="0.35">
      <c r="A59" s="23"/>
      <c r="B59" s="22">
        <v>0.93224099999999999</v>
      </c>
      <c r="C59" s="22">
        <v>0.97617900000000002</v>
      </c>
      <c r="D59" s="22">
        <v>0.83485299999999996</v>
      </c>
      <c r="E59" s="22">
        <v>0.86491899999999999</v>
      </c>
      <c r="F59" s="22">
        <v>0.88528700000000005</v>
      </c>
      <c r="G59" s="22">
        <v>0.97923800000000005</v>
      </c>
      <c r="H59" s="22">
        <v>0.94047700000000001</v>
      </c>
      <c r="I59" s="22">
        <v>0.91535699999999998</v>
      </c>
      <c r="J59" s="22">
        <v>0.98468999999999995</v>
      </c>
      <c r="K59" s="22">
        <v>0.85971200000000003</v>
      </c>
      <c r="L59" s="22"/>
      <c r="M59" s="22"/>
      <c r="N59" s="22">
        <v>0.95477599999999996</v>
      </c>
      <c r="O59" s="22">
        <v>0.98661200000000004</v>
      </c>
      <c r="P59" s="22">
        <v>0.86702999999999997</v>
      </c>
      <c r="Q59" s="22">
        <v>0.954515</v>
      </c>
      <c r="R59" s="22">
        <v>0.92545699999999997</v>
      </c>
      <c r="S59" s="22">
        <v>0.90112199999999998</v>
      </c>
      <c r="T59" s="22">
        <v>0.96122799999999997</v>
      </c>
      <c r="U59" s="22">
        <v>0.905389</v>
      </c>
      <c r="V59" s="22">
        <v>0.93204600000000004</v>
      </c>
      <c r="W59" s="22">
        <v>0.91476500000000005</v>
      </c>
      <c r="X59" s="22">
        <v>0.97180299999999997</v>
      </c>
      <c r="Y59" s="22">
        <v>0.95066399999999995</v>
      </c>
      <c r="Z59" s="22">
        <v>0.95363200000000004</v>
      </c>
    </row>
    <row r="60" spans="1:26" x14ac:dyDescent="0.35">
      <c r="A60" s="23"/>
      <c r="B60" s="22">
        <v>0.93375600000000003</v>
      </c>
      <c r="C60" s="22">
        <v>0.97958000000000001</v>
      </c>
      <c r="D60" s="22">
        <v>0.85070999999999997</v>
      </c>
      <c r="E60" s="22">
        <v>0.85144699999999995</v>
      </c>
      <c r="F60" s="22">
        <v>0.87439599999999995</v>
      </c>
      <c r="G60" s="22">
        <v>0.98517999999999994</v>
      </c>
      <c r="H60" s="22">
        <v>0.93567699999999998</v>
      </c>
      <c r="I60" s="22">
        <v>0.90898400000000001</v>
      </c>
      <c r="J60" s="22">
        <v>0.954789</v>
      </c>
      <c r="K60" s="22">
        <v>0.85749600000000004</v>
      </c>
      <c r="L60" s="22"/>
      <c r="M60" s="22"/>
      <c r="N60" s="22">
        <v>0.97089700000000001</v>
      </c>
      <c r="O60" s="22">
        <v>1.0029440000000001</v>
      </c>
      <c r="P60" s="22">
        <v>0.88319199999999998</v>
      </c>
      <c r="Q60" s="22">
        <v>0.98572400000000004</v>
      </c>
      <c r="R60" s="22">
        <v>0.94641500000000001</v>
      </c>
      <c r="S60" s="22">
        <v>0.902536</v>
      </c>
      <c r="T60" s="22">
        <v>1.0033069999999999</v>
      </c>
      <c r="U60" s="22">
        <v>0.92411699999999997</v>
      </c>
      <c r="V60" s="22">
        <v>0.94887100000000002</v>
      </c>
      <c r="W60" s="22">
        <v>0.91745699999999997</v>
      </c>
      <c r="X60" s="22">
        <v>0.94202399999999997</v>
      </c>
      <c r="Y60" s="22">
        <v>0.95354499999999998</v>
      </c>
      <c r="Z60" s="22">
        <v>0.95233500000000004</v>
      </c>
    </row>
    <row r="61" spans="1:26" x14ac:dyDescent="0.35">
      <c r="A61" s="23"/>
      <c r="B61" s="22">
        <v>0.93305300000000002</v>
      </c>
      <c r="C61" s="22">
        <v>0.94965699999999997</v>
      </c>
      <c r="D61" s="22">
        <v>0.873336</v>
      </c>
      <c r="E61" s="22">
        <v>0.81711999999999996</v>
      </c>
      <c r="F61" s="22">
        <v>0.86628000000000005</v>
      </c>
      <c r="G61" s="22">
        <v>0.95622099999999999</v>
      </c>
      <c r="H61" s="22">
        <v>0.93696400000000002</v>
      </c>
      <c r="I61" s="22">
        <v>0.90100499999999994</v>
      </c>
      <c r="J61" s="22">
        <v>0.97795799999999999</v>
      </c>
      <c r="K61" s="22">
        <v>0.86637799999999998</v>
      </c>
      <c r="L61" s="22"/>
      <c r="M61" s="22"/>
      <c r="N61" s="22">
        <v>0.946936</v>
      </c>
      <c r="O61" s="22">
        <v>0.97284199999999998</v>
      </c>
      <c r="P61" s="22">
        <v>0.83850599999999997</v>
      </c>
      <c r="Q61" s="22">
        <v>0.95906499999999995</v>
      </c>
      <c r="R61" s="22">
        <v>0.89712099999999995</v>
      </c>
      <c r="S61" s="22">
        <v>0.91133600000000003</v>
      </c>
      <c r="T61" s="22">
        <v>0.991008</v>
      </c>
      <c r="U61" s="22">
        <v>0.90826300000000004</v>
      </c>
      <c r="V61" s="22">
        <v>0.92212300000000003</v>
      </c>
      <c r="W61" s="22">
        <v>0.89877600000000002</v>
      </c>
      <c r="X61" s="22">
        <v>0.93611200000000006</v>
      </c>
      <c r="Y61" s="22">
        <v>0.91248700000000005</v>
      </c>
      <c r="Z61" s="22">
        <v>0.97022699999999995</v>
      </c>
    </row>
    <row r="62" spans="1:26" x14ac:dyDescent="0.35">
      <c r="A62" s="23" t="s">
        <v>4601</v>
      </c>
      <c r="B62" s="22">
        <v>0.922157</v>
      </c>
      <c r="C62" s="22">
        <v>0.99415799999999999</v>
      </c>
      <c r="D62" s="22">
        <v>0.86512199999999995</v>
      </c>
      <c r="E62" s="22">
        <v>0.90715100000000004</v>
      </c>
      <c r="F62" s="22">
        <v>0.881023</v>
      </c>
      <c r="G62" s="22">
        <v>0.94783099999999998</v>
      </c>
      <c r="H62" s="22">
        <v>0.95334799999999997</v>
      </c>
      <c r="I62" s="22">
        <v>0.91672799999999999</v>
      </c>
      <c r="J62" s="22">
        <v>0.99617</v>
      </c>
      <c r="K62" s="22">
        <v>0.85348100000000005</v>
      </c>
      <c r="L62" s="22"/>
      <c r="M62" s="22"/>
      <c r="N62" s="22">
        <v>0.958067</v>
      </c>
      <c r="O62" s="22">
        <v>1.001576</v>
      </c>
      <c r="P62" s="22">
        <v>0.88267099999999998</v>
      </c>
      <c r="Q62" s="22">
        <v>0.98665400000000003</v>
      </c>
      <c r="R62" s="22">
        <v>0.91495499999999996</v>
      </c>
      <c r="S62" s="22">
        <v>0.931481</v>
      </c>
      <c r="T62" s="22">
        <v>1.0126599999999999</v>
      </c>
      <c r="U62" s="22">
        <v>0.91864999999999997</v>
      </c>
      <c r="V62" s="22">
        <v>0.92535500000000004</v>
      </c>
      <c r="W62" s="22">
        <v>0.92273400000000005</v>
      </c>
      <c r="X62" s="22">
        <v>0.95876499999999998</v>
      </c>
      <c r="Y62" s="22">
        <v>0.92119399999999996</v>
      </c>
      <c r="Z62" s="22">
        <v>0.97146500000000002</v>
      </c>
    </row>
    <row r="63" spans="1:26" x14ac:dyDescent="0.35">
      <c r="A63" s="23"/>
      <c r="B63" s="22">
        <v>0.92282299999999995</v>
      </c>
      <c r="C63" s="22">
        <v>0.973244</v>
      </c>
      <c r="D63" s="22">
        <v>0.87824599999999997</v>
      </c>
      <c r="E63" s="22">
        <v>0.88969399999999998</v>
      </c>
      <c r="F63" s="22">
        <v>0.91288199999999997</v>
      </c>
      <c r="G63" s="22">
        <v>0.94192500000000001</v>
      </c>
      <c r="H63" s="22">
        <v>0.94575100000000001</v>
      </c>
      <c r="I63" s="22">
        <v>0.92422499999999996</v>
      </c>
      <c r="J63" s="22">
        <v>0.977572</v>
      </c>
      <c r="K63" s="22">
        <v>0.85214699999999999</v>
      </c>
      <c r="L63" s="22"/>
      <c r="M63" s="22"/>
      <c r="N63" s="22">
        <v>0.92288700000000001</v>
      </c>
      <c r="O63" s="22">
        <v>0.96014500000000003</v>
      </c>
      <c r="P63" s="22">
        <v>0.89516200000000001</v>
      </c>
      <c r="Q63" s="22">
        <v>0.97787400000000002</v>
      </c>
      <c r="R63" s="22">
        <v>0.88961100000000004</v>
      </c>
      <c r="S63" s="22">
        <v>0.91154999999999997</v>
      </c>
      <c r="T63" s="22">
        <v>1.005709</v>
      </c>
      <c r="U63" s="22">
        <v>0.91474599999999995</v>
      </c>
      <c r="V63" s="22">
        <v>0.91801999999999995</v>
      </c>
      <c r="W63" s="22">
        <v>0.92776700000000001</v>
      </c>
      <c r="X63" s="22">
        <v>0.97392699999999999</v>
      </c>
      <c r="Y63" s="22">
        <v>0.91720699999999999</v>
      </c>
      <c r="Z63" s="22">
        <v>0.96174999999999999</v>
      </c>
    </row>
    <row r="64" spans="1:26" x14ac:dyDescent="0.35">
      <c r="A64" s="23"/>
      <c r="B64" s="22">
        <v>0.91291199999999995</v>
      </c>
      <c r="C64" s="22">
        <v>0.97172400000000003</v>
      </c>
      <c r="D64" s="22">
        <v>0.87138899999999997</v>
      </c>
      <c r="E64" s="22">
        <v>0.88096099999999999</v>
      </c>
      <c r="F64" s="22">
        <v>0.89326399999999995</v>
      </c>
      <c r="G64" s="22">
        <v>0.95143699999999998</v>
      </c>
      <c r="H64" s="22">
        <v>0.96103700000000003</v>
      </c>
      <c r="I64" s="22">
        <v>0.92249700000000001</v>
      </c>
      <c r="J64" s="22">
        <v>0.97769200000000001</v>
      </c>
      <c r="K64" s="22">
        <v>0.81947199999999998</v>
      </c>
      <c r="L64" s="22"/>
      <c r="M64" s="22"/>
      <c r="N64" s="22">
        <v>0.89947500000000002</v>
      </c>
      <c r="O64" s="22">
        <v>0.97645400000000004</v>
      </c>
      <c r="P64" s="22">
        <v>0.86524100000000004</v>
      </c>
      <c r="Q64" s="22">
        <v>0.96837600000000001</v>
      </c>
      <c r="R64" s="22">
        <v>0.92241300000000004</v>
      </c>
      <c r="S64" s="22">
        <v>0.91743200000000003</v>
      </c>
      <c r="T64" s="22">
        <v>0.97902100000000003</v>
      </c>
      <c r="U64" s="22">
        <v>0.91519200000000001</v>
      </c>
      <c r="V64" s="22">
        <v>0.92876700000000001</v>
      </c>
      <c r="W64" s="22">
        <v>0.91517700000000002</v>
      </c>
      <c r="X64" s="22">
        <v>0.95633400000000002</v>
      </c>
      <c r="Y64" s="22">
        <v>0.93023400000000001</v>
      </c>
      <c r="Z64" s="22">
        <v>0.961816</v>
      </c>
    </row>
    <row r="65" spans="1:26" x14ac:dyDescent="0.35">
      <c r="A65" s="23"/>
      <c r="B65" s="22">
        <v>0.91177900000000001</v>
      </c>
      <c r="C65" s="22">
        <v>0.99570000000000003</v>
      </c>
      <c r="D65" s="22">
        <v>0.86652600000000002</v>
      </c>
      <c r="E65" s="22">
        <v>0.87869600000000003</v>
      </c>
      <c r="F65" s="22">
        <v>0.88627599999999995</v>
      </c>
      <c r="G65" s="22">
        <v>0.96043299999999998</v>
      </c>
      <c r="H65" s="22">
        <v>0.96080600000000005</v>
      </c>
      <c r="I65" s="22">
        <v>0.93754700000000002</v>
      </c>
      <c r="J65" s="22">
        <v>0.95440400000000003</v>
      </c>
      <c r="K65" s="22">
        <v>0.84848000000000001</v>
      </c>
      <c r="L65" s="22"/>
      <c r="M65" s="22"/>
      <c r="N65" s="22">
        <v>0.927952</v>
      </c>
      <c r="O65" s="22">
        <v>0.98943199999999998</v>
      </c>
      <c r="P65" s="22">
        <v>0.90709899999999999</v>
      </c>
      <c r="Q65" s="22">
        <v>0.981846</v>
      </c>
      <c r="R65" s="22">
        <v>0.95375399999999999</v>
      </c>
      <c r="S65" s="22">
        <v>0.93021299999999996</v>
      </c>
      <c r="T65" s="22">
        <v>0.97045199999999998</v>
      </c>
      <c r="U65" s="22">
        <v>0.94733699999999998</v>
      </c>
      <c r="V65" s="22">
        <v>0.91533900000000001</v>
      </c>
      <c r="W65" s="22">
        <v>0.92415899999999995</v>
      </c>
      <c r="X65" s="22">
        <v>0.93508000000000002</v>
      </c>
      <c r="Y65" s="22">
        <v>0.93503800000000004</v>
      </c>
      <c r="Z65" s="22">
        <v>0.95772400000000002</v>
      </c>
    </row>
    <row r="66" spans="1:26" x14ac:dyDescent="0.35">
      <c r="A66" s="23" t="s">
        <v>4602</v>
      </c>
      <c r="B66" s="22">
        <v>0.92234700000000003</v>
      </c>
      <c r="C66" s="22">
        <v>0.99161299999999997</v>
      </c>
      <c r="D66" s="22">
        <v>0.88546499999999995</v>
      </c>
      <c r="E66" s="22">
        <v>0.862931</v>
      </c>
      <c r="F66" s="22">
        <v>0.88990100000000005</v>
      </c>
      <c r="G66" s="22">
        <v>0.91640100000000002</v>
      </c>
      <c r="H66" s="22">
        <v>0.94093199999999999</v>
      </c>
      <c r="I66" s="22">
        <v>0.924898</v>
      </c>
      <c r="J66" s="22">
        <v>0.94866399999999995</v>
      </c>
      <c r="K66" s="22">
        <v>0.86182000000000003</v>
      </c>
      <c r="L66" s="22"/>
      <c r="M66" s="22"/>
      <c r="N66" s="22">
        <v>0.93201100000000003</v>
      </c>
      <c r="O66" s="22">
        <v>0.98189300000000002</v>
      </c>
      <c r="P66" s="22">
        <v>0.889961</v>
      </c>
      <c r="Q66" s="22">
        <v>0.97583799999999998</v>
      </c>
      <c r="R66" s="22">
        <v>0.95132399999999995</v>
      </c>
      <c r="S66" s="22">
        <v>0.91850500000000002</v>
      </c>
      <c r="T66" s="22">
        <v>0.95755100000000004</v>
      </c>
      <c r="U66" s="22">
        <v>0.90650900000000001</v>
      </c>
      <c r="V66" s="22">
        <v>0.92476100000000006</v>
      </c>
      <c r="W66" s="22">
        <v>0.92049999999999998</v>
      </c>
      <c r="X66" s="22">
        <v>0.96104000000000001</v>
      </c>
      <c r="Y66" s="22">
        <v>0.95524600000000004</v>
      </c>
      <c r="Z66" s="22">
        <v>0.95372599999999996</v>
      </c>
    </row>
    <row r="67" spans="1:26" x14ac:dyDescent="0.35">
      <c r="A67" s="23"/>
      <c r="B67" s="22">
        <v>0.91569500000000004</v>
      </c>
      <c r="C67" s="22">
        <v>0.96818199999999999</v>
      </c>
      <c r="D67" s="22">
        <v>0.88870499999999997</v>
      </c>
      <c r="E67" s="22">
        <v>0.83493200000000001</v>
      </c>
      <c r="F67" s="22">
        <v>0.89052100000000001</v>
      </c>
      <c r="G67" s="22">
        <v>0.91530999999999996</v>
      </c>
      <c r="H67" s="22">
        <v>0.95653600000000005</v>
      </c>
      <c r="I67" s="22">
        <v>0.904196</v>
      </c>
      <c r="J67" s="22">
        <v>0.94509600000000005</v>
      </c>
      <c r="K67" s="22">
        <v>0.91288499999999995</v>
      </c>
      <c r="L67" s="22"/>
      <c r="M67" s="22"/>
      <c r="N67" s="22">
        <v>0.94611999999999996</v>
      </c>
      <c r="O67" s="22">
        <v>0.93935599999999997</v>
      </c>
      <c r="P67" s="22">
        <v>0.90668400000000005</v>
      </c>
      <c r="Q67" s="22">
        <v>0.96064099999999997</v>
      </c>
      <c r="R67" s="22">
        <v>0.91520500000000005</v>
      </c>
      <c r="S67" s="22">
        <v>0.90847500000000003</v>
      </c>
      <c r="T67" s="22">
        <v>0.97270199999999996</v>
      </c>
      <c r="U67" s="22">
        <v>0.92543200000000003</v>
      </c>
      <c r="V67" s="22">
        <v>0.90720500000000004</v>
      </c>
      <c r="W67" s="22">
        <v>0.90592600000000001</v>
      </c>
      <c r="X67" s="22">
        <v>0.95954799999999996</v>
      </c>
      <c r="Y67" s="22">
        <v>0.94998700000000003</v>
      </c>
      <c r="Z67" s="22">
        <v>0.95687999999999995</v>
      </c>
    </row>
    <row r="68" spans="1:26" x14ac:dyDescent="0.35">
      <c r="A68" s="23"/>
      <c r="B68" s="22">
        <v>0.928871</v>
      </c>
      <c r="C68" s="22">
        <v>0.98957600000000001</v>
      </c>
      <c r="D68" s="22">
        <v>0.89124999999999999</v>
      </c>
      <c r="E68" s="22">
        <v>0.84538000000000002</v>
      </c>
      <c r="F68" s="22">
        <v>0.88537399999999999</v>
      </c>
      <c r="G68" s="22">
        <v>0.91310899999999995</v>
      </c>
      <c r="H68" s="22">
        <v>0.99245799999999995</v>
      </c>
      <c r="I68" s="22">
        <v>0.92895499999999998</v>
      </c>
      <c r="J68" s="22">
        <v>0.97208000000000006</v>
      </c>
      <c r="K68" s="22">
        <v>0.87636199999999997</v>
      </c>
      <c r="L68" s="22"/>
      <c r="M68" s="22"/>
      <c r="N68" s="22">
        <v>0.98055800000000004</v>
      </c>
      <c r="O68" s="22">
        <v>0.964453</v>
      </c>
      <c r="P68" s="22">
        <v>0.90252200000000005</v>
      </c>
      <c r="Q68" s="22">
        <v>0.97726199999999996</v>
      </c>
      <c r="R68" s="22">
        <v>0.95872800000000002</v>
      </c>
      <c r="S68" s="22">
        <v>0.94760299999999997</v>
      </c>
      <c r="T68" s="22">
        <v>0.97358199999999995</v>
      </c>
      <c r="U68" s="22">
        <v>0.90822499999999995</v>
      </c>
      <c r="V68" s="22">
        <v>0.938585</v>
      </c>
      <c r="W68" s="22">
        <v>0.91107700000000003</v>
      </c>
      <c r="X68" s="22">
        <v>0.96286700000000003</v>
      </c>
      <c r="Y68" s="22">
        <v>0.94167100000000004</v>
      </c>
      <c r="Z68" s="22">
        <v>0.96940800000000005</v>
      </c>
    </row>
    <row r="69" spans="1:26" x14ac:dyDescent="0.35">
      <c r="A69" s="23" t="s">
        <v>4603</v>
      </c>
      <c r="B69" s="22">
        <v>0.91272600000000004</v>
      </c>
      <c r="C69" s="22">
        <v>0.97355899999999995</v>
      </c>
      <c r="D69" s="22">
        <v>0.86571399999999998</v>
      </c>
      <c r="E69" s="22">
        <v>0.84923700000000002</v>
      </c>
      <c r="F69" s="22">
        <v>0.90365300000000004</v>
      </c>
      <c r="G69" s="22">
        <v>0.90603900000000004</v>
      </c>
      <c r="H69" s="22">
        <v>0.94977800000000001</v>
      </c>
      <c r="I69" s="22">
        <v>0.87013300000000005</v>
      </c>
      <c r="J69" s="22">
        <v>0.961337</v>
      </c>
      <c r="K69" s="22">
        <v>0.85819599999999996</v>
      </c>
      <c r="L69" s="22"/>
      <c r="M69" s="22"/>
      <c r="N69" s="22">
        <v>0.97689800000000004</v>
      </c>
      <c r="O69" s="22">
        <v>0.96528800000000003</v>
      </c>
      <c r="P69" s="22">
        <v>0.90695599999999998</v>
      </c>
      <c r="Q69" s="22">
        <v>0.96613499999999997</v>
      </c>
      <c r="R69" s="22">
        <v>0.96936500000000003</v>
      </c>
      <c r="S69" s="22">
        <v>0.91756199999999999</v>
      </c>
      <c r="T69" s="22">
        <v>0.93501400000000001</v>
      </c>
      <c r="U69" s="22">
        <v>0.89785800000000004</v>
      </c>
      <c r="V69" s="22">
        <v>0.93046099999999998</v>
      </c>
      <c r="W69" s="22">
        <v>0.92552299999999998</v>
      </c>
      <c r="X69" s="22">
        <v>0.94591099999999995</v>
      </c>
      <c r="Y69" s="22">
        <v>0.92502899999999999</v>
      </c>
      <c r="Z69" s="22">
        <v>0.98745499999999997</v>
      </c>
    </row>
    <row r="70" spans="1:26" x14ac:dyDescent="0.35">
      <c r="A70" s="23"/>
      <c r="B70" s="22">
        <v>0.92562999999999995</v>
      </c>
      <c r="C70" s="22">
        <v>0.99280999999999997</v>
      </c>
      <c r="D70" s="22">
        <v>0.86600900000000003</v>
      </c>
      <c r="E70" s="22">
        <v>0.91326099999999999</v>
      </c>
      <c r="F70" s="22">
        <v>0.95073600000000003</v>
      </c>
      <c r="G70" s="22">
        <v>0.89247299999999996</v>
      </c>
      <c r="H70" s="22">
        <v>0.97135499999999997</v>
      </c>
      <c r="I70" s="22">
        <v>0.902393</v>
      </c>
      <c r="J70" s="22">
        <v>0.97033800000000003</v>
      </c>
      <c r="K70" s="22">
        <v>0.84230499999999997</v>
      </c>
      <c r="L70" s="22"/>
      <c r="M70" s="22"/>
      <c r="N70" s="22">
        <v>0.97240499999999996</v>
      </c>
      <c r="O70" s="22">
        <v>0.98396399999999995</v>
      </c>
      <c r="P70" s="22">
        <v>0.91051400000000005</v>
      </c>
      <c r="Q70" s="22">
        <v>0.98661500000000002</v>
      </c>
      <c r="R70" s="22">
        <v>0.983128</v>
      </c>
      <c r="S70" s="22">
        <v>0.92090399999999994</v>
      </c>
      <c r="T70" s="22">
        <v>0.95719699999999996</v>
      </c>
      <c r="U70" s="22">
        <v>0.90693100000000004</v>
      </c>
      <c r="V70" s="22">
        <v>0.91134199999999999</v>
      </c>
      <c r="W70" s="22">
        <v>0.927427</v>
      </c>
      <c r="X70" s="22">
        <v>0.97002100000000002</v>
      </c>
      <c r="Y70" s="22">
        <v>0.95293300000000003</v>
      </c>
      <c r="Z70" s="22">
        <v>0.95291700000000001</v>
      </c>
    </row>
    <row r="71" spans="1:26" x14ac:dyDescent="0.35">
      <c r="A71" s="23"/>
      <c r="B71" s="22">
        <v>0.89017299999999999</v>
      </c>
      <c r="C71" s="22">
        <v>0.97153299999999998</v>
      </c>
      <c r="D71" s="22">
        <v>0.88378599999999996</v>
      </c>
      <c r="E71" s="22">
        <v>0.89781999999999995</v>
      </c>
      <c r="F71" s="22">
        <v>0.93328299999999997</v>
      </c>
      <c r="G71" s="22">
        <v>0.92972100000000002</v>
      </c>
      <c r="H71" s="22">
        <v>0.96518000000000004</v>
      </c>
      <c r="I71" s="22">
        <v>0.88525100000000001</v>
      </c>
      <c r="J71" s="22">
        <v>0.96810600000000002</v>
      </c>
      <c r="K71" s="22">
        <v>0.82148299999999996</v>
      </c>
      <c r="L71" s="22"/>
      <c r="M71" s="22"/>
      <c r="N71" s="22">
        <v>0.96453999999999995</v>
      </c>
      <c r="O71" s="22">
        <v>0.99168800000000001</v>
      </c>
      <c r="P71" s="22">
        <v>0.91372399999999998</v>
      </c>
      <c r="Q71" s="22">
        <v>0.98142399999999996</v>
      </c>
      <c r="R71" s="22">
        <v>0.98585699999999998</v>
      </c>
      <c r="S71" s="22">
        <v>0.92230299999999998</v>
      </c>
      <c r="T71" s="22">
        <v>0.96952499999999997</v>
      </c>
      <c r="U71" s="22">
        <v>0.904223</v>
      </c>
      <c r="V71" s="22">
        <v>0.91146000000000005</v>
      </c>
      <c r="W71" s="22">
        <v>0.915682</v>
      </c>
      <c r="X71" s="22">
        <v>0.96589000000000003</v>
      </c>
      <c r="Y71" s="22">
        <v>0.94777100000000003</v>
      </c>
      <c r="Z71" s="22">
        <v>0.96092999999999995</v>
      </c>
    </row>
    <row r="72" spans="1:26" x14ac:dyDescent="0.35">
      <c r="A72" s="23"/>
      <c r="B72" s="22">
        <v>0.89655300000000004</v>
      </c>
      <c r="C72" s="22">
        <v>0.97396199999999999</v>
      </c>
      <c r="D72" s="22">
        <v>0.83790600000000004</v>
      </c>
      <c r="E72" s="22">
        <v>0.86966299999999996</v>
      </c>
      <c r="F72" s="22">
        <v>0.90880899999999998</v>
      </c>
      <c r="G72" s="22">
        <v>0.93191500000000005</v>
      </c>
      <c r="H72" s="22">
        <v>0.95329699999999995</v>
      </c>
      <c r="I72" s="22">
        <v>0.91427499999999995</v>
      </c>
      <c r="J72" s="22">
        <v>0.96020700000000003</v>
      </c>
      <c r="K72" s="22">
        <v>0.82404100000000002</v>
      </c>
      <c r="L72" s="22"/>
      <c r="M72" s="22"/>
      <c r="N72" s="22">
        <v>0.95973799999999998</v>
      </c>
      <c r="O72" s="22">
        <v>0.96259899999999998</v>
      </c>
      <c r="P72" s="22">
        <v>0.87884399999999996</v>
      </c>
      <c r="Q72" s="22">
        <v>0.96996899999999997</v>
      </c>
      <c r="R72" s="22">
        <v>0.92452500000000004</v>
      </c>
      <c r="S72" s="22">
        <v>0.91774500000000003</v>
      </c>
      <c r="T72" s="22">
        <v>0.97051299999999996</v>
      </c>
      <c r="U72" s="22">
        <v>0.90898100000000004</v>
      </c>
      <c r="V72" s="22">
        <v>0.92360699999999996</v>
      </c>
      <c r="W72" s="22">
        <v>0.89038499999999998</v>
      </c>
      <c r="X72" s="22">
        <v>0.95683099999999999</v>
      </c>
      <c r="Y72" s="22">
        <v>0.92655600000000005</v>
      </c>
      <c r="Z72" s="22">
        <v>0.94070200000000004</v>
      </c>
    </row>
    <row r="73" spans="1:26" x14ac:dyDescent="0.35">
      <c r="A73" s="23" t="s">
        <v>4604</v>
      </c>
      <c r="B73" s="22">
        <v>0.93598800000000004</v>
      </c>
      <c r="C73" s="22">
        <v>0.96908300000000003</v>
      </c>
      <c r="D73" s="22">
        <v>0.88895000000000002</v>
      </c>
      <c r="E73" s="22">
        <v>0.903304</v>
      </c>
      <c r="F73" s="22">
        <v>0.93325800000000003</v>
      </c>
      <c r="G73" s="22">
        <v>0.94470500000000002</v>
      </c>
      <c r="H73" s="22">
        <v>0.97667400000000004</v>
      </c>
      <c r="I73" s="22">
        <v>0.92686000000000002</v>
      </c>
      <c r="J73" s="22">
        <v>0.95437700000000003</v>
      </c>
      <c r="K73" s="22">
        <v>0.83071600000000001</v>
      </c>
      <c r="L73" s="22"/>
      <c r="M73" s="22"/>
      <c r="N73" s="22">
        <v>0.93008100000000005</v>
      </c>
      <c r="O73" s="22">
        <v>0.95258600000000004</v>
      </c>
      <c r="P73" s="22">
        <v>0.91690499999999997</v>
      </c>
      <c r="Q73" s="22">
        <v>0.98134299999999997</v>
      </c>
      <c r="R73" s="22">
        <v>0.92269000000000001</v>
      </c>
      <c r="S73" s="22">
        <v>0.96037799999999995</v>
      </c>
      <c r="T73" s="22">
        <v>0.98858999999999997</v>
      </c>
      <c r="U73" s="22">
        <v>0.939527</v>
      </c>
      <c r="V73" s="22">
        <v>0.88575999999999999</v>
      </c>
      <c r="W73" s="22">
        <v>0.88699499999999998</v>
      </c>
      <c r="X73" s="22">
        <v>0.92912300000000003</v>
      </c>
      <c r="Y73" s="22">
        <v>0.92429499999999998</v>
      </c>
      <c r="Z73" s="22">
        <v>0.93713299999999999</v>
      </c>
    </row>
    <row r="74" spans="1:26" x14ac:dyDescent="0.35">
      <c r="A74" s="23"/>
      <c r="B74" s="22">
        <v>0.93072299999999997</v>
      </c>
      <c r="C74" s="22">
        <v>0.96559200000000001</v>
      </c>
      <c r="D74" s="22">
        <v>0.85500500000000001</v>
      </c>
      <c r="E74" s="22">
        <v>0.88086600000000004</v>
      </c>
      <c r="F74" s="22">
        <v>0.91231600000000002</v>
      </c>
      <c r="G74" s="22">
        <v>0.959318</v>
      </c>
      <c r="H74" s="22">
        <v>0.97318400000000005</v>
      </c>
      <c r="I74" s="22">
        <v>0.90512899999999996</v>
      </c>
      <c r="J74" s="22">
        <v>0.965306</v>
      </c>
      <c r="K74" s="22">
        <v>0.84603700000000004</v>
      </c>
      <c r="L74" s="22"/>
      <c r="M74" s="22"/>
      <c r="N74" s="22">
        <v>0.93187299999999995</v>
      </c>
      <c r="O74" s="22">
        <v>0.96098700000000004</v>
      </c>
      <c r="P74" s="22">
        <v>0.95431200000000005</v>
      </c>
      <c r="Q74" s="22">
        <v>0.98146</v>
      </c>
      <c r="R74" s="22">
        <v>0.941473</v>
      </c>
      <c r="S74" s="22">
        <v>0.93360299999999996</v>
      </c>
      <c r="T74" s="22">
        <v>0.95386000000000004</v>
      </c>
      <c r="U74" s="22">
        <v>0.95216500000000004</v>
      </c>
      <c r="V74" s="22">
        <v>0.89267399999999997</v>
      </c>
      <c r="W74" s="22">
        <v>0.88363100000000006</v>
      </c>
      <c r="X74" s="22">
        <v>0.92431700000000006</v>
      </c>
      <c r="Y74" s="22">
        <v>0.90646599999999999</v>
      </c>
      <c r="Z74" s="22">
        <v>0.91828799999999999</v>
      </c>
    </row>
    <row r="75" spans="1:26" x14ac:dyDescent="0.35">
      <c r="A75" s="23"/>
      <c r="B75" s="22">
        <v>0.92229300000000003</v>
      </c>
      <c r="C75" s="22">
        <v>0.95821400000000001</v>
      </c>
      <c r="D75" s="22">
        <v>0.77705100000000005</v>
      </c>
      <c r="E75" s="22">
        <v>0.85641500000000004</v>
      </c>
      <c r="F75" s="22">
        <v>0.86875899999999995</v>
      </c>
      <c r="G75" s="22">
        <v>0.95124799999999998</v>
      </c>
      <c r="H75" s="22">
        <v>0.96281399999999995</v>
      </c>
      <c r="I75" s="22">
        <v>0.90975799999999996</v>
      </c>
      <c r="J75" s="22">
        <v>0.97709199999999996</v>
      </c>
      <c r="K75" s="22">
        <v>0.864097</v>
      </c>
      <c r="L75" s="22"/>
      <c r="M75" s="22"/>
      <c r="N75" s="22">
        <v>0.93904500000000002</v>
      </c>
      <c r="O75" s="22">
        <v>0.96561799999999998</v>
      </c>
      <c r="P75" s="22">
        <v>0.92607200000000001</v>
      </c>
      <c r="Q75" s="22">
        <v>0.95660199999999995</v>
      </c>
      <c r="R75" s="22">
        <v>0.95713800000000004</v>
      </c>
      <c r="S75" s="22">
        <v>0.90992799999999996</v>
      </c>
      <c r="T75" s="22">
        <v>0.91879900000000003</v>
      </c>
      <c r="U75" s="22">
        <v>0.947882</v>
      </c>
      <c r="V75" s="22">
        <v>0.88525500000000001</v>
      </c>
      <c r="W75" s="22">
        <v>0.85861799999999999</v>
      </c>
      <c r="X75" s="22">
        <v>0.90865200000000002</v>
      </c>
      <c r="Y75" s="22">
        <v>0.946191</v>
      </c>
      <c r="Z75" s="22">
        <v>0.93691800000000003</v>
      </c>
    </row>
    <row r="76" spans="1:26" x14ac:dyDescent="0.35">
      <c r="A76" s="23" t="s">
        <v>4605</v>
      </c>
      <c r="B76" s="22">
        <v>0.90886400000000001</v>
      </c>
      <c r="C76" s="22">
        <v>0.94910899999999998</v>
      </c>
      <c r="D76" s="22">
        <v>0.78617700000000001</v>
      </c>
      <c r="E76" s="22">
        <v>0.84158299999999997</v>
      </c>
      <c r="F76" s="22">
        <v>0.89300299999999999</v>
      </c>
      <c r="G76" s="22">
        <v>0.92661700000000002</v>
      </c>
      <c r="H76" s="22">
        <v>0.95471899999999998</v>
      </c>
      <c r="I76" s="22">
        <v>0.90710500000000005</v>
      </c>
      <c r="J76" s="22">
        <v>0.95750000000000002</v>
      </c>
      <c r="K76" s="22">
        <v>0.84647499999999998</v>
      </c>
      <c r="L76" s="22"/>
      <c r="M76" s="22"/>
      <c r="N76" s="22">
        <v>0.94972500000000004</v>
      </c>
      <c r="O76" s="22">
        <v>0.95540700000000001</v>
      </c>
      <c r="P76" s="22">
        <v>0.94453200000000004</v>
      </c>
      <c r="Q76" s="22">
        <v>0.93643699999999996</v>
      </c>
      <c r="R76" s="22">
        <v>0.93850999999999996</v>
      </c>
      <c r="S76" s="22">
        <v>0.90639700000000001</v>
      </c>
      <c r="T76" s="22">
        <v>0.91375200000000001</v>
      </c>
      <c r="U76" s="22">
        <v>0.92218</v>
      </c>
      <c r="V76" s="22">
        <v>0.87916700000000003</v>
      </c>
      <c r="W76" s="22">
        <v>0.860792</v>
      </c>
      <c r="X76" s="22">
        <v>0.87773699999999999</v>
      </c>
      <c r="Y76" s="22">
        <v>0.95008999999999999</v>
      </c>
      <c r="Z76" s="22">
        <v>0.92027400000000004</v>
      </c>
    </row>
    <row r="77" spans="1:26" x14ac:dyDescent="0.35">
      <c r="A77" s="23"/>
      <c r="B77" s="22">
        <v>0.92102099999999998</v>
      </c>
      <c r="C77" s="22">
        <v>0.97236900000000004</v>
      </c>
      <c r="D77" s="22">
        <v>0.80797099999999999</v>
      </c>
      <c r="E77" s="22">
        <v>0.84175199999999994</v>
      </c>
      <c r="F77" s="22">
        <v>0.91464699999999999</v>
      </c>
      <c r="G77" s="22">
        <v>0.91205000000000003</v>
      </c>
      <c r="H77" s="22">
        <v>0.95685500000000001</v>
      </c>
      <c r="I77" s="22">
        <v>0.92235100000000003</v>
      </c>
      <c r="J77" s="22">
        <v>0.97123599999999999</v>
      </c>
      <c r="K77" s="22">
        <v>0.85882599999999998</v>
      </c>
      <c r="L77" s="22"/>
      <c r="M77" s="22"/>
      <c r="N77" s="22">
        <v>0.98395200000000005</v>
      </c>
      <c r="O77" s="22">
        <v>0.93361400000000005</v>
      </c>
      <c r="P77" s="22">
        <v>0.92652400000000001</v>
      </c>
      <c r="Q77" s="22">
        <v>0.93997600000000003</v>
      </c>
      <c r="R77" s="22">
        <v>0.96674899999999997</v>
      </c>
      <c r="S77" s="22">
        <v>0.921207</v>
      </c>
      <c r="T77" s="22">
        <v>0.94615000000000005</v>
      </c>
      <c r="U77" s="22">
        <v>0.94880699999999996</v>
      </c>
      <c r="V77" s="22">
        <v>0.87164900000000001</v>
      </c>
      <c r="W77" s="22">
        <v>0.87002599999999997</v>
      </c>
      <c r="X77" s="22">
        <v>0.91866000000000003</v>
      </c>
      <c r="Y77" s="22">
        <v>0.95079999999999998</v>
      </c>
      <c r="Z77" s="22">
        <v>0.91525299999999998</v>
      </c>
    </row>
    <row r="78" spans="1:26" x14ac:dyDescent="0.35">
      <c r="A78" s="23"/>
      <c r="B78" s="22">
        <v>0.91124700000000003</v>
      </c>
      <c r="C78" s="22">
        <v>0.961677</v>
      </c>
      <c r="D78" s="22">
        <v>0.801759</v>
      </c>
      <c r="E78" s="22">
        <v>0.81909799999999999</v>
      </c>
      <c r="F78" s="22">
        <v>0.89529199999999998</v>
      </c>
      <c r="G78" s="22">
        <v>0.92530100000000004</v>
      </c>
      <c r="H78" s="22">
        <v>0.94407200000000002</v>
      </c>
      <c r="I78" s="22">
        <v>0.91046899999999997</v>
      </c>
      <c r="J78" s="22">
        <v>0.96199000000000001</v>
      </c>
      <c r="K78" s="22">
        <v>0.82914100000000002</v>
      </c>
      <c r="L78" s="22"/>
      <c r="M78" s="22"/>
      <c r="N78" s="22">
        <v>0.98633999999999999</v>
      </c>
      <c r="O78" s="22">
        <v>0.94622700000000004</v>
      </c>
      <c r="P78" s="22">
        <v>0.91866400000000004</v>
      </c>
      <c r="Q78" s="22">
        <v>0.93720700000000001</v>
      </c>
      <c r="R78" s="22">
        <v>0.94747899999999996</v>
      </c>
      <c r="S78" s="22">
        <v>0.89995800000000004</v>
      </c>
      <c r="T78" s="22">
        <v>0.91313299999999997</v>
      </c>
      <c r="U78" s="22">
        <v>0.93705700000000003</v>
      </c>
      <c r="V78" s="22">
        <v>0.87694000000000005</v>
      </c>
      <c r="W78" s="22">
        <v>0.85625399999999996</v>
      </c>
      <c r="X78" s="22">
        <v>0.951376</v>
      </c>
      <c r="Y78" s="22">
        <v>0.95117399999999996</v>
      </c>
      <c r="Z78" s="22">
        <v>0.93208999999999997</v>
      </c>
    </row>
    <row r="79" spans="1:26" x14ac:dyDescent="0.35">
      <c r="A79" s="23"/>
      <c r="B79" s="22">
        <v>0.90614700000000004</v>
      </c>
      <c r="C79" s="22">
        <v>0.96298300000000003</v>
      </c>
      <c r="D79" s="22">
        <v>0.77705100000000005</v>
      </c>
      <c r="E79" s="22">
        <v>0.84580500000000003</v>
      </c>
      <c r="F79" s="22">
        <v>0.89552200000000004</v>
      </c>
      <c r="G79" s="22">
        <v>0.93340000000000001</v>
      </c>
      <c r="H79" s="22">
        <v>0.95574899999999996</v>
      </c>
      <c r="I79" s="22">
        <v>0.90710299999999999</v>
      </c>
      <c r="J79" s="22">
        <v>0.94394</v>
      </c>
      <c r="K79" s="22">
        <v>0.86176600000000003</v>
      </c>
      <c r="L79" s="22"/>
      <c r="M79" s="22"/>
      <c r="N79" s="22">
        <v>0.98835899999999999</v>
      </c>
      <c r="O79" s="22">
        <v>0.96854099999999999</v>
      </c>
      <c r="P79" s="22">
        <v>0.97029500000000002</v>
      </c>
      <c r="Q79" s="22">
        <v>0.96207100000000001</v>
      </c>
      <c r="R79" s="22">
        <v>0.946461</v>
      </c>
      <c r="S79" s="22">
        <v>0.91776999999999997</v>
      </c>
      <c r="T79" s="22">
        <v>0.92601299999999998</v>
      </c>
      <c r="U79" s="22">
        <v>0.93335599999999996</v>
      </c>
      <c r="V79" s="22">
        <v>0.867004</v>
      </c>
      <c r="W79" s="22">
        <v>0.88352200000000003</v>
      </c>
      <c r="X79" s="22">
        <v>0.93489699999999998</v>
      </c>
      <c r="Y79" s="22">
        <v>0.94893799999999995</v>
      </c>
      <c r="Z79" s="22">
        <v>0.92195000000000005</v>
      </c>
    </row>
    <row r="80" spans="1:26" x14ac:dyDescent="0.35">
      <c r="A80" s="23" t="s">
        <v>4606</v>
      </c>
      <c r="B80" s="22">
        <v>0.93295600000000001</v>
      </c>
      <c r="C80" s="22">
        <v>0.96033199999999996</v>
      </c>
      <c r="D80" s="22">
        <v>0.79429899999999998</v>
      </c>
      <c r="E80" s="22">
        <v>0.892517</v>
      </c>
      <c r="F80" s="22">
        <v>0.88245600000000002</v>
      </c>
      <c r="G80" s="22">
        <v>0.89906399999999997</v>
      </c>
      <c r="H80" s="22">
        <v>0.943272</v>
      </c>
      <c r="I80" s="22">
        <v>0.89878999999999998</v>
      </c>
      <c r="J80" s="22">
        <v>0.96281799999999995</v>
      </c>
      <c r="K80" s="22">
        <v>0.84815200000000002</v>
      </c>
      <c r="L80" s="22"/>
      <c r="M80" s="22"/>
      <c r="N80" s="22">
        <v>1.004675</v>
      </c>
      <c r="O80" s="22">
        <v>0.98186799999999996</v>
      </c>
      <c r="P80" s="22">
        <v>0.94052000000000002</v>
      </c>
      <c r="Q80" s="22">
        <v>0.93498400000000004</v>
      </c>
      <c r="R80" s="22">
        <v>0.96928000000000003</v>
      </c>
      <c r="S80" s="22">
        <v>0.93061899999999997</v>
      </c>
      <c r="T80" s="22">
        <v>0.91329700000000003</v>
      </c>
      <c r="U80" s="22">
        <v>0.92183499999999996</v>
      </c>
      <c r="V80" s="22">
        <v>0.88775300000000001</v>
      </c>
      <c r="W80" s="22">
        <v>0.88794899999999999</v>
      </c>
      <c r="X80" s="22">
        <v>0.94941500000000001</v>
      </c>
      <c r="Y80" s="22">
        <v>0.937002</v>
      </c>
      <c r="Z80" s="22">
        <v>0.942164</v>
      </c>
    </row>
    <row r="81" spans="1:26" x14ac:dyDescent="0.35">
      <c r="A81" s="23"/>
      <c r="B81" s="22">
        <v>0.93917899999999999</v>
      </c>
      <c r="C81" s="22">
        <v>0.96073799999999998</v>
      </c>
      <c r="D81" s="22">
        <v>0.79361499999999996</v>
      </c>
      <c r="E81" s="22">
        <v>0.87279600000000002</v>
      </c>
      <c r="F81" s="22">
        <v>0.86122799999999999</v>
      </c>
      <c r="G81" s="22">
        <v>0.94713800000000004</v>
      </c>
      <c r="H81" s="22">
        <v>0.93342000000000003</v>
      </c>
      <c r="I81" s="22">
        <v>0.88358499999999995</v>
      </c>
      <c r="J81" s="22">
        <v>0.96095299999999995</v>
      </c>
      <c r="K81" s="22">
        <v>0.85106099999999996</v>
      </c>
      <c r="L81" s="22"/>
      <c r="M81" s="22"/>
      <c r="N81" s="22">
        <v>0.99817400000000001</v>
      </c>
      <c r="O81" s="22">
        <v>0.98760400000000004</v>
      </c>
      <c r="P81" s="22">
        <v>0.96048</v>
      </c>
      <c r="Q81" s="22">
        <v>0.956341</v>
      </c>
      <c r="R81" s="22">
        <v>0.95672999999999997</v>
      </c>
      <c r="S81" s="22">
        <v>0.94233599999999995</v>
      </c>
      <c r="T81" s="22">
        <v>0.91637500000000005</v>
      </c>
      <c r="U81" s="22">
        <v>0.94253600000000004</v>
      </c>
      <c r="V81" s="22">
        <v>0.90618699999999996</v>
      </c>
      <c r="W81" s="22">
        <v>0.89748600000000001</v>
      </c>
      <c r="X81" s="22">
        <v>0.92374999999999996</v>
      </c>
      <c r="Y81" s="22">
        <v>0.89640600000000004</v>
      </c>
      <c r="Z81" s="22">
        <v>0.94227799999999995</v>
      </c>
    </row>
    <row r="82" spans="1:26" x14ac:dyDescent="0.35">
      <c r="A82" s="23"/>
      <c r="B82" s="22">
        <v>0.93174599999999996</v>
      </c>
      <c r="C82" s="22">
        <v>0.95555199999999996</v>
      </c>
      <c r="D82" s="22">
        <v>0.80130500000000005</v>
      </c>
      <c r="E82" s="22">
        <v>0.85220799999999997</v>
      </c>
      <c r="F82" s="22">
        <v>0.86826099999999995</v>
      </c>
      <c r="G82" s="22">
        <v>0.95491899999999996</v>
      </c>
      <c r="H82" s="22">
        <v>0.94152400000000003</v>
      </c>
      <c r="I82" s="22">
        <v>0.883019</v>
      </c>
      <c r="J82" s="22">
        <v>0.98032699999999995</v>
      </c>
      <c r="K82" s="22">
        <v>0.82478399999999996</v>
      </c>
      <c r="L82" s="22"/>
      <c r="M82" s="22"/>
      <c r="N82" s="22">
        <v>0.99129400000000001</v>
      </c>
      <c r="O82" s="22">
        <v>0.98599599999999998</v>
      </c>
      <c r="P82" s="22">
        <v>0.95434099999999999</v>
      </c>
      <c r="Q82" s="22">
        <v>0.96426699999999999</v>
      </c>
      <c r="R82" s="22">
        <v>0.96041500000000002</v>
      </c>
      <c r="S82" s="22">
        <v>0.92516500000000002</v>
      </c>
      <c r="T82" s="22">
        <v>0.93144199999999999</v>
      </c>
      <c r="U82" s="22">
        <v>0.94353100000000001</v>
      </c>
      <c r="V82" s="22">
        <v>0.874641</v>
      </c>
      <c r="W82" s="22">
        <v>0.87498100000000001</v>
      </c>
      <c r="X82" s="22">
        <v>0.91461099999999995</v>
      </c>
      <c r="Y82" s="22">
        <v>0.90185700000000002</v>
      </c>
      <c r="Z82" s="22">
        <v>0.92915000000000003</v>
      </c>
    </row>
    <row r="83" spans="1:26" x14ac:dyDescent="0.35">
      <c r="A83" s="23" t="s">
        <v>4607</v>
      </c>
      <c r="B83" s="22">
        <v>0.91631399999999996</v>
      </c>
      <c r="C83" s="22">
        <v>0.95886700000000002</v>
      </c>
      <c r="D83" s="22">
        <v>0.79201999999999995</v>
      </c>
      <c r="E83" s="22">
        <v>0.82835300000000001</v>
      </c>
      <c r="F83" s="22">
        <v>0.87151999999999996</v>
      </c>
      <c r="G83" s="22">
        <v>0.95156600000000002</v>
      </c>
      <c r="H83" s="22">
        <v>0.91735299999999997</v>
      </c>
      <c r="I83" s="22">
        <v>0.89556800000000003</v>
      </c>
      <c r="J83" s="22">
        <v>0.96060299999999998</v>
      </c>
      <c r="K83" s="22">
        <v>0.85844100000000001</v>
      </c>
      <c r="L83" s="22"/>
      <c r="M83" s="22"/>
      <c r="N83" s="22">
        <v>0.954457</v>
      </c>
      <c r="O83" s="22">
        <v>0.96168699999999996</v>
      </c>
      <c r="P83" s="22">
        <v>0.94223599999999996</v>
      </c>
      <c r="Q83" s="22">
        <v>0.96619100000000002</v>
      </c>
      <c r="R83" s="22">
        <v>0.96328999999999998</v>
      </c>
      <c r="S83" s="22">
        <v>0.910528</v>
      </c>
      <c r="T83" s="22">
        <v>0.89970799999999995</v>
      </c>
      <c r="U83" s="22">
        <v>0.91964199999999996</v>
      </c>
      <c r="V83" s="22">
        <v>0.89346400000000004</v>
      </c>
      <c r="W83" s="22">
        <v>0.87747900000000001</v>
      </c>
      <c r="X83" s="22">
        <v>0.94349400000000005</v>
      </c>
      <c r="Y83" s="22">
        <v>0.94071400000000005</v>
      </c>
      <c r="Z83" s="22">
        <v>0.965194</v>
      </c>
    </row>
    <row r="84" spans="1:26" x14ac:dyDescent="0.35">
      <c r="A84" s="23"/>
      <c r="B84" s="22">
        <v>0.94063799999999997</v>
      </c>
      <c r="C84" s="22">
        <v>0.96951200000000004</v>
      </c>
      <c r="D84" s="22">
        <v>0.82636399999999999</v>
      </c>
      <c r="E84" s="22">
        <v>0.841974</v>
      </c>
      <c r="F84" s="22">
        <v>0.87149299999999996</v>
      </c>
      <c r="G84" s="22">
        <v>0.98982899999999996</v>
      </c>
      <c r="H84" s="22">
        <v>0.98208300000000004</v>
      </c>
      <c r="I84" s="22">
        <v>0.90107999999999999</v>
      </c>
      <c r="J84" s="22">
        <v>0.928531</v>
      </c>
      <c r="K84" s="22">
        <v>0.89369600000000005</v>
      </c>
      <c r="L84" s="22"/>
      <c r="M84" s="22"/>
      <c r="N84" s="22">
        <v>0.95379400000000003</v>
      </c>
      <c r="O84" s="22">
        <v>0.97621999999999998</v>
      </c>
      <c r="P84" s="22">
        <v>0.98923300000000003</v>
      </c>
      <c r="Q84" s="22">
        <v>0.96506800000000004</v>
      </c>
      <c r="R84" s="22">
        <v>0.95712399999999997</v>
      </c>
      <c r="S84" s="22">
        <v>0.94232000000000005</v>
      </c>
      <c r="T84" s="22">
        <v>0.96421900000000005</v>
      </c>
      <c r="U84" s="22">
        <v>0.963287</v>
      </c>
      <c r="V84" s="22">
        <v>0.88415299999999997</v>
      </c>
      <c r="W84" s="22">
        <v>0.83106500000000005</v>
      </c>
      <c r="X84" s="22">
        <v>0.92723900000000004</v>
      </c>
      <c r="Y84" s="22">
        <v>0.95000200000000001</v>
      </c>
      <c r="Z84" s="22">
        <v>0.92666899999999996</v>
      </c>
    </row>
    <row r="85" spans="1:26" x14ac:dyDescent="0.35">
      <c r="A85" s="23"/>
      <c r="B85" s="22">
        <v>0.94820599999999999</v>
      </c>
      <c r="C85" s="22">
        <v>0.92997700000000005</v>
      </c>
      <c r="D85" s="22">
        <v>0.79847500000000005</v>
      </c>
      <c r="E85" s="22">
        <v>0.85092500000000004</v>
      </c>
      <c r="F85" s="22">
        <v>0.82949799999999996</v>
      </c>
      <c r="G85" s="22">
        <v>0.97828599999999999</v>
      </c>
      <c r="H85" s="22">
        <v>0.92275600000000002</v>
      </c>
      <c r="I85" s="22">
        <v>0.88638799999999995</v>
      </c>
      <c r="J85" s="22">
        <v>0.91361400000000004</v>
      </c>
      <c r="K85" s="22">
        <v>0.83131999999999995</v>
      </c>
      <c r="L85" s="22"/>
      <c r="M85" s="22"/>
      <c r="N85" s="22">
        <v>0.93612600000000001</v>
      </c>
      <c r="O85" s="22">
        <v>0.97768100000000002</v>
      </c>
      <c r="P85" s="22">
        <v>0.94320999999999999</v>
      </c>
      <c r="Q85" s="22">
        <v>0.95257800000000004</v>
      </c>
      <c r="R85" s="22">
        <v>0.95199699999999998</v>
      </c>
      <c r="S85" s="22">
        <v>0.90707800000000005</v>
      </c>
      <c r="T85" s="22">
        <v>0.91386400000000001</v>
      </c>
      <c r="U85" s="22">
        <v>0.952654</v>
      </c>
      <c r="V85" s="22">
        <v>0.903833</v>
      </c>
      <c r="W85" s="22">
        <v>0.84433100000000005</v>
      </c>
      <c r="X85" s="22">
        <v>0.91216399999999997</v>
      </c>
      <c r="Y85" s="22">
        <v>0.95099999999999996</v>
      </c>
      <c r="Z85" s="22">
        <v>0.88127999999999995</v>
      </c>
    </row>
    <row r="86" spans="1:26" x14ac:dyDescent="0.35">
      <c r="A86" s="23"/>
      <c r="B86" s="22">
        <v>0.93937899999999996</v>
      </c>
      <c r="C86" s="22">
        <v>0.91212400000000005</v>
      </c>
      <c r="D86" s="22">
        <v>0.81006699999999998</v>
      </c>
      <c r="E86" s="22">
        <v>0.85755499999999996</v>
      </c>
      <c r="F86" s="22">
        <v>0.84295200000000003</v>
      </c>
      <c r="G86" s="22">
        <v>0.98234399999999999</v>
      </c>
      <c r="H86" s="22">
        <v>0.93330900000000006</v>
      </c>
      <c r="I86" s="22">
        <v>0.87854699999999997</v>
      </c>
      <c r="J86" s="22">
        <v>0.94411299999999998</v>
      </c>
      <c r="K86" s="22">
        <v>0.81772999999999996</v>
      </c>
      <c r="L86" s="22"/>
      <c r="M86" s="22"/>
      <c r="N86" s="22">
        <v>0.938612</v>
      </c>
      <c r="O86" s="22">
        <v>0.95246799999999998</v>
      </c>
      <c r="P86" s="22">
        <v>0.94045900000000004</v>
      </c>
      <c r="Q86" s="22">
        <v>0.95941799999999999</v>
      </c>
      <c r="R86" s="22">
        <v>0.97680900000000004</v>
      </c>
      <c r="S86" s="22">
        <v>0.92104900000000001</v>
      </c>
      <c r="T86" s="22">
        <v>0.92584500000000003</v>
      </c>
      <c r="U86" s="22">
        <v>0.95601499999999995</v>
      </c>
      <c r="V86" s="22">
        <v>0.92079500000000003</v>
      </c>
      <c r="W86" s="22">
        <v>0.86445300000000003</v>
      </c>
      <c r="X86" s="22">
        <v>0.93532199999999999</v>
      </c>
      <c r="Y86" s="22">
        <v>0.92030599999999996</v>
      </c>
      <c r="Z86" s="22">
        <v>0.92193700000000001</v>
      </c>
    </row>
    <row r="87" spans="1:26" x14ac:dyDescent="0.35">
      <c r="A87" s="23" t="s">
        <v>4608</v>
      </c>
      <c r="B87" s="22">
        <v>0.92103199999999996</v>
      </c>
      <c r="C87" s="22">
        <v>0.88863300000000001</v>
      </c>
      <c r="D87" s="22">
        <v>0.827484</v>
      </c>
      <c r="E87" s="22">
        <v>0.86084400000000005</v>
      </c>
      <c r="F87" s="22">
        <v>0.83992699999999998</v>
      </c>
      <c r="G87" s="22">
        <v>0.95412699999999995</v>
      </c>
      <c r="H87" s="22">
        <v>0.92635500000000004</v>
      </c>
      <c r="I87" s="22">
        <v>0.86926300000000001</v>
      </c>
      <c r="J87" s="22">
        <v>0.92654300000000001</v>
      </c>
      <c r="K87" s="22">
        <v>0.84315899999999999</v>
      </c>
      <c r="L87" s="22"/>
      <c r="M87" s="22"/>
      <c r="N87" s="22">
        <v>0.96762099999999995</v>
      </c>
      <c r="O87" s="22">
        <v>0.94420000000000004</v>
      </c>
      <c r="P87" s="22">
        <v>0.92606900000000003</v>
      </c>
      <c r="Q87" s="22">
        <v>0.98097199999999996</v>
      </c>
      <c r="R87" s="22">
        <v>0.96003099999999997</v>
      </c>
      <c r="S87" s="22">
        <v>0.92781000000000002</v>
      </c>
      <c r="T87" s="22">
        <v>0.93752199999999997</v>
      </c>
      <c r="U87" s="22">
        <v>0.95543900000000004</v>
      </c>
      <c r="V87" s="22">
        <v>0.895173</v>
      </c>
      <c r="W87" s="22">
        <v>0.853877</v>
      </c>
      <c r="X87" s="22">
        <v>0.92012400000000005</v>
      </c>
      <c r="Y87" s="22">
        <v>0.90865799999999997</v>
      </c>
      <c r="Z87" s="22">
        <v>0.88579600000000003</v>
      </c>
    </row>
    <row r="88" spans="1:26" x14ac:dyDescent="0.35">
      <c r="A88" s="23"/>
      <c r="B88" s="22">
        <v>0.91684500000000002</v>
      </c>
      <c r="C88" s="22">
        <v>0.90089300000000005</v>
      </c>
      <c r="D88" s="22">
        <v>0.79503000000000001</v>
      </c>
      <c r="E88" s="22">
        <v>0.85005399999999998</v>
      </c>
      <c r="F88" s="22">
        <v>0.81410199999999999</v>
      </c>
      <c r="G88" s="22">
        <v>0.943469</v>
      </c>
      <c r="H88" s="22">
        <v>0.941662</v>
      </c>
      <c r="I88" s="22">
        <v>0.88698399999999999</v>
      </c>
      <c r="J88" s="22">
        <v>0.93642199999999998</v>
      </c>
      <c r="K88" s="22">
        <v>0.85636500000000004</v>
      </c>
      <c r="L88" s="22"/>
      <c r="M88" s="22"/>
      <c r="N88" s="22">
        <v>0.91190899999999997</v>
      </c>
      <c r="O88" s="22">
        <v>0.93382699999999996</v>
      </c>
      <c r="P88" s="22">
        <v>0.93337400000000004</v>
      </c>
      <c r="Q88" s="22">
        <v>0.95677299999999998</v>
      </c>
      <c r="R88" s="22">
        <v>0.93718000000000001</v>
      </c>
      <c r="S88" s="22">
        <v>0.89790499999999995</v>
      </c>
      <c r="T88" s="22">
        <v>0.89227299999999998</v>
      </c>
      <c r="U88" s="22">
        <v>0.92030299999999998</v>
      </c>
      <c r="V88" s="22">
        <v>0.86701099999999998</v>
      </c>
      <c r="W88" s="22">
        <v>0.84108499999999997</v>
      </c>
      <c r="X88" s="22">
        <v>0.93042400000000003</v>
      </c>
      <c r="Y88" s="22">
        <v>0.94275900000000001</v>
      </c>
      <c r="Z88" s="22">
        <v>0.92563799999999996</v>
      </c>
    </row>
    <row r="89" spans="1:26" x14ac:dyDescent="0.35">
      <c r="A89" s="23"/>
      <c r="B89" s="22">
        <v>0.92233600000000004</v>
      </c>
      <c r="C89" s="22">
        <v>0.87399499999999997</v>
      </c>
      <c r="D89" s="22">
        <v>0.84577800000000003</v>
      </c>
      <c r="E89" s="22">
        <v>0.81007600000000002</v>
      </c>
      <c r="F89" s="22">
        <v>0.81485700000000005</v>
      </c>
      <c r="G89" s="22">
        <v>0.96267199999999997</v>
      </c>
      <c r="H89" s="22">
        <v>0.96642899999999998</v>
      </c>
      <c r="I89" s="22">
        <v>0.86927699999999997</v>
      </c>
      <c r="J89" s="22">
        <v>0.89707800000000004</v>
      </c>
      <c r="K89" s="22">
        <v>0.83158399999999999</v>
      </c>
      <c r="L89" s="22"/>
      <c r="M89" s="22"/>
      <c r="N89" s="22">
        <v>0.92334700000000003</v>
      </c>
      <c r="O89" s="22">
        <v>0.903223</v>
      </c>
      <c r="P89" s="22">
        <v>0.93694599999999995</v>
      </c>
      <c r="Q89" s="22">
        <v>0.93825800000000004</v>
      </c>
      <c r="R89" s="22">
        <v>0.93076499999999995</v>
      </c>
      <c r="S89" s="22">
        <v>0.900115</v>
      </c>
      <c r="T89" s="22">
        <v>0.91355799999999998</v>
      </c>
      <c r="U89" s="22">
        <v>0.90622899999999995</v>
      </c>
      <c r="V89" s="22">
        <v>0.86578599999999994</v>
      </c>
      <c r="W89" s="22">
        <v>0.81908800000000004</v>
      </c>
      <c r="X89" s="22">
        <v>0.91258700000000004</v>
      </c>
      <c r="Y89" s="22">
        <v>0.92897300000000005</v>
      </c>
      <c r="Z89" s="22">
        <v>0.88306799999999996</v>
      </c>
    </row>
    <row r="91" spans="1:26" x14ac:dyDescent="0.35">
      <c r="A91" t="s">
        <v>4826</v>
      </c>
      <c r="B91">
        <f>AVERAGE(B5:B89)</f>
        <v>0.90950192941176489</v>
      </c>
      <c r="C91" s="48">
        <f t="shared" ref="C91:K91" si="0">AVERAGE(C5:C89)</f>
        <v>0.90534837647058786</v>
      </c>
      <c r="D91" s="48">
        <f t="shared" si="0"/>
        <v>0.81833342352941174</v>
      </c>
      <c r="E91" s="48">
        <f t="shared" si="0"/>
        <v>0.82332961176470576</v>
      </c>
      <c r="F91" s="48">
        <f t="shared" si="0"/>
        <v>0.86442277647058841</v>
      </c>
      <c r="G91" s="48">
        <f t="shared" si="0"/>
        <v>0.96223063529411723</v>
      </c>
      <c r="H91" s="48">
        <f t="shared" si="0"/>
        <v>0.93661323529411755</v>
      </c>
      <c r="I91" s="48">
        <f t="shared" si="0"/>
        <v>0.88153208235294123</v>
      </c>
      <c r="J91" s="48">
        <f t="shared" si="0"/>
        <v>0.92567856470588228</v>
      </c>
      <c r="K91" s="48">
        <f t="shared" si="0"/>
        <v>0.82943375294117683</v>
      </c>
      <c r="N91" s="48">
        <f>AVERAGE(N5:N89)</f>
        <v>0.94470578823529416</v>
      </c>
      <c r="O91" s="48">
        <f t="shared" ref="O91:Z91" si="1">AVERAGE(O5:O89)</f>
        <v>0.9328797529411762</v>
      </c>
      <c r="P91" s="48">
        <f t="shared" si="1"/>
        <v>0.91495747058823529</v>
      </c>
      <c r="Q91" s="48">
        <f t="shared" si="1"/>
        <v>0.93722277647058816</v>
      </c>
      <c r="R91" s="48">
        <f t="shared" si="1"/>
        <v>0.94394249411764675</v>
      </c>
      <c r="S91" s="48">
        <f t="shared" si="1"/>
        <v>0.90665568235294058</v>
      </c>
      <c r="T91" s="48">
        <f t="shared" si="1"/>
        <v>0.93842647058823558</v>
      </c>
      <c r="U91" s="48">
        <f t="shared" si="1"/>
        <v>0.90600161176470573</v>
      </c>
      <c r="V91" s="48">
        <f t="shared" si="1"/>
        <v>0.88655450588235285</v>
      </c>
      <c r="W91" s="48">
        <f t="shared" si="1"/>
        <v>0.87108634117647055</v>
      </c>
      <c r="X91" s="48">
        <f t="shared" si="1"/>
        <v>0.92887258823529417</v>
      </c>
      <c r="Y91" s="48">
        <f t="shared" si="1"/>
        <v>0.93234282352941178</v>
      </c>
      <c r="Z91" s="48">
        <f t="shared" si="1"/>
        <v>0.90748134117647095</v>
      </c>
    </row>
    <row r="92" spans="1:26" x14ac:dyDescent="0.35">
      <c r="A92" t="s">
        <v>4811</v>
      </c>
      <c r="C92">
        <f>_xlfn.T.TEST(B91:K91,N91:Z91,2,2)</f>
        <v>4.4089436420202521E-2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70EC-5583-448B-A09C-A850D6D86729}">
  <dimension ref="A1:AY30"/>
  <sheetViews>
    <sheetView workbookViewId="0">
      <selection activeCell="X19" sqref="X19"/>
    </sheetView>
  </sheetViews>
  <sheetFormatPr defaultRowHeight="14.5" x14ac:dyDescent="0.35"/>
  <sheetData>
    <row r="1" spans="1:51" x14ac:dyDescent="0.35">
      <c r="A1" t="s">
        <v>4744</v>
      </c>
      <c r="B1" t="s">
        <v>4613</v>
      </c>
    </row>
    <row r="2" spans="1:51" ht="16.5" x14ac:dyDescent="0.35">
      <c r="A2" s="19"/>
      <c r="B2" s="19" t="s">
        <v>139</v>
      </c>
      <c r="C2" s="19" t="s">
        <v>4614</v>
      </c>
      <c r="D2" s="19" t="s">
        <v>4615</v>
      </c>
      <c r="E2" s="19" t="s">
        <v>4616</v>
      </c>
      <c r="F2" s="19" t="s">
        <v>4617</v>
      </c>
      <c r="G2" s="19" t="s">
        <v>4618</v>
      </c>
      <c r="H2" s="19" t="s">
        <v>4619</v>
      </c>
      <c r="I2" s="19" t="s">
        <v>4620</v>
      </c>
      <c r="J2" s="19" t="s">
        <v>4621</v>
      </c>
      <c r="K2" s="19" t="s">
        <v>4622</v>
      </c>
      <c r="L2" s="19" t="s">
        <v>4623</v>
      </c>
      <c r="M2" s="19" t="s">
        <v>4624</v>
      </c>
      <c r="N2" s="19" t="s">
        <v>4625</v>
      </c>
      <c r="O2" s="19" t="s">
        <v>4626</v>
      </c>
      <c r="P2" s="19" t="s">
        <v>4627</v>
      </c>
      <c r="Q2" s="19" t="s">
        <v>4628</v>
      </c>
      <c r="R2" s="19" t="s">
        <v>4629</v>
      </c>
      <c r="S2" s="19" t="s">
        <v>4630</v>
      </c>
      <c r="T2" s="19" t="s">
        <v>4631</v>
      </c>
      <c r="U2" s="19"/>
      <c r="V2" s="19"/>
      <c r="W2" s="60" t="s">
        <v>4811</v>
      </c>
    </row>
    <row r="3" spans="1:51" x14ac:dyDescent="0.35">
      <c r="A3" s="19"/>
      <c r="B3" s="24">
        <v>0</v>
      </c>
      <c r="C3" s="25">
        <v>22.1</v>
      </c>
      <c r="D3" s="25">
        <v>24.7</v>
      </c>
      <c r="E3" s="25">
        <v>23.6</v>
      </c>
      <c r="F3" s="25">
        <v>22.9</v>
      </c>
      <c r="G3" s="25">
        <v>24.7</v>
      </c>
      <c r="H3" s="25">
        <v>24.2</v>
      </c>
      <c r="I3" s="25">
        <v>23.8</v>
      </c>
      <c r="J3" s="25">
        <v>24.3</v>
      </c>
      <c r="K3" s="25">
        <v>22.6</v>
      </c>
      <c r="L3" s="25">
        <v>25.5</v>
      </c>
      <c r="M3" s="25">
        <v>21.7</v>
      </c>
      <c r="N3" s="25">
        <v>25</v>
      </c>
      <c r="O3" s="25">
        <v>21</v>
      </c>
      <c r="P3" s="25">
        <v>23</v>
      </c>
      <c r="Q3" s="25">
        <v>22.4</v>
      </c>
      <c r="R3" s="25">
        <v>22.4</v>
      </c>
      <c r="S3" s="31"/>
      <c r="T3" s="25">
        <v>23.9</v>
      </c>
      <c r="U3" s="19"/>
      <c r="V3" s="25"/>
      <c r="W3" s="22">
        <f xml:space="preserve"> _xlfn.T.TEST(C3:T3,C18:V18,2,2)</f>
        <v>6.640213977862211E-2</v>
      </c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30"/>
      <c r="AS3" s="30"/>
      <c r="AT3" s="30"/>
      <c r="AU3" s="30"/>
      <c r="AV3" s="30"/>
      <c r="AW3" s="30"/>
      <c r="AX3" s="30"/>
      <c r="AY3" s="30"/>
    </row>
    <row r="4" spans="1:51" x14ac:dyDescent="0.35">
      <c r="A4" s="19"/>
      <c r="B4" s="24">
        <v>1</v>
      </c>
      <c r="C4" s="25">
        <v>26</v>
      </c>
      <c r="D4" s="25">
        <v>29</v>
      </c>
      <c r="E4" s="25">
        <v>27.2</v>
      </c>
      <c r="F4" s="25">
        <v>27.5</v>
      </c>
      <c r="G4" s="25">
        <v>28.9</v>
      </c>
      <c r="H4" s="25">
        <v>28.5</v>
      </c>
      <c r="I4" s="25"/>
      <c r="J4" s="25"/>
      <c r="K4" s="25"/>
      <c r="L4" s="25"/>
      <c r="M4" s="25">
        <v>24.1</v>
      </c>
      <c r="N4" s="25">
        <v>29.7</v>
      </c>
      <c r="O4" s="25">
        <v>23.5</v>
      </c>
      <c r="P4" s="25">
        <v>26.8</v>
      </c>
      <c r="Q4" s="25">
        <v>24.5</v>
      </c>
      <c r="R4" s="25">
        <v>24.7</v>
      </c>
      <c r="S4" s="25">
        <v>23.3</v>
      </c>
      <c r="T4" s="25">
        <v>24.6</v>
      </c>
      <c r="U4" s="19"/>
      <c r="V4" s="25"/>
      <c r="W4" s="22">
        <f t="shared" ref="W4:W14" si="0" xml:space="preserve"> _xlfn.T.TEST(C4:T4,C19:V19,2,2)</f>
        <v>0.31846684621963162</v>
      </c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30"/>
      <c r="AS4" s="30"/>
      <c r="AT4" s="30"/>
      <c r="AU4" s="30"/>
      <c r="AV4" s="30"/>
      <c r="AW4" s="30"/>
      <c r="AX4" s="30"/>
      <c r="AY4" s="30"/>
    </row>
    <row r="5" spans="1:51" x14ac:dyDescent="0.35">
      <c r="A5" s="19"/>
      <c r="B5" s="24">
        <v>2</v>
      </c>
      <c r="C5" s="25">
        <v>30.4</v>
      </c>
      <c r="D5" s="25">
        <v>32.4</v>
      </c>
      <c r="E5" s="25">
        <v>28.4</v>
      </c>
      <c r="F5" s="25">
        <v>26.9</v>
      </c>
      <c r="G5" s="25">
        <v>30.2</v>
      </c>
      <c r="H5" s="25">
        <v>29.5</v>
      </c>
      <c r="I5" s="25">
        <v>28.4</v>
      </c>
      <c r="J5" s="25">
        <v>26</v>
      </c>
      <c r="K5" s="25">
        <v>27.2</v>
      </c>
      <c r="L5" s="25">
        <v>30.1</v>
      </c>
      <c r="M5" s="25">
        <v>25.9</v>
      </c>
      <c r="N5" s="25">
        <v>31.7</v>
      </c>
      <c r="O5" s="25">
        <v>26.3</v>
      </c>
      <c r="P5" s="25">
        <v>30.1</v>
      </c>
      <c r="Q5" s="25">
        <v>26</v>
      </c>
      <c r="R5" s="25">
        <v>24.8</v>
      </c>
      <c r="S5" s="25">
        <v>25.2</v>
      </c>
      <c r="T5" s="25">
        <v>27</v>
      </c>
      <c r="U5" s="19"/>
      <c r="V5" s="25"/>
      <c r="W5" s="22">
        <f t="shared" si="0"/>
        <v>0.16408970969701822</v>
      </c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30"/>
      <c r="AS5" s="30"/>
      <c r="AT5" s="30"/>
      <c r="AU5" s="30"/>
      <c r="AV5" s="30"/>
      <c r="AW5" s="30"/>
      <c r="AX5" s="30"/>
      <c r="AY5" s="30"/>
    </row>
    <row r="6" spans="1:51" x14ac:dyDescent="0.35">
      <c r="A6" s="19"/>
      <c r="B6" s="24">
        <v>3</v>
      </c>
      <c r="C6" s="25">
        <v>32.4</v>
      </c>
      <c r="D6" s="25">
        <v>33.6</v>
      </c>
      <c r="E6" s="25">
        <v>30.5</v>
      </c>
      <c r="F6" s="25">
        <v>27.6</v>
      </c>
      <c r="G6" s="25">
        <v>31.6</v>
      </c>
      <c r="H6" s="25">
        <v>31.2</v>
      </c>
      <c r="I6" s="25"/>
      <c r="J6" s="25"/>
      <c r="K6" s="25"/>
      <c r="L6" s="25"/>
      <c r="M6" s="25">
        <v>26.5</v>
      </c>
      <c r="N6" s="25">
        <v>34.200000000000003</v>
      </c>
      <c r="O6" s="25">
        <v>25.5</v>
      </c>
      <c r="P6" s="25">
        <v>29.6</v>
      </c>
      <c r="Q6" s="25">
        <v>27.6</v>
      </c>
      <c r="R6" s="25">
        <v>26.2</v>
      </c>
      <c r="S6" s="25">
        <v>27</v>
      </c>
      <c r="T6" s="25">
        <v>29</v>
      </c>
      <c r="U6" s="19"/>
      <c r="V6" s="25"/>
      <c r="W6" s="22">
        <f t="shared" si="0"/>
        <v>0.36330628228057094</v>
      </c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30"/>
      <c r="AS6" s="30"/>
      <c r="AT6" s="30"/>
      <c r="AU6" s="30"/>
      <c r="AV6" s="30"/>
      <c r="AW6" s="30"/>
      <c r="AX6" s="30"/>
      <c r="AY6" s="30"/>
    </row>
    <row r="7" spans="1:51" x14ac:dyDescent="0.35">
      <c r="A7" s="19"/>
      <c r="B7" s="24">
        <v>4</v>
      </c>
      <c r="C7" s="25">
        <v>34.299999999999997</v>
      </c>
      <c r="D7" s="25">
        <v>35.5</v>
      </c>
      <c r="E7" s="25">
        <v>32.5</v>
      </c>
      <c r="F7" s="25">
        <v>29.1</v>
      </c>
      <c r="G7" s="25">
        <v>32.700000000000003</v>
      </c>
      <c r="H7" s="25">
        <v>32.799999999999997</v>
      </c>
      <c r="I7" s="25">
        <v>33</v>
      </c>
      <c r="J7" s="25">
        <v>30.54</v>
      </c>
      <c r="K7" s="25">
        <v>29.9</v>
      </c>
      <c r="L7" s="25">
        <v>33.4</v>
      </c>
      <c r="M7" s="25">
        <v>28.1</v>
      </c>
      <c r="N7" s="25">
        <v>36.5</v>
      </c>
      <c r="O7" s="25">
        <v>27.4</v>
      </c>
      <c r="P7" s="25">
        <v>30.8</v>
      </c>
      <c r="Q7" s="25">
        <v>29.2</v>
      </c>
      <c r="R7" s="25">
        <v>29.8</v>
      </c>
      <c r="S7" s="25">
        <v>28.6</v>
      </c>
      <c r="T7" s="25">
        <v>30.6</v>
      </c>
      <c r="U7" s="19"/>
      <c r="V7" s="25"/>
      <c r="W7" s="22">
        <f t="shared" si="0"/>
        <v>0.30477929298629286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30"/>
      <c r="AS7" s="30"/>
      <c r="AT7" s="30"/>
      <c r="AU7" s="30"/>
      <c r="AV7" s="30"/>
      <c r="AW7" s="30"/>
      <c r="AX7" s="30"/>
      <c r="AY7" s="30"/>
    </row>
    <row r="8" spans="1:51" x14ac:dyDescent="0.35">
      <c r="A8" s="19"/>
      <c r="B8" s="24">
        <v>5</v>
      </c>
      <c r="C8" s="25">
        <v>36.700000000000003</v>
      </c>
      <c r="D8" s="25">
        <v>38</v>
      </c>
      <c r="E8" s="25">
        <v>33.9</v>
      </c>
      <c r="F8" s="25">
        <v>31.8</v>
      </c>
      <c r="G8" s="25">
        <v>34</v>
      </c>
      <c r="H8" s="25">
        <v>33.799999999999997</v>
      </c>
      <c r="I8" s="25"/>
      <c r="J8" s="25"/>
      <c r="K8" s="25"/>
      <c r="L8" s="25"/>
      <c r="M8" s="25">
        <v>30.1</v>
      </c>
      <c r="N8" s="25">
        <v>38.6</v>
      </c>
      <c r="O8" s="25">
        <v>27.8</v>
      </c>
      <c r="P8" s="25">
        <v>31.1</v>
      </c>
      <c r="Q8" s="25">
        <v>30</v>
      </c>
      <c r="R8" s="25">
        <v>31.5</v>
      </c>
      <c r="S8" s="25">
        <v>28.1</v>
      </c>
      <c r="T8" s="25">
        <v>31.1</v>
      </c>
      <c r="U8" s="19"/>
      <c r="V8" s="25"/>
      <c r="W8" s="22">
        <f t="shared" si="0"/>
        <v>0.31610968219624397</v>
      </c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30"/>
      <c r="AS8" s="30"/>
      <c r="AT8" s="30"/>
      <c r="AU8" s="30"/>
      <c r="AV8" s="30"/>
      <c r="AW8" s="30"/>
      <c r="AX8" s="30"/>
      <c r="AY8" s="30"/>
    </row>
    <row r="9" spans="1:51" x14ac:dyDescent="0.35">
      <c r="A9" s="19"/>
      <c r="B9" s="24">
        <v>6</v>
      </c>
      <c r="C9" s="25">
        <v>37.6</v>
      </c>
      <c r="D9" s="25">
        <v>38.799999999999997</v>
      </c>
      <c r="E9" s="25"/>
      <c r="F9" s="25"/>
      <c r="G9" s="25">
        <v>35.1</v>
      </c>
      <c r="H9" s="25">
        <v>34.700000000000003</v>
      </c>
      <c r="I9" s="25">
        <v>34.4</v>
      </c>
      <c r="J9" s="25">
        <v>35.4</v>
      </c>
      <c r="K9" s="25">
        <v>35.6</v>
      </c>
      <c r="L9" s="25">
        <v>35.700000000000003</v>
      </c>
      <c r="M9" s="25">
        <v>31.3</v>
      </c>
      <c r="N9" s="25">
        <v>41.1</v>
      </c>
      <c r="O9" s="25">
        <v>28.7</v>
      </c>
      <c r="P9" s="25">
        <v>31.2</v>
      </c>
      <c r="Q9" s="25">
        <v>31.3</v>
      </c>
      <c r="R9" s="25">
        <v>30.4</v>
      </c>
      <c r="S9" s="25">
        <v>27.2</v>
      </c>
      <c r="T9" s="25">
        <v>31</v>
      </c>
      <c r="U9" s="19"/>
      <c r="V9" s="25"/>
      <c r="W9" s="22">
        <f t="shared" si="0"/>
        <v>0.3515626619163793</v>
      </c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30"/>
      <c r="AS9" s="30"/>
      <c r="AT9" s="30"/>
      <c r="AU9" s="30"/>
      <c r="AV9" s="30"/>
      <c r="AW9" s="30"/>
      <c r="AX9" s="30"/>
      <c r="AY9" s="30"/>
    </row>
    <row r="10" spans="1:51" x14ac:dyDescent="0.35">
      <c r="A10" s="19"/>
      <c r="B10" s="24">
        <v>7</v>
      </c>
      <c r="C10" s="25">
        <v>38.5</v>
      </c>
      <c r="D10" s="25">
        <v>40.4</v>
      </c>
      <c r="E10" s="25">
        <v>34.299999999999997</v>
      </c>
      <c r="F10" s="25">
        <v>32.5</v>
      </c>
      <c r="G10" s="25">
        <v>36.200000000000003</v>
      </c>
      <c r="H10" s="25">
        <v>36.1</v>
      </c>
      <c r="I10" s="25"/>
      <c r="J10" s="25"/>
      <c r="K10" s="25"/>
      <c r="L10" s="25"/>
      <c r="M10" s="25">
        <v>32.1</v>
      </c>
      <c r="N10" s="25">
        <v>42.8</v>
      </c>
      <c r="O10" s="25">
        <v>30.4</v>
      </c>
      <c r="P10" s="25">
        <v>33</v>
      </c>
      <c r="Q10" s="25">
        <v>32.700000000000003</v>
      </c>
      <c r="R10" s="25">
        <v>32.200000000000003</v>
      </c>
      <c r="S10" s="25">
        <v>29.1</v>
      </c>
      <c r="T10" s="25">
        <v>32.5</v>
      </c>
      <c r="U10" s="19"/>
      <c r="V10" s="25"/>
      <c r="W10" s="22">
        <f t="shared" si="0"/>
        <v>0.21910543976934396</v>
      </c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30"/>
      <c r="AS10" s="30"/>
      <c r="AT10" s="30"/>
      <c r="AU10" s="30"/>
      <c r="AV10" s="30"/>
      <c r="AW10" s="30"/>
      <c r="AX10" s="30"/>
      <c r="AY10" s="30"/>
    </row>
    <row r="11" spans="1:51" x14ac:dyDescent="0.35">
      <c r="A11" s="19"/>
      <c r="B11" s="24">
        <v>8</v>
      </c>
      <c r="C11" s="25">
        <v>38.4</v>
      </c>
      <c r="D11" s="25">
        <v>41.3</v>
      </c>
      <c r="E11" s="25">
        <v>37.200000000000003</v>
      </c>
      <c r="F11" s="25">
        <v>35.799999999999997</v>
      </c>
      <c r="G11" s="25">
        <v>36.9</v>
      </c>
      <c r="H11" s="25">
        <v>36.6</v>
      </c>
      <c r="I11" s="25">
        <v>35.299999999999997</v>
      </c>
      <c r="J11" s="25">
        <v>37.700000000000003</v>
      </c>
      <c r="K11" s="25">
        <v>39</v>
      </c>
      <c r="L11" s="25">
        <v>38</v>
      </c>
      <c r="M11" s="25">
        <v>33.6</v>
      </c>
      <c r="N11" s="25">
        <v>44.6</v>
      </c>
      <c r="O11" s="25">
        <v>31.5</v>
      </c>
      <c r="P11" s="25">
        <v>33</v>
      </c>
      <c r="Q11" s="25">
        <v>35.6</v>
      </c>
      <c r="R11" s="25">
        <v>33.9</v>
      </c>
      <c r="S11" s="25">
        <v>31.3</v>
      </c>
      <c r="T11" s="25">
        <v>33.799999999999997</v>
      </c>
      <c r="U11" s="19"/>
      <c r="V11" s="25"/>
      <c r="W11" s="22">
        <f t="shared" si="0"/>
        <v>0.11920189916507809</v>
      </c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30"/>
      <c r="AS11" s="30"/>
      <c r="AT11" s="30"/>
      <c r="AU11" s="30"/>
      <c r="AV11" s="30"/>
      <c r="AW11" s="30"/>
      <c r="AX11" s="30"/>
      <c r="AY11" s="30"/>
    </row>
    <row r="12" spans="1:51" x14ac:dyDescent="0.35">
      <c r="A12" s="19"/>
      <c r="B12" s="24">
        <v>9</v>
      </c>
      <c r="C12" s="25">
        <v>38.4</v>
      </c>
      <c r="D12" s="25">
        <v>41.9</v>
      </c>
      <c r="E12" s="25">
        <v>39.799999999999997</v>
      </c>
      <c r="F12" s="25">
        <v>37.200000000000003</v>
      </c>
      <c r="G12" s="25">
        <v>37.9</v>
      </c>
      <c r="H12" s="25">
        <v>38.1</v>
      </c>
      <c r="I12" s="25">
        <v>36.6</v>
      </c>
      <c r="J12" s="25">
        <v>38.299999999999997</v>
      </c>
      <c r="K12" s="25">
        <v>39.1</v>
      </c>
      <c r="L12" s="25">
        <v>39.4</v>
      </c>
      <c r="M12" s="25">
        <v>35</v>
      </c>
      <c r="N12" s="25">
        <v>45.5</v>
      </c>
      <c r="O12" s="25">
        <v>31.7</v>
      </c>
      <c r="P12" s="25">
        <v>33.4</v>
      </c>
      <c r="Q12" s="25">
        <v>38.1</v>
      </c>
      <c r="R12" s="25">
        <v>35.4</v>
      </c>
      <c r="S12" s="25">
        <v>33.9</v>
      </c>
      <c r="T12" s="25">
        <v>35.1</v>
      </c>
      <c r="U12" s="19"/>
      <c r="V12" s="25"/>
      <c r="W12" s="22">
        <f t="shared" si="0"/>
        <v>4.61582606993068E-2</v>
      </c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30"/>
      <c r="AS12" s="30"/>
      <c r="AT12" s="30"/>
      <c r="AU12" s="30"/>
      <c r="AV12" s="30"/>
      <c r="AW12" s="30"/>
      <c r="AX12" s="30"/>
      <c r="AY12" s="30"/>
    </row>
    <row r="13" spans="1:51" x14ac:dyDescent="0.35">
      <c r="A13" s="19"/>
      <c r="B13" s="24">
        <v>10</v>
      </c>
      <c r="C13" s="25">
        <v>39.799999999999997</v>
      </c>
      <c r="D13" s="25">
        <v>42</v>
      </c>
      <c r="E13" s="25">
        <v>42</v>
      </c>
      <c r="F13" s="25">
        <v>38.9</v>
      </c>
      <c r="G13" s="25">
        <v>38.700000000000003</v>
      </c>
      <c r="H13" s="25">
        <v>38.5</v>
      </c>
      <c r="I13" s="25">
        <v>36.799999999999997</v>
      </c>
      <c r="J13" s="25">
        <v>39.200000000000003</v>
      </c>
      <c r="K13" s="25">
        <v>40</v>
      </c>
      <c r="L13" s="25">
        <v>42.1</v>
      </c>
      <c r="M13" s="25">
        <v>35.9</v>
      </c>
      <c r="N13" s="25">
        <v>48.9</v>
      </c>
      <c r="O13" s="25">
        <v>33</v>
      </c>
      <c r="P13" s="25">
        <v>34.5</v>
      </c>
      <c r="Q13" s="25">
        <v>39</v>
      </c>
      <c r="R13" s="25">
        <v>37.299999999999997</v>
      </c>
      <c r="S13" s="25">
        <v>35.5</v>
      </c>
      <c r="T13" s="25">
        <v>37.4</v>
      </c>
      <c r="U13" s="19"/>
      <c r="V13" s="25"/>
      <c r="W13" s="22">
        <f t="shared" si="0"/>
        <v>4.4592548739115188E-2</v>
      </c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30"/>
      <c r="AS13" s="30"/>
      <c r="AT13" s="30"/>
      <c r="AU13" s="30"/>
      <c r="AV13" s="30"/>
      <c r="AW13" s="30"/>
      <c r="AX13" s="30"/>
      <c r="AY13" s="30"/>
    </row>
    <row r="14" spans="1:51" x14ac:dyDescent="0.35">
      <c r="A14" s="19"/>
      <c r="B14" s="24">
        <v>11</v>
      </c>
      <c r="C14" s="25">
        <v>40.4</v>
      </c>
      <c r="D14" s="25">
        <v>43</v>
      </c>
      <c r="E14" s="25">
        <v>44</v>
      </c>
      <c r="F14" s="25">
        <v>38.5</v>
      </c>
      <c r="G14" s="25">
        <v>39.799999999999997</v>
      </c>
      <c r="H14" s="25">
        <v>39.9</v>
      </c>
      <c r="I14" s="25">
        <v>37.9</v>
      </c>
      <c r="J14" s="25">
        <v>40</v>
      </c>
      <c r="K14" s="25">
        <v>40</v>
      </c>
      <c r="L14" s="25">
        <v>44.7</v>
      </c>
      <c r="M14" s="25">
        <v>37.200000000000003</v>
      </c>
      <c r="N14" s="25">
        <v>50.1</v>
      </c>
      <c r="O14" s="25">
        <v>35.4</v>
      </c>
      <c r="P14" s="25">
        <v>36.6</v>
      </c>
      <c r="Q14" s="25">
        <v>41.5</v>
      </c>
      <c r="R14" s="25">
        <v>39.4</v>
      </c>
      <c r="S14" s="25">
        <v>38.1</v>
      </c>
      <c r="T14" s="25">
        <v>40.1</v>
      </c>
      <c r="U14" s="19"/>
      <c r="V14" s="25"/>
      <c r="W14" s="22">
        <f t="shared" si="0"/>
        <v>4.4320824942156133E-2</v>
      </c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30"/>
      <c r="AS14" s="30"/>
      <c r="AT14" s="30"/>
      <c r="AU14" s="30"/>
      <c r="AV14" s="30"/>
      <c r="AW14" s="30"/>
      <c r="AX14" s="30"/>
      <c r="AY14" s="30"/>
    </row>
    <row r="15" spans="1:51" x14ac:dyDescent="0.35">
      <c r="A15" s="19"/>
      <c r="B15" s="24">
        <v>12</v>
      </c>
      <c r="C15" s="25">
        <v>40.6</v>
      </c>
      <c r="D15" s="25">
        <v>43.4</v>
      </c>
      <c r="E15" s="25">
        <v>43.9</v>
      </c>
      <c r="F15" s="25">
        <v>38.700000000000003</v>
      </c>
      <c r="G15" s="25">
        <v>40.5</v>
      </c>
      <c r="H15" s="25">
        <v>39.200000000000003</v>
      </c>
      <c r="I15" s="25">
        <v>38.299999999999997</v>
      </c>
      <c r="J15" s="25">
        <v>40.6</v>
      </c>
      <c r="K15" s="25">
        <v>41.9</v>
      </c>
      <c r="L15" s="25">
        <v>44.1</v>
      </c>
      <c r="M15" s="25">
        <v>37.9</v>
      </c>
      <c r="N15" s="25">
        <v>51.2</v>
      </c>
      <c r="O15" s="25">
        <v>37</v>
      </c>
      <c r="P15" s="25">
        <v>38.200000000000003</v>
      </c>
      <c r="Q15" s="25">
        <v>43.4</v>
      </c>
      <c r="R15" s="25">
        <v>40.9</v>
      </c>
      <c r="S15" s="25">
        <v>39</v>
      </c>
      <c r="T15" s="25">
        <v>41</v>
      </c>
      <c r="U15" s="19"/>
      <c r="V15" s="25"/>
      <c r="W15" s="22">
        <f xml:space="preserve"> _xlfn.T.TEST(C15:T15,C30:V30,2,2)</f>
        <v>6.3262048735061097E-2</v>
      </c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30"/>
      <c r="AS15" s="30"/>
      <c r="AT15" s="30"/>
      <c r="AU15" s="30"/>
      <c r="AV15" s="30"/>
      <c r="AW15" s="30"/>
      <c r="AX15" s="30"/>
      <c r="AY15" s="30"/>
    </row>
    <row r="16" spans="1:51" x14ac:dyDescent="0.3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 spans="1:22" x14ac:dyDescent="0.35">
      <c r="A17" s="19"/>
      <c r="B17" s="19" t="s">
        <v>139</v>
      </c>
      <c r="C17" s="19" t="s">
        <v>1</v>
      </c>
      <c r="D17" s="19" t="s">
        <v>2</v>
      </c>
      <c r="E17" s="19" t="s">
        <v>3</v>
      </c>
      <c r="F17" s="19" t="s">
        <v>4</v>
      </c>
      <c r="G17" s="19" t="s">
        <v>5</v>
      </c>
      <c r="H17" s="19" t="s">
        <v>6</v>
      </c>
      <c r="I17" s="19" t="s">
        <v>7</v>
      </c>
      <c r="J17" s="19" t="s">
        <v>8</v>
      </c>
      <c r="K17" s="19" t="s">
        <v>9</v>
      </c>
      <c r="L17" s="19" t="s">
        <v>11</v>
      </c>
      <c r="M17" s="19" t="s">
        <v>12</v>
      </c>
      <c r="N17" s="19" t="s">
        <v>13</v>
      </c>
      <c r="O17" s="19" t="s">
        <v>14</v>
      </c>
      <c r="P17" s="19" t="s">
        <v>15</v>
      </c>
      <c r="Q17" s="19" t="s">
        <v>140</v>
      </c>
      <c r="R17" s="19" t="s">
        <v>141</v>
      </c>
      <c r="S17" s="19" t="s">
        <v>142</v>
      </c>
      <c r="T17" s="19" t="s">
        <v>143</v>
      </c>
      <c r="U17" s="19" t="s">
        <v>144</v>
      </c>
      <c r="V17" s="19" t="s">
        <v>145</v>
      </c>
    </row>
    <row r="18" spans="1:22" x14ac:dyDescent="0.35">
      <c r="A18" s="19"/>
      <c r="B18" s="24">
        <v>0</v>
      </c>
      <c r="C18" s="25">
        <v>24.2</v>
      </c>
      <c r="D18" s="25">
        <v>26.4</v>
      </c>
      <c r="E18" s="25">
        <v>25.1</v>
      </c>
      <c r="F18" s="25">
        <v>22.9</v>
      </c>
      <c r="G18" s="25">
        <v>23.4</v>
      </c>
      <c r="H18" s="25">
        <v>25.5</v>
      </c>
      <c r="I18" s="25">
        <v>26.5</v>
      </c>
      <c r="J18" s="25">
        <v>25.2</v>
      </c>
      <c r="K18" s="25">
        <v>26.2</v>
      </c>
      <c r="L18" s="25">
        <v>24.1</v>
      </c>
      <c r="M18" s="25">
        <v>25</v>
      </c>
      <c r="N18" s="25">
        <v>26.5</v>
      </c>
      <c r="O18" s="25">
        <v>23.7</v>
      </c>
      <c r="P18" s="25">
        <v>21.1</v>
      </c>
      <c r="Q18" s="25">
        <v>21.3</v>
      </c>
      <c r="R18" s="25">
        <v>22.7</v>
      </c>
      <c r="S18" s="25">
        <v>23.5</v>
      </c>
      <c r="T18" s="25">
        <v>24.1</v>
      </c>
      <c r="U18" s="25">
        <v>24</v>
      </c>
      <c r="V18" s="25">
        <v>24.6</v>
      </c>
    </row>
    <row r="19" spans="1:22" x14ac:dyDescent="0.35">
      <c r="A19" s="19"/>
      <c r="B19" s="24">
        <v>1</v>
      </c>
      <c r="C19" s="25">
        <v>29.2</v>
      </c>
      <c r="D19" s="25">
        <v>29.6</v>
      </c>
      <c r="E19" s="25">
        <v>28.8</v>
      </c>
      <c r="F19" s="25">
        <v>25.9</v>
      </c>
      <c r="G19" s="25">
        <v>24.2</v>
      </c>
      <c r="H19" s="25">
        <v>29.1</v>
      </c>
      <c r="I19" s="25">
        <v>30.4</v>
      </c>
      <c r="J19" s="25">
        <v>29.2</v>
      </c>
      <c r="K19" s="25"/>
      <c r="L19" s="25"/>
      <c r="M19" s="25"/>
      <c r="N19" s="25"/>
      <c r="O19" s="25">
        <v>29</v>
      </c>
      <c r="P19" s="25">
        <v>23.5</v>
      </c>
      <c r="Q19" s="25">
        <v>24.6</v>
      </c>
      <c r="R19" s="25">
        <v>26.1</v>
      </c>
      <c r="S19" s="25">
        <v>24.8</v>
      </c>
      <c r="T19" s="25">
        <v>26.3</v>
      </c>
      <c r="U19" s="25">
        <v>25.4</v>
      </c>
      <c r="V19" s="25">
        <v>28.1</v>
      </c>
    </row>
    <row r="20" spans="1:22" x14ac:dyDescent="0.35">
      <c r="A20" s="19"/>
      <c r="B20" s="24">
        <v>2</v>
      </c>
      <c r="C20" s="25">
        <v>31.7</v>
      </c>
      <c r="D20" s="25">
        <v>31.4</v>
      </c>
      <c r="E20" s="25">
        <v>30.9</v>
      </c>
      <c r="F20" s="25">
        <v>28</v>
      </c>
      <c r="G20" s="25">
        <v>25.5</v>
      </c>
      <c r="H20" s="25">
        <v>31.1</v>
      </c>
      <c r="I20" s="25">
        <v>33.299999999999997</v>
      </c>
      <c r="J20" s="25">
        <v>31.9</v>
      </c>
      <c r="K20" s="25">
        <v>31.8</v>
      </c>
      <c r="L20" s="25">
        <v>27.8</v>
      </c>
      <c r="M20" s="25">
        <v>32.5</v>
      </c>
      <c r="N20" s="25">
        <v>29.7</v>
      </c>
      <c r="O20" s="25">
        <v>31.5</v>
      </c>
      <c r="P20" s="25">
        <v>23.1</v>
      </c>
      <c r="Q20" s="25">
        <v>24.7</v>
      </c>
      <c r="R20" s="25">
        <v>29.1</v>
      </c>
      <c r="S20" s="25">
        <v>27.8</v>
      </c>
      <c r="T20" s="25">
        <v>28</v>
      </c>
      <c r="U20" s="25">
        <v>26.8</v>
      </c>
      <c r="V20" s="25">
        <v>30</v>
      </c>
    </row>
    <row r="21" spans="1:22" x14ac:dyDescent="0.35">
      <c r="A21" s="19"/>
      <c r="B21" s="24">
        <v>3</v>
      </c>
      <c r="C21" s="25">
        <v>33.5</v>
      </c>
      <c r="D21" s="25">
        <v>32.1</v>
      </c>
      <c r="E21" s="25">
        <v>32.6</v>
      </c>
      <c r="F21" s="25">
        <v>29.8</v>
      </c>
      <c r="G21" s="25">
        <v>27.8</v>
      </c>
      <c r="H21" s="25">
        <v>35</v>
      </c>
      <c r="I21" s="25">
        <v>34.700000000000003</v>
      </c>
      <c r="J21" s="25">
        <v>33.299999999999997</v>
      </c>
      <c r="K21" s="25"/>
      <c r="L21" s="25"/>
      <c r="M21" s="25"/>
      <c r="N21" s="25"/>
      <c r="O21" s="25">
        <v>33.1</v>
      </c>
      <c r="P21" s="25">
        <v>23.3</v>
      </c>
      <c r="Q21" s="25">
        <v>25.1</v>
      </c>
      <c r="R21" s="25">
        <v>30.5</v>
      </c>
      <c r="S21" s="25">
        <v>28.9</v>
      </c>
      <c r="T21" s="25">
        <v>29.1</v>
      </c>
      <c r="U21" s="25">
        <v>29.1</v>
      </c>
      <c r="V21" s="25">
        <v>30.3</v>
      </c>
    </row>
    <row r="22" spans="1:22" x14ac:dyDescent="0.35">
      <c r="A22" s="19"/>
      <c r="B22" s="24">
        <v>4</v>
      </c>
      <c r="C22" s="25">
        <v>34.9</v>
      </c>
      <c r="D22" s="25">
        <v>32.5</v>
      </c>
      <c r="E22" s="25">
        <v>34</v>
      </c>
      <c r="F22" s="25">
        <v>30.2</v>
      </c>
      <c r="G22" s="25">
        <v>29.1</v>
      </c>
      <c r="H22" s="25">
        <v>37.4</v>
      </c>
      <c r="I22" s="25">
        <v>36.1</v>
      </c>
      <c r="J22" s="25">
        <v>34.4</v>
      </c>
      <c r="K22" s="25">
        <v>36.6</v>
      </c>
      <c r="L22" s="25">
        <v>30.4</v>
      </c>
      <c r="M22" s="25">
        <v>34.6</v>
      </c>
      <c r="N22" s="25">
        <v>31.5</v>
      </c>
      <c r="O22" s="25">
        <v>35.1</v>
      </c>
      <c r="P22" s="25">
        <v>26</v>
      </c>
      <c r="Q22" s="25">
        <v>27.3</v>
      </c>
      <c r="R22" s="25">
        <v>31.9</v>
      </c>
      <c r="S22" s="25">
        <v>32</v>
      </c>
      <c r="T22" s="25">
        <v>30.5</v>
      </c>
      <c r="U22" s="25">
        <v>31.4</v>
      </c>
      <c r="V22" s="25">
        <v>30.8</v>
      </c>
    </row>
    <row r="23" spans="1:22" x14ac:dyDescent="0.35">
      <c r="A23" s="19"/>
      <c r="B23" s="24">
        <v>5</v>
      </c>
      <c r="C23" s="25">
        <v>35.9</v>
      </c>
      <c r="D23" s="25">
        <v>34.5</v>
      </c>
      <c r="E23" s="25">
        <v>34.799999999999997</v>
      </c>
      <c r="F23" s="25">
        <v>31.4</v>
      </c>
      <c r="G23" s="25">
        <v>31.9</v>
      </c>
      <c r="H23" s="25">
        <v>39.9</v>
      </c>
      <c r="I23" s="25">
        <v>39.4</v>
      </c>
      <c r="J23" s="25">
        <v>36.799999999999997</v>
      </c>
      <c r="K23" s="25"/>
      <c r="L23" s="25"/>
      <c r="M23" s="25"/>
      <c r="N23" s="25"/>
      <c r="O23" s="25">
        <v>37.799999999999997</v>
      </c>
      <c r="P23" s="25">
        <v>28.5</v>
      </c>
      <c r="Q23" s="25">
        <v>29</v>
      </c>
      <c r="R23" s="25">
        <v>32.299999999999997</v>
      </c>
      <c r="S23" s="25">
        <v>33.700000000000003</v>
      </c>
      <c r="T23" s="25">
        <v>31.1</v>
      </c>
      <c r="U23" s="25">
        <v>32.4</v>
      </c>
      <c r="V23" s="25">
        <v>32.6</v>
      </c>
    </row>
    <row r="24" spans="1:22" x14ac:dyDescent="0.35">
      <c r="A24" s="19"/>
      <c r="B24" s="24">
        <v>6</v>
      </c>
      <c r="C24" s="25"/>
      <c r="D24" s="25">
        <v>32.299999999999997</v>
      </c>
      <c r="E24" s="25">
        <v>36.4</v>
      </c>
      <c r="F24" s="25">
        <v>31.5</v>
      </c>
      <c r="G24" s="25">
        <v>32.700000000000003</v>
      </c>
      <c r="H24" s="25">
        <v>42.3</v>
      </c>
      <c r="I24" s="25">
        <v>40.200000000000003</v>
      </c>
      <c r="J24" s="25">
        <v>39</v>
      </c>
      <c r="K24" s="25">
        <v>39.200000000000003</v>
      </c>
      <c r="L24" s="25">
        <v>33.799999999999997</v>
      </c>
      <c r="M24" s="25">
        <v>38.1</v>
      </c>
      <c r="N24" s="25">
        <v>35.200000000000003</v>
      </c>
      <c r="O24" s="25">
        <v>37.200000000000003</v>
      </c>
      <c r="P24" s="25">
        <v>30.3</v>
      </c>
      <c r="Q24" s="25">
        <v>31.2</v>
      </c>
      <c r="R24" s="25">
        <v>32.9</v>
      </c>
      <c r="S24" s="25">
        <v>33.5</v>
      </c>
      <c r="T24" s="25">
        <v>31.2</v>
      </c>
      <c r="U24" s="25">
        <v>32.799999999999997</v>
      </c>
      <c r="V24" s="25">
        <v>33</v>
      </c>
    </row>
    <row r="25" spans="1:22" x14ac:dyDescent="0.35">
      <c r="A25" s="19"/>
      <c r="B25" s="24">
        <v>7</v>
      </c>
      <c r="C25" s="25">
        <v>35.5</v>
      </c>
      <c r="D25" s="25">
        <v>39.700000000000003</v>
      </c>
      <c r="E25" s="25">
        <v>38.6</v>
      </c>
      <c r="F25" s="25">
        <v>33.799999999999997</v>
      </c>
      <c r="G25" s="25">
        <v>35.1</v>
      </c>
      <c r="H25" s="25">
        <v>44.7</v>
      </c>
      <c r="I25" s="25">
        <v>41.7</v>
      </c>
      <c r="J25" s="25">
        <v>40.1</v>
      </c>
      <c r="K25" s="25"/>
      <c r="L25" s="25"/>
      <c r="M25" s="25"/>
      <c r="N25" s="25"/>
      <c r="O25" s="25">
        <v>39.200000000000003</v>
      </c>
      <c r="P25" s="25">
        <v>28.4</v>
      </c>
      <c r="Q25" s="25">
        <v>33</v>
      </c>
      <c r="R25" s="25">
        <v>33.5</v>
      </c>
      <c r="S25" s="25">
        <v>35</v>
      </c>
      <c r="T25" s="25">
        <v>33</v>
      </c>
      <c r="U25" s="25">
        <v>35.1</v>
      </c>
      <c r="V25" s="25">
        <v>34.6</v>
      </c>
    </row>
    <row r="26" spans="1:22" x14ac:dyDescent="0.35">
      <c r="A26" s="19"/>
      <c r="B26" s="24">
        <v>8</v>
      </c>
      <c r="C26" s="25">
        <v>37.9</v>
      </c>
      <c r="D26" s="25">
        <v>40</v>
      </c>
      <c r="E26" s="25">
        <v>38.9</v>
      </c>
      <c r="F26" s="25">
        <v>34.9</v>
      </c>
      <c r="G26" s="25">
        <v>35.5</v>
      </c>
      <c r="H26" s="25">
        <v>45.7</v>
      </c>
      <c r="I26" s="25">
        <v>41.6</v>
      </c>
      <c r="J26" s="25">
        <v>39.5</v>
      </c>
      <c r="K26" s="25">
        <v>42.1</v>
      </c>
      <c r="L26" s="25">
        <v>36.299999999999997</v>
      </c>
      <c r="M26" s="25">
        <v>42.8</v>
      </c>
      <c r="N26" s="25">
        <v>37.1</v>
      </c>
      <c r="O26" s="25">
        <v>42.2</v>
      </c>
      <c r="P26" s="25">
        <v>32.9</v>
      </c>
      <c r="Q26" s="25">
        <v>34.700000000000003</v>
      </c>
      <c r="R26" s="25">
        <v>36.299999999999997</v>
      </c>
      <c r="S26" s="25">
        <v>37.6</v>
      </c>
      <c r="T26" s="25">
        <v>34.299999999999997</v>
      </c>
      <c r="U26" s="25">
        <v>35.1</v>
      </c>
      <c r="V26" s="25">
        <v>35.9</v>
      </c>
    </row>
    <row r="27" spans="1:22" x14ac:dyDescent="0.35">
      <c r="A27" s="19"/>
      <c r="B27" s="24">
        <v>9</v>
      </c>
      <c r="C27" s="25">
        <v>40.200000000000003</v>
      </c>
      <c r="D27" s="25">
        <v>42.8</v>
      </c>
      <c r="E27" s="25">
        <v>41</v>
      </c>
      <c r="F27" s="25">
        <v>36.5</v>
      </c>
      <c r="G27" s="25">
        <v>36.799999999999997</v>
      </c>
      <c r="H27" s="25">
        <v>47.1</v>
      </c>
      <c r="I27" s="25">
        <v>42.3</v>
      </c>
      <c r="J27" s="25">
        <v>41.6</v>
      </c>
      <c r="K27" s="25">
        <v>43.8</v>
      </c>
      <c r="L27" s="25">
        <v>37</v>
      </c>
      <c r="M27" s="25">
        <v>43.6</v>
      </c>
      <c r="N27" s="25">
        <v>37.799999999999997</v>
      </c>
      <c r="O27" s="25">
        <v>44.6</v>
      </c>
      <c r="P27" s="25">
        <v>34.9</v>
      </c>
      <c r="Q27" s="25">
        <v>36</v>
      </c>
      <c r="R27" s="25">
        <v>37.700000000000003</v>
      </c>
      <c r="S27" s="25">
        <v>40.299999999999997</v>
      </c>
      <c r="T27" s="25">
        <v>35.6</v>
      </c>
      <c r="U27" s="25">
        <v>37.1</v>
      </c>
      <c r="V27" s="25">
        <v>38.200000000000003</v>
      </c>
    </row>
    <row r="28" spans="1:22" x14ac:dyDescent="0.35">
      <c r="A28" s="19"/>
      <c r="B28" s="24">
        <v>10</v>
      </c>
      <c r="C28" s="25">
        <v>41.7</v>
      </c>
      <c r="D28" s="25">
        <v>44.7</v>
      </c>
      <c r="E28" s="25">
        <v>42.7</v>
      </c>
      <c r="F28" s="25">
        <v>37.4</v>
      </c>
      <c r="G28" s="25">
        <v>37.4</v>
      </c>
      <c r="H28" s="25">
        <v>47.7</v>
      </c>
      <c r="I28" s="25">
        <v>44.4</v>
      </c>
      <c r="J28" s="25">
        <v>42.3</v>
      </c>
      <c r="K28" s="25">
        <v>44.7</v>
      </c>
      <c r="L28" s="25">
        <v>38.299999999999997</v>
      </c>
      <c r="M28" s="25">
        <v>46.2</v>
      </c>
      <c r="N28" s="25">
        <v>38.9</v>
      </c>
      <c r="O28" s="25">
        <v>46.7</v>
      </c>
      <c r="P28" s="25">
        <v>36.200000000000003</v>
      </c>
      <c r="Q28" s="25">
        <v>37.200000000000003</v>
      </c>
      <c r="R28" s="25">
        <v>39.299999999999997</v>
      </c>
      <c r="S28" s="25">
        <v>42.4</v>
      </c>
      <c r="T28" s="25">
        <v>38.299999999999997</v>
      </c>
      <c r="U28" s="25">
        <v>38.4</v>
      </c>
      <c r="V28" s="25">
        <v>40.5</v>
      </c>
    </row>
    <row r="29" spans="1:22" x14ac:dyDescent="0.35">
      <c r="A29" s="19"/>
      <c r="B29" s="24">
        <v>11</v>
      </c>
      <c r="C29" s="25">
        <v>43.4</v>
      </c>
      <c r="D29" s="25">
        <v>46.6</v>
      </c>
      <c r="E29" s="25">
        <v>44.1</v>
      </c>
      <c r="F29" s="25">
        <v>39.200000000000003</v>
      </c>
      <c r="G29" s="25">
        <v>38.6</v>
      </c>
      <c r="H29" s="25">
        <v>49.8</v>
      </c>
      <c r="I29" s="25">
        <v>46.7</v>
      </c>
      <c r="J29" s="25">
        <v>43.9</v>
      </c>
      <c r="K29" s="25">
        <v>44.3</v>
      </c>
      <c r="L29" s="25">
        <v>38.6</v>
      </c>
      <c r="M29" s="25">
        <v>46.1</v>
      </c>
      <c r="N29" s="25">
        <v>40</v>
      </c>
      <c r="O29" s="25">
        <v>45.4</v>
      </c>
      <c r="P29" s="25">
        <v>38.700000000000003</v>
      </c>
      <c r="Q29" s="25">
        <v>39.1</v>
      </c>
      <c r="R29" s="25">
        <v>41.8</v>
      </c>
      <c r="S29" s="25">
        <v>43.8</v>
      </c>
      <c r="T29" s="25">
        <v>40.200000000000003</v>
      </c>
      <c r="U29" s="25">
        <v>40.200000000000003</v>
      </c>
      <c r="V29" s="25">
        <v>42.2</v>
      </c>
    </row>
    <row r="30" spans="1:22" x14ac:dyDescent="0.35">
      <c r="A30" s="19"/>
      <c r="B30" s="23">
        <v>12</v>
      </c>
      <c r="C30" s="25">
        <v>42.5</v>
      </c>
      <c r="D30" s="25">
        <v>47</v>
      </c>
      <c r="E30" s="25">
        <v>43.1</v>
      </c>
      <c r="F30" s="25">
        <v>38.6</v>
      </c>
      <c r="G30" s="25">
        <v>38.5</v>
      </c>
      <c r="H30" s="25">
        <v>48.3</v>
      </c>
      <c r="I30" s="25">
        <v>45.5</v>
      </c>
      <c r="J30" s="25">
        <v>43.4</v>
      </c>
      <c r="K30" s="25">
        <v>45.8</v>
      </c>
      <c r="L30" s="25">
        <v>40</v>
      </c>
      <c r="M30" s="25">
        <v>46.2</v>
      </c>
      <c r="N30" s="25">
        <v>40.200000000000003</v>
      </c>
      <c r="O30" s="25">
        <v>48.3</v>
      </c>
      <c r="P30" s="25">
        <v>39.799999999999997</v>
      </c>
      <c r="Q30" s="25">
        <v>40.9</v>
      </c>
      <c r="R30" s="25">
        <v>42.7</v>
      </c>
      <c r="S30" s="25">
        <v>45.8</v>
      </c>
      <c r="T30" s="25">
        <v>40.9</v>
      </c>
      <c r="U30" s="25">
        <v>42.1</v>
      </c>
      <c r="V30" s="25">
        <v>42.3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A13A6-24CE-4FF8-9121-5F82F6AFB8E6}">
  <dimension ref="B2:D17"/>
  <sheetViews>
    <sheetView workbookViewId="0">
      <selection activeCell="I24" sqref="I24"/>
    </sheetView>
  </sheetViews>
  <sheetFormatPr defaultRowHeight="14.5" x14ac:dyDescent="0.35"/>
  <sheetData>
    <row r="2" spans="2:4" x14ac:dyDescent="0.35">
      <c r="B2" s="48" t="s">
        <v>4745</v>
      </c>
      <c r="C2" s="48" t="s">
        <v>4667</v>
      </c>
      <c r="D2" s="48"/>
    </row>
    <row r="3" spans="2:4" ht="15.5" x14ac:dyDescent="0.35">
      <c r="B3" s="48"/>
      <c r="C3" s="29" t="s">
        <v>4632</v>
      </c>
      <c r="D3" s="29" t="s">
        <v>146</v>
      </c>
    </row>
    <row r="4" spans="2:4" x14ac:dyDescent="0.35">
      <c r="B4" s="48" t="s">
        <v>4829</v>
      </c>
      <c r="C4" s="25">
        <v>17.3</v>
      </c>
      <c r="D4" s="25">
        <v>19.5</v>
      </c>
    </row>
    <row r="5" spans="2:4" x14ac:dyDescent="0.35">
      <c r="B5" s="48" t="s">
        <v>4830</v>
      </c>
      <c r="C5" s="25">
        <v>19.899999999999999</v>
      </c>
      <c r="D5" s="25">
        <v>19.100000000000001</v>
      </c>
    </row>
    <row r="6" spans="2:4" x14ac:dyDescent="0.35">
      <c r="B6" s="48" t="s">
        <v>4831</v>
      </c>
      <c r="C6" s="25">
        <v>18.3</v>
      </c>
      <c r="D6" s="25">
        <v>21.4</v>
      </c>
    </row>
    <row r="7" spans="2:4" x14ac:dyDescent="0.35">
      <c r="B7" s="48" t="s">
        <v>4832</v>
      </c>
      <c r="C7" s="25">
        <v>20.399999999999999</v>
      </c>
      <c r="D7" s="25">
        <v>22.3</v>
      </c>
    </row>
    <row r="8" spans="2:4" x14ac:dyDescent="0.35">
      <c r="B8" s="48" t="s">
        <v>4833</v>
      </c>
      <c r="C8" s="25">
        <v>17.5</v>
      </c>
      <c r="D8" s="25">
        <v>22.6</v>
      </c>
    </row>
    <row r="9" spans="2:4" x14ac:dyDescent="0.35">
      <c r="B9" s="48" t="s">
        <v>4834</v>
      </c>
      <c r="C9" s="25">
        <v>19</v>
      </c>
      <c r="D9" s="25">
        <v>20.9</v>
      </c>
    </row>
    <row r="10" spans="2:4" x14ac:dyDescent="0.35">
      <c r="B10" s="48" t="s">
        <v>4835</v>
      </c>
      <c r="C10" s="25">
        <v>20.5</v>
      </c>
      <c r="D10" s="25">
        <v>19.600000000000001</v>
      </c>
    </row>
    <row r="11" spans="2:4" x14ac:dyDescent="0.35">
      <c r="B11" s="48" t="s">
        <v>4836</v>
      </c>
      <c r="C11" s="25">
        <v>19.8</v>
      </c>
      <c r="D11" s="25">
        <v>20.100000000000001</v>
      </c>
    </row>
    <row r="12" spans="2:4" x14ac:dyDescent="0.35">
      <c r="B12" s="48" t="s">
        <v>4837</v>
      </c>
      <c r="C12" s="25">
        <v>19.8</v>
      </c>
      <c r="D12" s="25">
        <v>20.399999999999999</v>
      </c>
    </row>
    <row r="13" spans="2:4" x14ac:dyDescent="0.35">
      <c r="B13" s="48" t="s">
        <v>4838</v>
      </c>
      <c r="C13" s="25">
        <v>19.100000000000001</v>
      </c>
      <c r="D13" s="25">
        <v>21.1</v>
      </c>
    </row>
    <row r="14" spans="2:4" x14ac:dyDescent="0.35">
      <c r="B14" s="48" t="s">
        <v>4839</v>
      </c>
      <c r="C14" s="25">
        <v>18.399999999999999</v>
      </c>
      <c r="D14" s="25">
        <v>21.2</v>
      </c>
    </row>
    <row r="15" spans="2:4" x14ac:dyDescent="0.35">
      <c r="B15" s="48" t="s">
        <v>4840</v>
      </c>
      <c r="C15" s="25">
        <v>18.8</v>
      </c>
      <c r="D15" s="25">
        <v>22.8</v>
      </c>
    </row>
    <row r="16" spans="2:4" x14ac:dyDescent="0.35">
      <c r="B16" s="48" t="s">
        <v>4841</v>
      </c>
      <c r="C16" s="25"/>
      <c r="D16" s="25">
        <v>19.3</v>
      </c>
    </row>
    <row r="17" spans="2:3" x14ac:dyDescent="0.35">
      <c r="B17" t="s">
        <v>4811</v>
      </c>
      <c r="C17">
        <f>_xlfn.T.TEST(C4:C15,D4:D16,2,2)</f>
        <v>1.1981787079237613E-3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58C9B-AD9C-42BA-A023-1BB5C76570B8}">
  <dimension ref="A2:C18"/>
  <sheetViews>
    <sheetView workbookViewId="0">
      <selection activeCell="A18" sqref="A18:B18"/>
    </sheetView>
  </sheetViews>
  <sheetFormatPr defaultRowHeight="14.5" x14ac:dyDescent="0.35"/>
  <sheetData>
    <row r="2" spans="1:3" x14ac:dyDescent="0.35">
      <c r="A2" s="48" t="s">
        <v>4746</v>
      </c>
      <c r="B2" s="48" t="s">
        <v>4668</v>
      </c>
      <c r="C2" s="48"/>
    </row>
    <row r="3" spans="1:3" ht="15.5" x14ac:dyDescent="0.35">
      <c r="A3" s="48"/>
      <c r="B3" s="29" t="s">
        <v>4632</v>
      </c>
      <c r="C3" s="29" t="s">
        <v>146</v>
      </c>
    </row>
    <row r="4" spans="1:3" x14ac:dyDescent="0.35">
      <c r="A4" s="48" t="s">
        <v>4816</v>
      </c>
      <c r="B4" s="25">
        <v>4.4000000000000004</v>
      </c>
      <c r="C4" s="25">
        <v>4.5999999999999996</v>
      </c>
    </row>
    <row r="5" spans="1:3" x14ac:dyDescent="0.35">
      <c r="A5" s="48" t="s">
        <v>4817</v>
      </c>
      <c r="B5" s="25">
        <v>4.5</v>
      </c>
      <c r="C5" s="25">
        <v>4.7</v>
      </c>
    </row>
    <row r="6" spans="1:3" x14ac:dyDescent="0.35">
      <c r="A6" s="48" t="s">
        <v>4818</v>
      </c>
      <c r="B6" s="25">
        <v>4.8</v>
      </c>
      <c r="C6" s="25">
        <v>4.5</v>
      </c>
    </row>
    <row r="7" spans="1:3" x14ac:dyDescent="0.35">
      <c r="A7" s="48" t="s">
        <v>4819</v>
      </c>
      <c r="B7" s="25">
        <v>5</v>
      </c>
      <c r="C7" s="25">
        <v>4.7</v>
      </c>
    </row>
    <row r="8" spans="1:3" x14ac:dyDescent="0.35">
      <c r="A8" s="48" t="s">
        <v>4820</v>
      </c>
      <c r="B8" s="25">
        <v>3.9</v>
      </c>
      <c r="C8" s="25">
        <v>5.4</v>
      </c>
    </row>
    <row r="9" spans="1:3" x14ac:dyDescent="0.35">
      <c r="A9" s="48" t="s">
        <v>4821</v>
      </c>
      <c r="B9" s="25">
        <v>4.5999999999999996</v>
      </c>
      <c r="C9" s="25">
        <v>5.0999999999999996</v>
      </c>
    </row>
    <row r="10" spans="1:3" x14ac:dyDescent="0.35">
      <c r="A10" s="48" t="s">
        <v>4822</v>
      </c>
      <c r="B10" s="25">
        <v>5</v>
      </c>
      <c r="C10" s="25">
        <v>4.5</v>
      </c>
    </row>
    <row r="11" spans="1:3" x14ac:dyDescent="0.35">
      <c r="A11" s="48" t="s">
        <v>4842</v>
      </c>
      <c r="B11" s="25">
        <v>4.3</v>
      </c>
      <c r="C11" s="25">
        <v>4.0999999999999996</v>
      </c>
    </row>
    <row r="12" spans="1:3" x14ac:dyDescent="0.35">
      <c r="A12" s="48" t="s">
        <v>4843</v>
      </c>
      <c r="B12" s="25">
        <v>4.7</v>
      </c>
      <c r="C12" s="25">
        <v>4.5999999999999996</v>
      </c>
    </row>
    <row r="13" spans="1:3" x14ac:dyDescent="0.35">
      <c r="A13" s="48" t="s">
        <v>4844</v>
      </c>
      <c r="B13" s="25">
        <v>4.7</v>
      </c>
      <c r="C13" s="25">
        <v>4.7</v>
      </c>
    </row>
    <row r="14" spans="1:3" x14ac:dyDescent="0.35">
      <c r="A14" s="48" t="s">
        <v>4845</v>
      </c>
      <c r="B14" s="25">
        <v>4.3</v>
      </c>
      <c r="C14" s="25">
        <v>5.3</v>
      </c>
    </row>
    <row r="15" spans="1:3" x14ac:dyDescent="0.35">
      <c r="A15" s="48" t="s">
        <v>4846</v>
      </c>
      <c r="B15" s="25">
        <v>3.7</v>
      </c>
      <c r="C15" s="25">
        <v>6</v>
      </c>
    </row>
    <row r="16" spans="1:3" x14ac:dyDescent="0.35">
      <c r="A16" s="48" t="s">
        <v>4847</v>
      </c>
      <c r="B16" s="25"/>
      <c r="C16" s="25">
        <v>4.4000000000000004</v>
      </c>
    </row>
    <row r="18" spans="1:2" x14ac:dyDescent="0.35">
      <c r="A18" t="s">
        <v>4811</v>
      </c>
      <c r="B18">
        <f>_xlfn.T.TEST(B4:B15,C4:C16,2,2)</f>
        <v>9.1412138839958718E-2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A9308-1D9D-4AEB-9AB6-6035E4FEFB23}">
  <dimension ref="B2:D17"/>
  <sheetViews>
    <sheetView workbookViewId="0">
      <selection activeCell="B17" sqref="B17:C17"/>
    </sheetView>
  </sheetViews>
  <sheetFormatPr defaultRowHeight="14.5" x14ac:dyDescent="0.35"/>
  <sheetData>
    <row r="2" spans="2:4" x14ac:dyDescent="0.35">
      <c r="B2" s="48" t="s">
        <v>4747</v>
      </c>
      <c r="C2" s="48" t="s">
        <v>4669</v>
      </c>
      <c r="D2" s="48"/>
    </row>
    <row r="3" spans="2:4" ht="15.5" x14ac:dyDescent="0.35">
      <c r="B3" s="48"/>
      <c r="C3" s="29" t="s">
        <v>4632</v>
      </c>
      <c r="D3" s="29" t="s">
        <v>146</v>
      </c>
    </row>
    <row r="4" spans="2:4" x14ac:dyDescent="0.35">
      <c r="B4" s="48" t="s">
        <v>4848</v>
      </c>
      <c r="C4" s="25">
        <v>18.100000000000001</v>
      </c>
      <c r="D4" s="25">
        <v>16.7</v>
      </c>
    </row>
    <row r="5" spans="2:4" x14ac:dyDescent="0.35">
      <c r="B5" s="48" t="s">
        <v>4849</v>
      </c>
      <c r="C5" s="25">
        <v>17.899999999999999</v>
      </c>
      <c r="D5" s="25">
        <v>18</v>
      </c>
    </row>
    <row r="6" spans="2:4" x14ac:dyDescent="0.35">
      <c r="B6" s="48" t="s">
        <v>4850</v>
      </c>
      <c r="C6" s="25">
        <v>20.399999999999999</v>
      </c>
      <c r="D6" s="25">
        <v>16.3</v>
      </c>
    </row>
    <row r="7" spans="2:4" x14ac:dyDescent="0.35">
      <c r="B7" s="48" t="s">
        <v>4851</v>
      </c>
      <c r="C7" s="25">
        <v>19.5</v>
      </c>
      <c r="D7" s="25">
        <v>15.6</v>
      </c>
    </row>
    <row r="8" spans="2:4" x14ac:dyDescent="0.35">
      <c r="B8" s="48" t="s">
        <v>4852</v>
      </c>
      <c r="C8" s="25">
        <v>14.1</v>
      </c>
      <c r="D8" s="25">
        <v>22.6</v>
      </c>
    </row>
    <row r="9" spans="2:4" x14ac:dyDescent="0.35">
      <c r="B9" s="48" t="s">
        <v>4853</v>
      </c>
      <c r="C9" s="25">
        <v>17.899999999999999</v>
      </c>
      <c r="D9" s="25">
        <v>20.7</v>
      </c>
    </row>
    <row r="10" spans="2:4" x14ac:dyDescent="0.35">
      <c r="B10" s="48" t="s">
        <v>4854</v>
      </c>
      <c r="C10" s="25">
        <v>18.8</v>
      </c>
      <c r="D10" s="25">
        <v>16.8</v>
      </c>
    </row>
    <row r="11" spans="2:4" x14ac:dyDescent="0.35">
      <c r="B11" s="48" t="s">
        <v>4855</v>
      </c>
      <c r="C11" s="25">
        <v>14</v>
      </c>
      <c r="D11" s="25">
        <v>16.899999999999999</v>
      </c>
    </row>
    <row r="12" spans="2:4" x14ac:dyDescent="0.35">
      <c r="B12" s="48" t="s">
        <v>4856</v>
      </c>
      <c r="C12" s="25">
        <v>19.600000000000001</v>
      </c>
      <c r="D12" s="25">
        <v>17.399999999999999</v>
      </c>
    </row>
    <row r="13" spans="2:4" x14ac:dyDescent="0.35">
      <c r="B13" s="48" t="s">
        <v>4857</v>
      </c>
      <c r="C13" s="25">
        <v>19.399999999999999</v>
      </c>
      <c r="D13" s="25">
        <v>17.100000000000001</v>
      </c>
    </row>
    <row r="14" spans="2:4" x14ac:dyDescent="0.35">
      <c r="B14" s="48" t="s">
        <v>4858</v>
      </c>
      <c r="C14" s="25">
        <v>20.100000000000001</v>
      </c>
      <c r="D14" s="25">
        <v>20.8</v>
      </c>
    </row>
    <row r="15" spans="2:4" x14ac:dyDescent="0.35">
      <c r="B15" s="48" t="s">
        <v>4859</v>
      </c>
      <c r="C15" s="25">
        <v>11.6</v>
      </c>
      <c r="D15" s="25">
        <v>24.6</v>
      </c>
    </row>
    <row r="16" spans="2:4" x14ac:dyDescent="0.35">
      <c r="B16" s="48" t="s">
        <v>4860</v>
      </c>
      <c r="C16" s="25"/>
      <c r="D16" s="25">
        <v>17</v>
      </c>
    </row>
    <row r="17" spans="2:3" x14ac:dyDescent="0.35">
      <c r="B17" s="48" t="s">
        <v>4811</v>
      </c>
      <c r="C17" s="48">
        <f>_xlfn.T.TEST(C4:C15,D4:D16,2,2)</f>
        <v>0.43802726105924872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B2880-A33B-494A-A036-6C1628B8B19B}">
  <dimension ref="A2:C18"/>
  <sheetViews>
    <sheetView workbookViewId="0">
      <selection activeCell="C26" sqref="C26"/>
    </sheetView>
  </sheetViews>
  <sheetFormatPr defaultRowHeight="14.5" x14ac:dyDescent="0.35"/>
  <cols>
    <col min="2" max="2" width="13" customWidth="1"/>
    <col min="3" max="3" width="10.453125" customWidth="1"/>
  </cols>
  <sheetData>
    <row r="2" spans="1:3" x14ac:dyDescent="0.35">
      <c r="A2" s="48" t="s">
        <v>4748</v>
      </c>
      <c r="B2" s="48" t="s">
        <v>4670</v>
      </c>
      <c r="C2" s="48"/>
    </row>
    <row r="3" spans="1:3" ht="15.5" x14ac:dyDescent="0.35">
      <c r="A3" s="48"/>
      <c r="B3" s="29" t="s">
        <v>4632</v>
      </c>
      <c r="C3" s="29" t="s">
        <v>146</v>
      </c>
    </row>
    <row r="4" spans="1:3" x14ac:dyDescent="0.35">
      <c r="A4" s="48" t="s">
        <v>4848</v>
      </c>
      <c r="B4" s="25">
        <v>0.43</v>
      </c>
      <c r="C4" s="25">
        <v>0.99</v>
      </c>
    </row>
    <row r="5" spans="1:3" x14ac:dyDescent="0.35">
      <c r="A5" s="48" t="s">
        <v>4849</v>
      </c>
      <c r="B5" s="25">
        <v>1.48</v>
      </c>
      <c r="C5" s="25">
        <v>2.0950000000000002</v>
      </c>
    </row>
    <row r="6" spans="1:3" x14ac:dyDescent="0.35">
      <c r="A6" s="48" t="s">
        <v>4850</v>
      </c>
      <c r="B6" s="25">
        <v>1.756667</v>
      </c>
      <c r="C6" s="25">
        <v>2.2450000000000001</v>
      </c>
    </row>
    <row r="7" spans="1:3" x14ac:dyDescent="0.35">
      <c r="A7" s="48" t="s">
        <v>4851</v>
      </c>
      <c r="B7" s="25">
        <v>2.6633330000000002</v>
      </c>
      <c r="C7" s="25">
        <v>2.6850000000000001</v>
      </c>
    </row>
    <row r="8" spans="1:3" x14ac:dyDescent="0.35">
      <c r="A8" s="48" t="s">
        <v>4852</v>
      </c>
      <c r="B8" s="25">
        <v>2.2933330000000001</v>
      </c>
      <c r="C8" s="25">
        <v>2.3250000000000002</v>
      </c>
    </row>
    <row r="9" spans="1:3" x14ac:dyDescent="0.35">
      <c r="A9" s="48" t="s">
        <v>4853</v>
      </c>
      <c r="B9" s="25">
        <v>2.1966670000000001</v>
      </c>
      <c r="C9" s="25">
        <v>2.6949999999999998</v>
      </c>
    </row>
    <row r="10" spans="1:3" x14ac:dyDescent="0.35">
      <c r="A10" s="48" t="s">
        <v>4854</v>
      </c>
      <c r="B10" s="25">
        <v>2.4933329999999998</v>
      </c>
      <c r="C10" s="25">
        <v>0.6</v>
      </c>
    </row>
    <row r="11" spans="1:3" x14ac:dyDescent="0.35">
      <c r="A11" s="48" t="s">
        <v>4855</v>
      </c>
      <c r="B11" s="25">
        <v>1.19</v>
      </c>
      <c r="C11" s="25">
        <v>0.495</v>
      </c>
    </row>
    <row r="12" spans="1:3" x14ac:dyDescent="0.35">
      <c r="A12" s="48" t="s">
        <v>4856</v>
      </c>
      <c r="B12" s="25">
        <v>2.5333329999999998</v>
      </c>
      <c r="C12" s="25">
        <v>2.003333</v>
      </c>
    </row>
    <row r="13" spans="1:3" x14ac:dyDescent="0.35">
      <c r="A13" s="48" t="s">
        <v>4857</v>
      </c>
      <c r="B13" s="25">
        <v>1.93</v>
      </c>
      <c r="C13" s="25">
        <v>2.2000000000000002</v>
      </c>
    </row>
    <row r="14" spans="1:3" x14ac:dyDescent="0.35">
      <c r="A14" s="48" t="s">
        <v>4858</v>
      </c>
      <c r="B14" s="19"/>
      <c r="C14" s="25">
        <v>1.5733330000000001</v>
      </c>
    </row>
    <row r="15" spans="1:3" x14ac:dyDescent="0.35">
      <c r="A15" s="48" t="s">
        <v>4859</v>
      </c>
      <c r="B15" s="19"/>
      <c r="C15" s="25">
        <v>1.64</v>
      </c>
    </row>
    <row r="16" spans="1:3" x14ac:dyDescent="0.35">
      <c r="A16" s="48" t="s">
        <v>4860</v>
      </c>
      <c r="B16" s="19"/>
      <c r="C16" s="25">
        <v>2.1866669999999999</v>
      </c>
    </row>
    <row r="17" spans="1:3" x14ac:dyDescent="0.35">
      <c r="A17" s="48" t="s">
        <v>4861</v>
      </c>
      <c r="B17" s="19"/>
      <c r="C17" s="25">
        <v>2.17</v>
      </c>
    </row>
    <row r="18" spans="1:3" x14ac:dyDescent="0.35">
      <c r="A18" s="48" t="s">
        <v>4811</v>
      </c>
      <c r="B18" s="48">
        <f>_xlfn.T.TEST(B5:B16,C5:C17,2,2)</f>
        <v>0.60103432866164352</v>
      </c>
      <c r="C18" s="48"/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1B188-BCC0-4FE6-B20E-A5008C7522D3}">
  <dimension ref="A1:R92"/>
  <sheetViews>
    <sheetView workbookViewId="0">
      <selection activeCell="E104" sqref="E104"/>
    </sheetView>
  </sheetViews>
  <sheetFormatPr defaultRowHeight="14.5" x14ac:dyDescent="0.35"/>
  <sheetData>
    <row r="1" spans="1:18" x14ac:dyDescent="0.35">
      <c r="A1" t="s">
        <v>4749</v>
      </c>
      <c r="B1" t="s">
        <v>4671</v>
      </c>
    </row>
    <row r="2" spans="1:18" ht="16.5" x14ac:dyDescent="0.35">
      <c r="A2" s="19" t="s">
        <v>160</v>
      </c>
      <c r="B2" t="s">
        <v>4634</v>
      </c>
      <c r="C2" s="48" t="s">
        <v>4635</v>
      </c>
      <c r="D2" s="48" t="s">
        <v>4636</v>
      </c>
      <c r="E2" s="48" t="s">
        <v>4637</v>
      </c>
      <c r="F2" s="48" t="s">
        <v>4638</v>
      </c>
      <c r="G2" s="48" t="s">
        <v>4639</v>
      </c>
      <c r="H2" s="48" t="s">
        <v>4640</v>
      </c>
      <c r="I2" s="48" t="s">
        <v>4641</v>
      </c>
      <c r="K2" t="s">
        <v>150</v>
      </c>
      <c r="L2" t="s">
        <v>151</v>
      </c>
      <c r="M2" t="s">
        <v>152</v>
      </c>
      <c r="N2" t="s">
        <v>153</v>
      </c>
      <c r="O2" t="s">
        <v>154</v>
      </c>
      <c r="P2" t="s">
        <v>155</v>
      </c>
      <c r="Q2" t="s">
        <v>156</v>
      </c>
      <c r="R2" t="s">
        <v>157</v>
      </c>
    </row>
    <row r="3" spans="1:18" x14ac:dyDescent="0.35">
      <c r="A3" s="16" t="s">
        <v>158</v>
      </c>
      <c r="B3" s="1">
        <v>0.81757919999999995</v>
      </c>
      <c r="C3" s="1">
        <v>0.79933940000000003</v>
      </c>
      <c r="D3" s="1">
        <v>0.81541129999999995</v>
      </c>
      <c r="E3" s="1">
        <v>0.74640740000000005</v>
      </c>
      <c r="F3" s="1">
        <v>0.83344569999999996</v>
      </c>
      <c r="G3" s="1">
        <v>0.72711559999999997</v>
      </c>
      <c r="H3" s="1">
        <v>0.8414336</v>
      </c>
      <c r="I3" s="1">
        <v>0.72562910000000003</v>
      </c>
      <c r="K3" s="1">
        <v>0.70747400000000005</v>
      </c>
      <c r="L3" s="1">
        <v>0.70767000000000002</v>
      </c>
      <c r="M3" s="1">
        <v>0.784856</v>
      </c>
      <c r="N3" s="1">
        <v>0.69960100000000003</v>
      </c>
      <c r="O3" s="1">
        <v>0.74500100000000002</v>
      </c>
      <c r="P3" s="1">
        <v>0.713781</v>
      </c>
      <c r="Q3" s="1">
        <v>0.80802300000000005</v>
      </c>
      <c r="R3" s="1">
        <v>0.76111899999999999</v>
      </c>
    </row>
    <row r="4" spans="1:18" x14ac:dyDescent="0.35">
      <c r="A4" s="16" t="s">
        <v>158</v>
      </c>
      <c r="B4" s="1">
        <v>0.81350350000000005</v>
      </c>
      <c r="C4" s="1">
        <v>0.824264</v>
      </c>
      <c r="D4" s="1">
        <v>0.810303</v>
      </c>
      <c r="E4" s="1">
        <v>0.76738819999999996</v>
      </c>
      <c r="F4" s="1">
        <v>0.89172649999999998</v>
      </c>
      <c r="G4" s="1">
        <v>0.71823970000000004</v>
      </c>
      <c r="H4" s="1">
        <v>0.82852460000000006</v>
      </c>
      <c r="I4" s="1">
        <v>0.76648269999999996</v>
      </c>
      <c r="K4" s="1">
        <v>0.71444799999999997</v>
      </c>
      <c r="L4" s="1">
        <v>0.72048100000000004</v>
      </c>
      <c r="M4" s="1">
        <v>0.81418100000000004</v>
      </c>
      <c r="N4" s="1">
        <v>0.70847800000000005</v>
      </c>
      <c r="O4" s="1">
        <v>0.75983199999999995</v>
      </c>
      <c r="P4" s="1">
        <v>0.71932499999999999</v>
      </c>
      <c r="Q4" s="1">
        <v>0.79148499999999999</v>
      </c>
      <c r="R4" s="1">
        <v>0.78179900000000002</v>
      </c>
    </row>
    <row r="5" spans="1:18" x14ac:dyDescent="0.35">
      <c r="A5" s="16" t="s">
        <v>158</v>
      </c>
      <c r="B5" s="1">
        <v>0.79018750000000004</v>
      </c>
      <c r="C5" s="1">
        <v>0.83457720000000002</v>
      </c>
      <c r="D5" s="1">
        <v>0.81704540000000003</v>
      </c>
      <c r="E5" s="1">
        <v>0.77169410000000005</v>
      </c>
      <c r="F5" s="1">
        <v>0.90532999999999997</v>
      </c>
      <c r="G5" s="1">
        <v>0.75517659999999998</v>
      </c>
      <c r="H5" s="1">
        <v>0.83368299999999995</v>
      </c>
      <c r="I5" s="1">
        <v>0.77787189999999995</v>
      </c>
      <c r="K5" s="1">
        <v>0.71045700000000001</v>
      </c>
      <c r="L5" s="1">
        <v>0.72017500000000001</v>
      </c>
      <c r="M5" s="1">
        <v>0.84641299999999997</v>
      </c>
      <c r="N5" s="1">
        <v>0.749081</v>
      </c>
      <c r="O5" s="1">
        <v>0.77050799999999997</v>
      </c>
      <c r="P5" s="1">
        <v>0.72826900000000006</v>
      </c>
      <c r="Q5" s="1">
        <v>0.82104200000000005</v>
      </c>
      <c r="R5" s="1">
        <v>0.80578099999999997</v>
      </c>
    </row>
    <row r="6" spans="1:18" x14ac:dyDescent="0.35">
      <c r="A6" s="16" t="s">
        <v>158</v>
      </c>
      <c r="B6" s="1">
        <v>0.80299229999999999</v>
      </c>
      <c r="C6" s="1">
        <v>0.83108360000000003</v>
      </c>
      <c r="D6" s="1">
        <v>0.80179339999999999</v>
      </c>
      <c r="E6" s="1">
        <v>0.76157160000000002</v>
      </c>
      <c r="F6" s="1">
        <v>0.88142900000000002</v>
      </c>
      <c r="G6" s="1">
        <v>0.74851809999999996</v>
      </c>
      <c r="H6" s="1">
        <v>0.83673229999999998</v>
      </c>
      <c r="I6" s="1">
        <v>0.74612520000000004</v>
      </c>
      <c r="K6" s="1">
        <v>0.70951699999999995</v>
      </c>
      <c r="L6" s="1">
        <v>0.71922900000000001</v>
      </c>
      <c r="M6" s="1">
        <v>0.83413400000000004</v>
      </c>
      <c r="N6" s="1">
        <v>0.71878900000000001</v>
      </c>
      <c r="O6" s="1">
        <v>0.76236599999999999</v>
      </c>
      <c r="P6" s="1">
        <v>0.72255499999999995</v>
      </c>
      <c r="Q6" s="1">
        <v>0.83240199999999998</v>
      </c>
      <c r="R6" s="1">
        <v>0.80374199999999996</v>
      </c>
    </row>
    <row r="7" spans="1:18" x14ac:dyDescent="0.35">
      <c r="A7" s="16" t="s">
        <v>158</v>
      </c>
      <c r="B7" s="1">
        <v>0.79955019999999999</v>
      </c>
      <c r="C7" s="1">
        <v>0.78847440000000002</v>
      </c>
      <c r="D7" s="1">
        <v>0.78348739999999994</v>
      </c>
      <c r="E7" s="1">
        <v>0.76438969999999995</v>
      </c>
      <c r="F7" s="1">
        <v>0.8450761</v>
      </c>
      <c r="G7" s="1">
        <v>0.75201410000000002</v>
      </c>
      <c r="H7" s="1">
        <v>0.82853100000000002</v>
      </c>
      <c r="I7" s="1">
        <v>0.78454270000000004</v>
      </c>
      <c r="K7" s="1">
        <v>0.69983099999999998</v>
      </c>
      <c r="L7" s="1">
        <v>0.71462099999999995</v>
      </c>
      <c r="M7" s="1">
        <v>0.77982399999999996</v>
      </c>
      <c r="N7" s="1">
        <v>0.69861899999999999</v>
      </c>
      <c r="O7" s="1">
        <v>0.77417899999999995</v>
      </c>
      <c r="P7" s="1">
        <v>0.71423199999999998</v>
      </c>
      <c r="Q7" s="1">
        <v>0.84691000000000005</v>
      </c>
      <c r="R7" s="1">
        <v>0.80449999999999999</v>
      </c>
    </row>
    <row r="8" spans="1:18" x14ac:dyDescent="0.35">
      <c r="A8" s="16" t="s">
        <v>158</v>
      </c>
      <c r="B8" s="1">
        <v>0.80860609999999999</v>
      </c>
      <c r="C8" s="1">
        <v>0.85888350000000002</v>
      </c>
      <c r="D8" s="1">
        <v>0.76778069999999998</v>
      </c>
      <c r="E8" s="1">
        <v>0.80040219999999995</v>
      </c>
      <c r="F8" s="1">
        <v>0.89008869999999995</v>
      </c>
      <c r="G8" s="1">
        <v>0.76045410000000002</v>
      </c>
      <c r="H8" s="1">
        <v>0.84382100000000004</v>
      </c>
      <c r="I8" s="1">
        <v>0.82225970000000004</v>
      </c>
      <c r="K8" s="1">
        <v>0.72151100000000001</v>
      </c>
      <c r="L8" s="1">
        <v>0.68902399999999997</v>
      </c>
      <c r="M8" s="1">
        <v>0.79604600000000003</v>
      </c>
      <c r="N8" s="1">
        <v>0.74203699999999995</v>
      </c>
      <c r="O8" s="1">
        <v>0.78985300000000003</v>
      </c>
      <c r="P8" s="1">
        <v>0.72172700000000001</v>
      </c>
      <c r="Q8" s="1">
        <v>0.86857499999999999</v>
      </c>
      <c r="R8" s="1">
        <v>0.82411400000000001</v>
      </c>
    </row>
    <row r="9" spans="1:18" x14ac:dyDescent="0.35">
      <c r="A9" s="16" t="s">
        <v>158</v>
      </c>
      <c r="B9" s="1">
        <v>0.80073439999999996</v>
      </c>
      <c r="C9" s="1">
        <v>0.83334560000000002</v>
      </c>
      <c r="D9" s="1">
        <v>0.78425319999999998</v>
      </c>
      <c r="E9" s="1">
        <v>0.81210320000000003</v>
      </c>
      <c r="F9" s="1">
        <v>0.83589400000000003</v>
      </c>
      <c r="G9" s="1">
        <v>0.75604579999999999</v>
      </c>
      <c r="H9" s="1">
        <v>0.87488690000000002</v>
      </c>
      <c r="I9" s="1">
        <v>0.78338750000000001</v>
      </c>
      <c r="K9" s="1">
        <v>0.72802999999999995</v>
      </c>
      <c r="L9" s="1">
        <v>0.73046100000000003</v>
      </c>
      <c r="M9" s="1">
        <v>0.79650699999999997</v>
      </c>
      <c r="N9" s="1">
        <v>0.73784499999999997</v>
      </c>
      <c r="O9" s="1">
        <v>0.782142</v>
      </c>
      <c r="P9" s="1">
        <v>0.72407999999999995</v>
      </c>
      <c r="Q9" s="1">
        <v>0.86069600000000002</v>
      </c>
      <c r="R9" s="1">
        <v>0.78258799999999995</v>
      </c>
    </row>
    <row r="10" spans="1:18" x14ac:dyDescent="0.35">
      <c r="A10" s="16" t="s">
        <v>158</v>
      </c>
      <c r="B10" s="1">
        <v>0.78941340000000004</v>
      </c>
      <c r="C10" s="1">
        <v>0.80941839999999998</v>
      </c>
      <c r="D10" s="1">
        <v>0.86003039999999997</v>
      </c>
      <c r="E10" s="1">
        <v>0.79355540000000002</v>
      </c>
      <c r="F10" s="1">
        <v>0.9057134</v>
      </c>
      <c r="G10" s="1">
        <v>0.77614850000000002</v>
      </c>
      <c r="H10" s="1">
        <v>0.88950770000000001</v>
      </c>
      <c r="I10" s="1">
        <v>0.81342700000000001</v>
      </c>
      <c r="K10" s="1">
        <v>0.719503</v>
      </c>
      <c r="L10" s="1">
        <v>0.71853</v>
      </c>
      <c r="M10" s="1">
        <v>0.77781500000000003</v>
      </c>
      <c r="N10" s="1">
        <v>0.725742</v>
      </c>
      <c r="O10" s="1">
        <v>0.75818600000000003</v>
      </c>
      <c r="P10" s="1">
        <v>0.71687100000000004</v>
      </c>
      <c r="Q10" s="1">
        <v>0.87292700000000001</v>
      </c>
      <c r="R10" s="1">
        <v>0.84173900000000001</v>
      </c>
    </row>
    <row r="11" spans="1:18" x14ac:dyDescent="0.35">
      <c r="A11" s="16" t="s">
        <v>158</v>
      </c>
      <c r="B11" s="1">
        <v>0.7936491</v>
      </c>
      <c r="C11" s="1">
        <v>0.79026719999999995</v>
      </c>
      <c r="D11" s="1">
        <v>0.82739569999999996</v>
      </c>
      <c r="E11" s="1">
        <v>0.7977843</v>
      </c>
      <c r="F11" s="1">
        <v>0.84205390000000002</v>
      </c>
      <c r="G11" s="1">
        <v>0.74730540000000001</v>
      </c>
      <c r="H11" s="1">
        <v>0.85766399999999998</v>
      </c>
      <c r="I11" s="1">
        <v>0.76533569999999995</v>
      </c>
      <c r="K11" s="1">
        <v>0.71809599999999996</v>
      </c>
      <c r="L11" s="1">
        <v>0.71637600000000001</v>
      </c>
      <c r="M11" s="1">
        <v>0.80105599999999999</v>
      </c>
      <c r="N11" s="1">
        <v>0.717997</v>
      </c>
      <c r="O11" s="1">
        <v>0.76535200000000003</v>
      </c>
      <c r="P11" s="1">
        <v>0.70503800000000005</v>
      </c>
      <c r="Q11" s="1">
        <v>0.84392299999999998</v>
      </c>
      <c r="R11" s="1">
        <v>0.82758100000000001</v>
      </c>
    </row>
    <row r="12" spans="1:18" x14ac:dyDescent="0.35">
      <c r="A12" s="16" t="s">
        <v>158</v>
      </c>
      <c r="B12" s="1">
        <v>0.80224260000000003</v>
      </c>
      <c r="C12" s="1">
        <v>0.81502280000000005</v>
      </c>
      <c r="D12" s="1">
        <v>0.82794210000000001</v>
      </c>
      <c r="E12" s="1">
        <v>0.83350869999999999</v>
      </c>
      <c r="F12" s="1">
        <v>0.86904689999999996</v>
      </c>
      <c r="G12" s="1">
        <v>0.73205659999999995</v>
      </c>
      <c r="H12" s="1">
        <v>0.84073600000000004</v>
      </c>
      <c r="I12" s="1">
        <v>0.77686750000000004</v>
      </c>
      <c r="K12" s="1">
        <v>0.737842</v>
      </c>
      <c r="L12" s="1">
        <v>0.72784899999999997</v>
      </c>
      <c r="M12" s="1">
        <v>0.77592799999999995</v>
      </c>
      <c r="N12" s="1">
        <v>0.70560999999999996</v>
      </c>
      <c r="O12" s="1">
        <v>0.74862200000000001</v>
      </c>
      <c r="P12" s="1">
        <v>0.70791499999999996</v>
      </c>
      <c r="Q12" s="1">
        <v>0.85747600000000002</v>
      </c>
      <c r="R12" s="1">
        <v>0.79408699999999999</v>
      </c>
    </row>
    <row r="13" spans="1:18" x14ac:dyDescent="0.35">
      <c r="A13" s="16" t="s">
        <v>158</v>
      </c>
      <c r="B13" s="1">
        <v>0.78200689999999995</v>
      </c>
      <c r="C13" s="1">
        <v>0.82513700000000001</v>
      </c>
      <c r="D13" s="1">
        <v>0.89259920000000004</v>
      </c>
      <c r="E13" s="1">
        <v>0.85228619999999999</v>
      </c>
      <c r="F13" s="1">
        <v>0.85475129999999999</v>
      </c>
      <c r="G13" s="1">
        <v>0.75676920000000003</v>
      </c>
      <c r="H13" s="1">
        <v>0.56064849999999999</v>
      </c>
      <c r="I13" s="1">
        <v>0.54107059999999996</v>
      </c>
      <c r="K13" s="1">
        <v>0.72260999999999997</v>
      </c>
      <c r="L13" s="1">
        <v>0.72714100000000004</v>
      </c>
      <c r="M13" s="1">
        <v>0.77611300000000005</v>
      </c>
      <c r="N13" s="1">
        <v>0.74221499999999996</v>
      </c>
      <c r="O13" s="1">
        <v>0.77227800000000002</v>
      </c>
      <c r="P13" s="1">
        <v>0.72986600000000001</v>
      </c>
      <c r="Q13" s="1">
        <v>0.54354000000000002</v>
      </c>
      <c r="R13" s="1">
        <v>0.51294399999999996</v>
      </c>
    </row>
    <row r="14" spans="1:18" x14ac:dyDescent="0.35">
      <c r="A14" s="16" t="s">
        <v>158</v>
      </c>
      <c r="B14" s="1">
        <v>0.8196116</v>
      </c>
      <c r="C14" s="1">
        <v>0.77985939999999998</v>
      </c>
      <c r="D14" s="1">
        <v>0.82893070000000002</v>
      </c>
      <c r="E14" s="1">
        <v>0.80092249999999998</v>
      </c>
      <c r="F14" s="1">
        <v>0.8427327</v>
      </c>
      <c r="G14" s="1">
        <v>0.74191430000000003</v>
      </c>
      <c r="H14" s="1">
        <v>0.85094550000000002</v>
      </c>
      <c r="I14" s="1">
        <v>0.80929390000000001</v>
      </c>
      <c r="K14" s="1">
        <v>0.76476699999999997</v>
      </c>
      <c r="L14" s="1">
        <v>0.73400100000000001</v>
      </c>
      <c r="M14" s="1">
        <v>0.76800900000000005</v>
      </c>
      <c r="N14" s="1">
        <v>0.735985</v>
      </c>
      <c r="O14" s="1">
        <v>0.75699000000000005</v>
      </c>
      <c r="P14" s="1">
        <v>0.76428700000000005</v>
      </c>
      <c r="Q14" s="1">
        <v>0.84183399999999997</v>
      </c>
      <c r="R14" s="1">
        <v>0.75400500000000004</v>
      </c>
    </row>
    <row r="15" spans="1:18" x14ac:dyDescent="0.35">
      <c r="A15" s="16" t="s">
        <v>158</v>
      </c>
      <c r="B15" s="1">
        <v>0.78861709999999996</v>
      </c>
      <c r="C15" s="1">
        <v>0.73389150000000003</v>
      </c>
      <c r="D15" s="1">
        <v>0.78995409999999999</v>
      </c>
      <c r="E15" s="1">
        <v>0.746749</v>
      </c>
      <c r="F15" s="1">
        <v>0.77172090000000004</v>
      </c>
      <c r="G15" s="1">
        <v>0.69357800000000003</v>
      </c>
      <c r="H15" s="1">
        <v>0.76826039999999995</v>
      </c>
      <c r="I15" s="1">
        <v>0.73658009999999996</v>
      </c>
      <c r="K15" s="1">
        <v>0.72726500000000005</v>
      </c>
      <c r="L15" s="1">
        <v>0.715341</v>
      </c>
      <c r="M15" s="1">
        <v>0.74116899999999997</v>
      </c>
      <c r="N15" s="1">
        <v>0.696214</v>
      </c>
      <c r="O15" s="1">
        <v>0.71146799999999999</v>
      </c>
      <c r="P15" s="1">
        <v>0.685616</v>
      </c>
      <c r="Q15" s="1">
        <v>0.77225500000000002</v>
      </c>
      <c r="R15" s="1">
        <v>0.72567199999999998</v>
      </c>
    </row>
    <row r="16" spans="1:18" x14ac:dyDescent="0.35">
      <c r="A16" s="16" t="s">
        <v>158</v>
      </c>
      <c r="B16" s="1">
        <v>0.82684329999999995</v>
      </c>
      <c r="C16" s="1">
        <v>0.78329649999999995</v>
      </c>
      <c r="D16" s="1">
        <v>0.80623540000000005</v>
      </c>
      <c r="E16" s="1">
        <v>0.76216340000000005</v>
      </c>
      <c r="F16" s="1">
        <v>0.8196348</v>
      </c>
      <c r="G16" s="1">
        <v>0.73247960000000001</v>
      </c>
      <c r="H16" s="1">
        <v>0.8223104</v>
      </c>
      <c r="I16" s="1">
        <v>0.76936309999999997</v>
      </c>
      <c r="K16" s="1">
        <v>0.73597900000000005</v>
      </c>
      <c r="L16" s="1">
        <v>0.72767599999999999</v>
      </c>
      <c r="M16" s="1">
        <v>0.75058000000000002</v>
      </c>
      <c r="N16" s="1">
        <v>0.71477800000000002</v>
      </c>
      <c r="O16" s="1">
        <v>0.75123099999999998</v>
      </c>
      <c r="P16" s="1">
        <v>0.730966</v>
      </c>
      <c r="Q16" s="1">
        <v>0.81346600000000002</v>
      </c>
      <c r="R16" s="1">
        <v>0.81606400000000001</v>
      </c>
    </row>
    <row r="17" spans="1:18" x14ac:dyDescent="0.35">
      <c r="A17" s="16" t="s">
        <v>158</v>
      </c>
      <c r="B17" s="1">
        <v>0.79164670000000004</v>
      </c>
      <c r="C17" s="1">
        <v>0.7667562</v>
      </c>
      <c r="D17" s="1">
        <v>0.84076989999999996</v>
      </c>
      <c r="E17" s="1">
        <v>0.7437011</v>
      </c>
      <c r="F17" s="1">
        <v>0.82114480000000001</v>
      </c>
      <c r="G17" s="1">
        <v>0.72318709999999997</v>
      </c>
      <c r="H17" s="1">
        <v>0.79683009999999999</v>
      </c>
      <c r="I17" s="1">
        <v>0.75206070000000003</v>
      </c>
      <c r="K17" s="1">
        <v>0.69813800000000004</v>
      </c>
      <c r="L17" s="1">
        <v>0.70396300000000001</v>
      </c>
      <c r="M17" s="1">
        <v>0.76912700000000001</v>
      </c>
      <c r="N17" s="1">
        <v>0.71838000000000002</v>
      </c>
      <c r="O17" s="1">
        <v>0.72586600000000001</v>
      </c>
      <c r="P17" s="1">
        <v>0.71180600000000005</v>
      </c>
      <c r="Q17" s="1">
        <v>0.84697500000000003</v>
      </c>
      <c r="R17" s="1">
        <v>0.79544000000000004</v>
      </c>
    </row>
    <row r="18" spans="1:18" x14ac:dyDescent="0.35">
      <c r="A18" s="16" t="s">
        <v>158</v>
      </c>
      <c r="B18" s="1">
        <v>0.79537139999999995</v>
      </c>
      <c r="C18" s="1">
        <v>0.79683150000000003</v>
      </c>
      <c r="D18" s="1">
        <v>0.8207044</v>
      </c>
      <c r="E18" s="1">
        <v>0.78598020000000002</v>
      </c>
      <c r="F18" s="1">
        <v>0.85790949999999999</v>
      </c>
      <c r="G18" s="1">
        <v>0.7443649</v>
      </c>
      <c r="H18" s="1">
        <v>0.77956809999999999</v>
      </c>
      <c r="I18" s="1">
        <v>0.75920880000000002</v>
      </c>
      <c r="K18" s="1">
        <v>0.71084599999999998</v>
      </c>
      <c r="L18" s="1">
        <v>0.69580399999999998</v>
      </c>
      <c r="M18" s="1">
        <v>0.78619399999999995</v>
      </c>
      <c r="N18" s="1">
        <v>0.72878100000000001</v>
      </c>
      <c r="O18" s="1">
        <v>0.72298799999999996</v>
      </c>
      <c r="P18" s="1">
        <v>0.71713899999999997</v>
      </c>
      <c r="Q18" s="1">
        <v>0.82818199999999997</v>
      </c>
      <c r="R18" s="1">
        <v>0.81154300000000001</v>
      </c>
    </row>
    <row r="19" spans="1:18" x14ac:dyDescent="0.35">
      <c r="A19" s="16" t="s">
        <v>158</v>
      </c>
      <c r="B19" s="1">
        <v>0.78949789999999997</v>
      </c>
      <c r="C19" s="1">
        <v>0.78999180000000002</v>
      </c>
      <c r="D19" s="1">
        <v>0.80897399999999997</v>
      </c>
      <c r="E19" s="1">
        <v>0.85576110000000005</v>
      </c>
      <c r="F19" s="1">
        <v>0.863896</v>
      </c>
      <c r="G19" s="1">
        <v>0.75859540000000003</v>
      </c>
      <c r="H19" s="1">
        <v>0.81011250000000001</v>
      </c>
      <c r="I19" s="1">
        <v>0.76811090000000004</v>
      </c>
      <c r="K19" s="1">
        <v>0.72826000000000002</v>
      </c>
      <c r="L19" s="1">
        <v>0.70527799999999996</v>
      </c>
      <c r="M19" s="1">
        <v>0.77558899999999997</v>
      </c>
      <c r="N19" s="1">
        <v>0.72859099999999999</v>
      </c>
      <c r="O19" s="1">
        <v>0.75798100000000002</v>
      </c>
      <c r="P19" s="1">
        <v>0.73663299999999998</v>
      </c>
      <c r="Q19" s="1">
        <v>0.81666700000000003</v>
      </c>
      <c r="R19" s="1">
        <v>0.80138500000000001</v>
      </c>
    </row>
    <row r="20" spans="1:18" x14ac:dyDescent="0.35">
      <c r="A20" s="16" t="s">
        <v>158</v>
      </c>
      <c r="B20" s="1">
        <v>0.74529679999999998</v>
      </c>
      <c r="C20" s="1">
        <v>0.85023360000000003</v>
      </c>
      <c r="D20" s="1">
        <v>0.81388570000000005</v>
      </c>
      <c r="E20" s="1">
        <v>0.82546379999999997</v>
      </c>
      <c r="F20" s="1">
        <v>0.83210919999999999</v>
      </c>
      <c r="G20" s="1">
        <v>0.71535990000000005</v>
      </c>
      <c r="H20" s="1">
        <v>0.82171059999999996</v>
      </c>
      <c r="I20" s="1">
        <v>0.78562080000000001</v>
      </c>
      <c r="K20" s="1">
        <v>0.68937800000000005</v>
      </c>
      <c r="L20" s="1">
        <v>0.70084599999999997</v>
      </c>
      <c r="M20" s="1">
        <v>0.74216199999999999</v>
      </c>
      <c r="N20" s="1">
        <v>0.73591600000000001</v>
      </c>
      <c r="O20" s="1">
        <v>0.77670300000000003</v>
      </c>
      <c r="P20" s="1">
        <v>0.71512799999999999</v>
      </c>
      <c r="Q20" s="1">
        <v>0.79051099999999996</v>
      </c>
      <c r="R20" s="1">
        <v>0.780999</v>
      </c>
    </row>
    <row r="21" spans="1:18" x14ac:dyDescent="0.35">
      <c r="A21" s="16" t="s">
        <v>158</v>
      </c>
      <c r="B21" s="1">
        <v>0.76010009999999995</v>
      </c>
      <c r="C21" s="1">
        <v>0.88652540000000002</v>
      </c>
      <c r="D21" s="1">
        <v>0.83640420000000004</v>
      </c>
      <c r="E21" s="1">
        <v>0.80630520000000006</v>
      </c>
      <c r="F21" s="1">
        <v>0.86306899999999998</v>
      </c>
      <c r="G21" s="1">
        <v>0.72153489999999998</v>
      </c>
      <c r="H21" s="1">
        <v>0.77593290000000004</v>
      </c>
      <c r="I21" s="1">
        <v>0.76707579999999997</v>
      </c>
      <c r="K21" s="1">
        <v>0.72387199999999996</v>
      </c>
      <c r="L21" s="1">
        <v>0.69242899999999996</v>
      </c>
      <c r="M21" s="1">
        <v>0.73728499999999997</v>
      </c>
      <c r="N21" s="1">
        <v>0.71235599999999999</v>
      </c>
      <c r="O21" s="1">
        <v>0.79005599999999998</v>
      </c>
      <c r="P21" s="1">
        <v>0.71611000000000002</v>
      </c>
      <c r="Q21" s="1">
        <v>0.808473</v>
      </c>
      <c r="R21" s="1">
        <v>0.80139400000000005</v>
      </c>
    </row>
    <row r="22" spans="1:18" x14ac:dyDescent="0.35">
      <c r="A22" s="16" t="s">
        <v>158</v>
      </c>
      <c r="B22" s="1">
        <v>0.78078890000000001</v>
      </c>
      <c r="C22" s="1">
        <v>0.86043449999999999</v>
      </c>
      <c r="D22" s="1">
        <v>0.85271039999999998</v>
      </c>
      <c r="E22" s="1">
        <v>0.78077909999999995</v>
      </c>
      <c r="F22" s="1">
        <v>0.88957450000000005</v>
      </c>
      <c r="G22" s="1">
        <v>0.75098030000000005</v>
      </c>
      <c r="H22" s="1">
        <v>0.75335019999999997</v>
      </c>
      <c r="I22" s="1">
        <v>0.81682690000000002</v>
      </c>
      <c r="K22" s="1">
        <v>0.72299599999999997</v>
      </c>
      <c r="L22" s="1">
        <v>0.72006400000000004</v>
      </c>
      <c r="M22" s="1">
        <v>0.75347699999999995</v>
      </c>
      <c r="N22" s="1">
        <v>0.69959700000000002</v>
      </c>
      <c r="O22" s="1">
        <v>0.79225299999999999</v>
      </c>
      <c r="P22" s="1">
        <v>0.73746800000000001</v>
      </c>
      <c r="Q22" s="1">
        <v>0.85056799999999999</v>
      </c>
      <c r="R22" s="1">
        <v>0.80099900000000002</v>
      </c>
    </row>
    <row r="23" spans="1:18" x14ac:dyDescent="0.35">
      <c r="A23" s="16" t="s">
        <v>158</v>
      </c>
      <c r="B23" s="1">
        <v>0.8508947</v>
      </c>
      <c r="C23" s="1">
        <v>0.84540510000000002</v>
      </c>
      <c r="D23" s="1">
        <v>0.85032549999999996</v>
      </c>
      <c r="E23" s="1">
        <v>0.76420940000000004</v>
      </c>
      <c r="F23" s="1">
        <v>0.88331700000000002</v>
      </c>
      <c r="G23" s="1">
        <v>0.72618459999999996</v>
      </c>
      <c r="H23" s="1">
        <v>0.83098550000000004</v>
      </c>
      <c r="I23" s="1">
        <v>0.81627859999999997</v>
      </c>
      <c r="K23" s="1">
        <v>0.72306700000000002</v>
      </c>
      <c r="L23" s="1">
        <v>0.73139299999999996</v>
      </c>
      <c r="M23" s="1">
        <v>0.75360300000000002</v>
      </c>
      <c r="N23" s="1">
        <v>0.71888600000000002</v>
      </c>
      <c r="O23" s="1">
        <v>0.78944899999999996</v>
      </c>
      <c r="P23" s="1">
        <v>0.70564099999999996</v>
      </c>
      <c r="Q23" s="1">
        <v>0.85539100000000001</v>
      </c>
      <c r="R23" s="1">
        <v>0.81854700000000002</v>
      </c>
    </row>
    <row r="24" spans="1:18" x14ac:dyDescent="0.35">
      <c r="A24" s="16" t="s">
        <v>158</v>
      </c>
      <c r="B24" s="1">
        <v>0.81566309999999997</v>
      </c>
      <c r="C24" s="1">
        <v>0.85038919999999996</v>
      </c>
      <c r="D24" s="1">
        <v>0.83867400000000003</v>
      </c>
      <c r="E24" s="1">
        <v>0.79772129999999997</v>
      </c>
      <c r="F24" s="1">
        <v>0.89157960000000003</v>
      </c>
      <c r="G24" s="1">
        <v>0.73095129999999997</v>
      </c>
      <c r="H24" s="1">
        <v>0.8432134</v>
      </c>
      <c r="I24" s="1">
        <v>0.81822450000000002</v>
      </c>
      <c r="K24" s="1">
        <v>0.73221000000000003</v>
      </c>
      <c r="L24" s="1">
        <v>0.73204000000000002</v>
      </c>
      <c r="M24" s="1">
        <v>0.73990599999999995</v>
      </c>
      <c r="N24" s="1">
        <v>0.71085500000000001</v>
      </c>
      <c r="O24" s="1">
        <v>0.77343899999999999</v>
      </c>
      <c r="P24" s="1">
        <v>0.72853000000000001</v>
      </c>
      <c r="Q24" s="1">
        <v>0.86558999999999997</v>
      </c>
      <c r="R24" s="1">
        <v>0.80220800000000003</v>
      </c>
    </row>
    <row r="25" spans="1:18" x14ac:dyDescent="0.35">
      <c r="A25" s="16" t="s">
        <v>158</v>
      </c>
      <c r="B25" s="1">
        <v>0.80723739999999999</v>
      </c>
      <c r="C25" s="1">
        <v>0.83468290000000001</v>
      </c>
      <c r="D25" s="1">
        <v>0.82594880000000004</v>
      </c>
      <c r="E25" s="1">
        <v>0.79376139999999995</v>
      </c>
      <c r="F25" s="1">
        <v>0.87158720000000001</v>
      </c>
      <c r="G25" s="1">
        <v>0.72659419999999997</v>
      </c>
      <c r="H25" s="1">
        <v>0.80582989999999999</v>
      </c>
      <c r="I25" s="1">
        <v>0.81831469999999995</v>
      </c>
      <c r="K25" s="1">
        <v>0.71442700000000003</v>
      </c>
      <c r="L25" s="1">
        <v>0.71607500000000002</v>
      </c>
      <c r="M25" s="1">
        <v>0.76397700000000002</v>
      </c>
      <c r="N25" s="1">
        <v>0.75264699999999995</v>
      </c>
      <c r="O25" s="1">
        <v>0.76741999999999999</v>
      </c>
      <c r="P25" s="1">
        <v>0.735711</v>
      </c>
      <c r="Q25" s="1">
        <v>0.88637100000000002</v>
      </c>
      <c r="R25" s="1">
        <v>0.84438800000000003</v>
      </c>
    </row>
    <row r="26" spans="1:18" x14ac:dyDescent="0.35">
      <c r="A26" s="16" t="s">
        <v>158</v>
      </c>
      <c r="B26" s="1">
        <v>0.77494289999999999</v>
      </c>
      <c r="C26" s="1">
        <v>0.82246569999999997</v>
      </c>
      <c r="D26" s="1">
        <v>0.89126179999999999</v>
      </c>
      <c r="E26" s="1">
        <v>0.80040719999999999</v>
      </c>
      <c r="F26" s="1">
        <v>0.88247580000000003</v>
      </c>
      <c r="G26" s="1">
        <v>0.74338170000000003</v>
      </c>
      <c r="H26" s="1">
        <v>0.82277330000000004</v>
      </c>
      <c r="I26" s="1">
        <v>0.79721209999999998</v>
      </c>
      <c r="K26" s="1">
        <v>0.68758900000000001</v>
      </c>
      <c r="L26" s="1">
        <v>0.700488</v>
      </c>
      <c r="M26" s="1">
        <v>0.81445999999999996</v>
      </c>
      <c r="N26" s="1">
        <v>0.72289899999999996</v>
      </c>
      <c r="O26" s="1">
        <v>0.75430299999999995</v>
      </c>
      <c r="P26" s="1">
        <v>0.70665900000000004</v>
      </c>
      <c r="Q26" s="1">
        <v>0.85196700000000003</v>
      </c>
      <c r="R26" s="1">
        <v>0.82501400000000003</v>
      </c>
    </row>
    <row r="27" spans="1:18" x14ac:dyDescent="0.35">
      <c r="A27" s="16" t="s">
        <v>158</v>
      </c>
      <c r="B27" s="1">
        <v>0.77166630000000003</v>
      </c>
      <c r="C27" s="1">
        <v>0.82416100000000003</v>
      </c>
      <c r="D27" s="1">
        <v>0.88908370000000003</v>
      </c>
      <c r="E27" s="1">
        <v>0.82960009999999995</v>
      </c>
      <c r="F27" s="1">
        <v>0.87649809999999995</v>
      </c>
      <c r="G27" s="1">
        <v>0.76158179999999998</v>
      </c>
      <c r="H27" s="1">
        <v>0.83052429999999999</v>
      </c>
      <c r="I27" s="1">
        <v>0.79175139999999999</v>
      </c>
      <c r="K27" s="1">
        <v>0.71376099999999998</v>
      </c>
      <c r="L27" s="1">
        <v>0.70275900000000002</v>
      </c>
      <c r="M27" s="1">
        <v>0.76305199999999995</v>
      </c>
      <c r="N27" s="1">
        <v>0.73331599999999997</v>
      </c>
      <c r="O27" s="1">
        <v>0.77556499999999995</v>
      </c>
      <c r="P27" s="1">
        <v>0.69537700000000002</v>
      </c>
      <c r="Q27" s="1">
        <v>0.85133099999999995</v>
      </c>
      <c r="R27" s="1">
        <v>0.81861300000000004</v>
      </c>
    </row>
    <row r="28" spans="1:18" x14ac:dyDescent="0.35">
      <c r="A28" s="16" t="s">
        <v>158</v>
      </c>
      <c r="B28" s="1">
        <v>0.83087829999999996</v>
      </c>
      <c r="C28" s="1">
        <v>0.80309189999999997</v>
      </c>
      <c r="D28" s="1">
        <v>0.91204949999999996</v>
      </c>
      <c r="E28" s="1">
        <v>0.83488790000000002</v>
      </c>
      <c r="F28" s="1">
        <v>0.90260050000000003</v>
      </c>
      <c r="G28" s="1">
        <v>0.7937362</v>
      </c>
      <c r="H28" s="1">
        <v>0.87913660000000005</v>
      </c>
      <c r="I28" s="1">
        <v>0.85660939999999997</v>
      </c>
      <c r="K28" s="1">
        <v>0.73213300000000003</v>
      </c>
      <c r="L28" s="1">
        <v>0.72110200000000002</v>
      </c>
      <c r="M28" s="1">
        <v>0.805975</v>
      </c>
      <c r="N28" s="1">
        <v>0.74872300000000003</v>
      </c>
      <c r="O28" s="1">
        <v>0.73058400000000001</v>
      </c>
      <c r="P28" s="1">
        <v>0.721584</v>
      </c>
      <c r="Q28" s="1">
        <v>0.86794400000000005</v>
      </c>
      <c r="R28" s="1">
        <v>0.78649000000000002</v>
      </c>
    </row>
    <row r="29" spans="1:18" x14ac:dyDescent="0.35">
      <c r="A29" s="16" t="s">
        <v>158</v>
      </c>
      <c r="B29" s="1">
        <v>0.84947859999999997</v>
      </c>
      <c r="C29" s="1">
        <v>0.8044327</v>
      </c>
      <c r="D29" s="1">
        <v>0.89984900000000001</v>
      </c>
      <c r="E29" s="1">
        <v>0.80903239999999998</v>
      </c>
      <c r="F29" s="1">
        <v>0.92618670000000003</v>
      </c>
      <c r="G29" s="1">
        <v>0.77834340000000002</v>
      </c>
      <c r="H29" s="1">
        <v>0.8623613</v>
      </c>
      <c r="I29" s="1">
        <v>0.8469354</v>
      </c>
      <c r="K29" s="1">
        <v>0.72001499999999996</v>
      </c>
      <c r="L29" s="1">
        <v>0.72834399999999999</v>
      </c>
      <c r="M29" s="1">
        <v>0.82783700000000005</v>
      </c>
      <c r="N29" s="1">
        <v>0.71765999999999996</v>
      </c>
      <c r="O29" s="1">
        <v>0.73489199999999999</v>
      </c>
      <c r="P29" s="1">
        <v>0.72473299999999996</v>
      </c>
      <c r="Q29" s="1">
        <v>0.86136199999999996</v>
      </c>
      <c r="R29" s="1">
        <v>0.78948399999999996</v>
      </c>
    </row>
    <row r="30" spans="1:18" x14ac:dyDescent="0.35">
      <c r="A30" s="16" t="s">
        <v>158</v>
      </c>
      <c r="B30" s="1">
        <v>0.8924166</v>
      </c>
      <c r="C30" s="1">
        <v>0.84816930000000001</v>
      </c>
      <c r="D30" s="1">
        <v>0.87422339999999998</v>
      </c>
      <c r="E30" s="1">
        <v>0.82394559999999994</v>
      </c>
      <c r="F30" s="1">
        <v>0.92800609999999994</v>
      </c>
      <c r="G30" s="1">
        <v>0.75777729999999999</v>
      </c>
      <c r="H30" s="1">
        <v>0.85245499999999996</v>
      </c>
      <c r="I30" s="1">
        <v>0.81694619999999996</v>
      </c>
      <c r="K30" s="1">
        <v>0.699461</v>
      </c>
      <c r="L30" s="1">
        <v>0.70219699999999996</v>
      </c>
      <c r="M30" s="1">
        <v>0.82042199999999998</v>
      </c>
      <c r="N30" s="1">
        <v>0.71624100000000002</v>
      </c>
      <c r="O30" s="1">
        <v>0.734846</v>
      </c>
      <c r="P30" s="1">
        <v>0.70762700000000001</v>
      </c>
      <c r="Q30" s="1">
        <v>0.81972500000000004</v>
      </c>
      <c r="R30" s="1">
        <v>0.80231799999999998</v>
      </c>
    </row>
    <row r="31" spans="1:18" x14ac:dyDescent="0.35">
      <c r="A31" s="16" t="s">
        <v>158</v>
      </c>
      <c r="B31" s="1">
        <v>0.85419679999999998</v>
      </c>
      <c r="C31" s="1">
        <v>0.81787410000000005</v>
      </c>
      <c r="D31" s="1">
        <v>0.88088900000000003</v>
      </c>
      <c r="E31" s="1">
        <v>0.83391769999999998</v>
      </c>
      <c r="F31" s="1">
        <v>0.90082039999999997</v>
      </c>
      <c r="G31" s="1">
        <v>0.74491200000000002</v>
      </c>
      <c r="H31" s="1">
        <v>0.84554300000000004</v>
      </c>
      <c r="I31" s="1">
        <v>0.79633480000000001</v>
      </c>
      <c r="K31" s="1">
        <v>0.73055899999999996</v>
      </c>
      <c r="L31" s="1">
        <v>0.698291</v>
      </c>
      <c r="M31" s="1">
        <v>0.84275299999999997</v>
      </c>
      <c r="N31" s="1">
        <v>0.75081799999999999</v>
      </c>
      <c r="O31" s="1">
        <v>0.80275600000000003</v>
      </c>
      <c r="P31" s="1">
        <v>0.71779400000000004</v>
      </c>
      <c r="Q31" s="1">
        <v>0.80803199999999997</v>
      </c>
      <c r="R31" s="1">
        <v>0.82414200000000004</v>
      </c>
    </row>
    <row r="32" spans="1:18" x14ac:dyDescent="0.35">
      <c r="A32" s="16" t="s">
        <v>158</v>
      </c>
      <c r="B32" s="1">
        <v>0.82933489999999999</v>
      </c>
      <c r="C32" s="1">
        <v>0.77690429999999999</v>
      </c>
      <c r="D32" s="1">
        <v>0.85624400000000001</v>
      </c>
      <c r="E32" s="1">
        <v>0.82578739999999995</v>
      </c>
      <c r="F32" s="1">
        <v>0.90399209999999997</v>
      </c>
      <c r="G32" s="1">
        <v>0.75510379999999999</v>
      </c>
      <c r="H32" s="1">
        <v>0.85264580000000001</v>
      </c>
      <c r="I32" s="1">
        <v>0.80187169999999997</v>
      </c>
      <c r="K32" s="1">
        <v>0.71219699999999997</v>
      </c>
      <c r="L32" s="1">
        <v>0.69126600000000005</v>
      </c>
      <c r="M32" s="1">
        <v>0.81180300000000005</v>
      </c>
      <c r="N32" s="1">
        <v>0.75662700000000005</v>
      </c>
      <c r="O32" s="1">
        <v>0.81461700000000004</v>
      </c>
      <c r="P32" s="1">
        <v>0.70180699999999996</v>
      </c>
      <c r="Q32" s="1">
        <v>0.85299499999999995</v>
      </c>
      <c r="R32" s="1">
        <v>0.85483100000000001</v>
      </c>
    </row>
    <row r="33" spans="1:18" x14ac:dyDescent="0.35">
      <c r="A33" s="16" t="s">
        <v>158</v>
      </c>
      <c r="B33" s="1">
        <v>0.82831370000000004</v>
      </c>
      <c r="C33" s="1">
        <v>0.79664060000000003</v>
      </c>
      <c r="D33" s="1">
        <v>0.8617416</v>
      </c>
      <c r="E33" s="1">
        <v>0.81729799999999997</v>
      </c>
      <c r="F33" s="1">
        <v>0.89740759999999997</v>
      </c>
      <c r="G33" s="1">
        <v>0.74219979999999997</v>
      </c>
      <c r="H33" s="1">
        <v>0.84922600000000004</v>
      </c>
      <c r="I33" s="1">
        <v>0.78510709999999995</v>
      </c>
      <c r="K33" s="1">
        <v>0.70691999999999999</v>
      </c>
      <c r="L33" s="1">
        <v>0.70818700000000001</v>
      </c>
      <c r="M33" s="1">
        <v>0.81096800000000002</v>
      </c>
      <c r="N33" s="1">
        <v>0.73701399999999995</v>
      </c>
      <c r="O33" s="1">
        <v>0.81219399999999997</v>
      </c>
      <c r="P33" s="1">
        <v>0.70274599999999998</v>
      </c>
      <c r="Q33" s="1">
        <v>0.86702400000000002</v>
      </c>
      <c r="R33" s="1">
        <v>0.81674599999999997</v>
      </c>
    </row>
    <row r="34" spans="1:18" x14ac:dyDescent="0.35">
      <c r="A34" s="16" t="s">
        <v>158</v>
      </c>
      <c r="B34" s="1">
        <v>0.85366589999999998</v>
      </c>
      <c r="C34" s="1">
        <v>0.80363870000000004</v>
      </c>
      <c r="D34" s="1">
        <v>0.88002060000000004</v>
      </c>
      <c r="E34" s="1">
        <v>0.7707619</v>
      </c>
      <c r="F34" s="1">
        <v>0.89907570000000003</v>
      </c>
      <c r="G34" s="1">
        <v>0.72287630000000003</v>
      </c>
      <c r="H34" s="1">
        <v>0.81653359999999997</v>
      </c>
      <c r="I34" s="1">
        <v>0.82682370000000005</v>
      </c>
      <c r="K34" s="1">
        <v>0.72638199999999997</v>
      </c>
      <c r="L34" s="1">
        <v>0.69425000000000003</v>
      </c>
      <c r="M34" s="1">
        <v>0.84786899999999998</v>
      </c>
      <c r="N34" s="1">
        <v>0.73947799999999997</v>
      </c>
      <c r="O34" s="1">
        <v>0.80715300000000001</v>
      </c>
      <c r="P34" s="1">
        <v>0.73152700000000004</v>
      </c>
      <c r="Q34" s="1">
        <v>0.85545199999999999</v>
      </c>
      <c r="R34" s="1">
        <v>0.85082599999999997</v>
      </c>
    </row>
    <row r="35" spans="1:18" x14ac:dyDescent="0.35">
      <c r="A35" s="16" t="s">
        <v>158</v>
      </c>
      <c r="B35" s="1">
        <v>0.82152309999999995</v>
      </c>
      <c r="C35" s="1">
        <v>0.81269440000000004</v>
      </c>
      <c r="D35" s="1">
        <v>0.89397190000000004</v>
      </c>
      <c r="E35" s="1">
        <v>0.85667300000000002</v>
      </c>
      <c r="F35" s="1">
        <v>0.93921560000000004</v>
      </c>
      <c r="G35" s="1">
        <v>0.75287280000000001</v>
      </c>
      <c r="H35" s="1">
        <v>0.82581579999999999</v>
      </c>
      <c r="I35" s="1">
        <v>0.83893439999999997</v>
      </c>
      <c r="K35" s="1">
        <v>0.705986</v>
      </c>
      <c r="L35" s="1">
        <v>0.74049799999999999</v>
      </c>
      <c r="M35" s="1">
        <v>0.805732</v>
      </c>
      <c r="N35" s="1">
        <v>0.722302</v>
      </c>
      <c r="O35" s="1">
        <v>0.79086100000000004</v>
      </c>
      <c r="P35" s="1">
        <v>0.74210299999999996</v>
      </c>
      <c r="Q35" s="1">
        <v>0.84614900000000004</v>
      </c>
      <c r="R35" s="1">
        <v>0.84184499999999995</v>
      </c>
    </row>
    <row r="36" spans="1:18" x14ac:dyDescent="0.35">
      <c r="A36" s="16" t="s">
        <v>158</v>
      </c>
      <c r="B36" s="1">
        <v>0.82283609999999996</v>
      </c>
      <c r="C36" s="1">
        <v>0.82313769999999997</v>
      </c>
      <c r="D36" s="1">
        <v>0.88602709999999996</v>
      </c>
      <c r="E36" s="1">
        <v>0.86610259999999994</v>
      </c>
      <c r="F36" s="1">
        <v>0.93770379999999998</v>
      </c>
      <c r="G36" s="1">
        <v>0.75437589999999999</v>
      </c>
      <c r="H36" s="1">
        <v>0.84304129999999999</v>
      </c>
      <c r="I36" s="1">
        <v>0.88687240000000001</v>
      </c>
      <c r="K36" s="1">
        <v>0.72910399999999997</v>
      </c>
      <c r="L36" s="1">
        <v>0.70852000000000004</v>
      </c>
      <c r="M36" s="1">
        <v>0.81666799999999995</v>
      </c>
      <c r="N36" s="1">
        <v>0.75153899999999996</v>
      </c>
      <c r="O36" s="1">
        <v>0.808145</v>
      </c>
      <c r="P36" s="1">
        <v>0.74888699999999997</v>
      </c>
      <c r="Q36" s="1">
        <v>0.86506799999999995</v>
      </c>
      <c r="R36" s="1">
        <v>0.89483100000000004</v>
      </c>
    </row>
    <row r="37" spans="1:18" x14ac:dyDescent="0.35">
      <c r="A37" s="16" t="s">
        <v>158</v>
      </c>
      <c r="B37" s="1">
        <v>0.80791829999999998</v>
      </c>
      <c r="C37" s="1">
        <v>0.81527249999999996</v>
      </c>
      <c r="D37" s="1">
        <v>0.86293439999999999</v>
      </c>
      <c r="E37" s="1">
        <v>0.84605540000000001</v>
      </c>
      <c r="F37" s="1">
        <v>0.88194070000000002</v>
      </c>
      <c r="G37" s="1">
        <v>0.72783120000000001</v>
      </c>
      <c r="H37" s="1">
        <v>0.84279669999999995</v>
      </c>
      <c r="I37" s="1">
        <v>0.88902130000000001</v>
      </c>
      <c r="K37" s="1">
        <v>0.71401800000000004</v>
      </c>
      <c r="L37" s="1">
        <v>0.68297799999999997</v>
      </c>
      <c r="M37" s="1">
        <v>0.85706800000000005</v>
      </c>
      <c r="N37" s="1">
        <v>0.72576099999999999</v>
      </c>
      <c r="O37" s="1">
        <v>0.77393699999999999</v>
      </c>
      <c r="P37" s="1">
        <v>0.73994499999999996</v>
      </c>
      <c r="Q37" s="1">
        <v>0.818025</v>
      </c>
      <c r="R37" s="1">
        <v>0.83233100000000004</v>
      </c>
    </row>
    <row r="38" spans="1:18" x14ac:dyDescent="0.35">
      <c r="A38" s="16" t="s">
        <v>158</v>
      </c>
      <c r="B38" s="1">
        <v>0.8197468</v>
      </c>
      <c r="C38" s="1">
        <v>0.87580570000000002</v>
      </c>
      <c r="D38" s="1">
        <v>0.88514190000000004</v>
      </c>
      <c r="E38" s="1">
        <v>0.85326780000000002</v>
      </c>
      <c r="F38" s="1">
        <v>0.91346899999999998</v>
      </c>
      <c r="G38" s="1">
        <v>0.70470619999999995</v>
      </c>
      <c r="H38" s="1">
        <v>0.84887699999999999</v>
      </c>
      <c r="I38" s="1">
        <v>0.85154189999999996</v>
      </c>
      <c r="K38" s="1">
        <v>0.71971700000000005</v>
      </c>
      <c r="L38" s="1">
        <v>0.69526699999999997</v>
      </c>
      <c r="M38" s="1">
        <v>0.83903000000000005</v>
      </c>
      <c r="N38" s="1">
        <v>0.74229999999999996</v>
      </c>
      <c r="O38" s="1">
        <v>0.80206299999999997</v>
      </c>
      <c r="P38" s="1">
        <v>0.71900200000000003</v>
      </c>
      <c r="Q38" s="1">
        <v>0.81279900000000005</v>
      </c>
      <c r="R38" s="1">
        <v>0.85887599999999997</v>
      </c>
    </row>
    <row r="39" spans="1:18" x14ac:dyDescent="0.35">
      <c r="A39" s="16" t="s">
        <v>158</v>
      </c>
      <c r="B39" s="1">
        <v>0.78581719999999999</v>
      </c>
      <c r="C39" s="1">
        <v>0.86767510000000003</v>
      </c>
      <c r="D39" s="1">
        <v>0.8290402</v>
      </c>
      <c r="E39" s="1">
        <v>0.86802179999999995</v>
      </c>
      <c r="F39" s="1">
        <v>0.91137550000000001</v>
      </c>
      <c r="G39" s="1">
        <v>0.75395579999999995</v>
      </c>
      <c r="H39" s="1">
        <v>0.83066410000000002</v>
      </c>
      <c r="I39" s="1">
        <v>0.79858530000000005</v>
      </c>
      <c r="K39" s="1">
        <v>0.712947</v>
      </c>
      <c r="L39" s="1">
        <v>0.71501599999999998</v>
      </c>
      <c r="M39" s="1">
        <v>0.83557199999999998</v>
      </c>
      <c r="N39" s="1">
        <v>0.73243800000000003</v>
      </c>
      <c r="O39" s="1">
        <v>0.77774100000000002</v>
      </c>
      <c r="P39" s="1">
        <v>0.71096800000000004</v>
      </c>
      <c r="Q39" s="1">
        <v>0.818137</v>
      </c>
      <c r="R39" s="1">
        <v>0.87264299999999995</v>
      </c>
    </row>
    <row r="40" spans="1:18" x14ac:dyDescent="0.35">
      <c r="A40" s="16" t="s">
        <v>158</v>
      </c>
      <c r="B40" s="1">
        <v>0.85888410000000004</v>
      </c>
      <c r="C40" s="1">
        <v>0.88095230000000002</v>
      </c>
      <c r="D40" s="1">
        <v>0.81288110000000002</v>
      </c>
      <c r="E40" s="1">
        <v>0.88662879999999999</v>
      </c>
      <c r="F40" s="1">
        <v>0.89666610000000002</v>
      </c>
      <c r="G40" s="1">
        <v>0.83770840000000002</v>
      </c>
      <c r="H40" s="1">
        <v>0.8560101</v>
      </c>
      <c r="I40" s="1">
        <v>0.83061580000000002</v>
      </c>
      <c r="K40" s="1">
        <v>0.71546900000000002</v>
      </c>
      <c r="L40" s="1">
        <v>0.71331500000000003</v>
      </c>
      <c r="M40" s="1">
        <v>0.83272000000000002</v>
      </c>
      <c r="N40" s="1">
        <v>0.74490999999999996</v>
      </c>
      <c r="O40" s="1">
        <v>0.82966099999999998</v>
      </c>
      <c r="P40" s="1">
        <v>0.72427699999999995</v>
      </c>
      <c r="Q40" s="1">
        <v>0.85342399999999996</v>
      </c>
      <c r="R40" s="1">
        <v>0.90070099999999997</v>
      </c>
    </row>
    <row r="41" spans="1:18" x14ac:dyDescent="0.35">
      <c r="A41" s="16" t="s">
        <v>158</v>
      </c>
      <c r="B41" s="1">
        <v>0.83259090000000002</v>
      </c>
      <c r="C41" s="1">
        <v>0.8620582</v>
      </c>
      <c r="D41" s="1">
        <v>0.82459249999999995</v>
      </c>
      <c r="E41" s="1">
        <v>0.82470580000000004</v>
      </c>
      <c r="F41" s="1">
        <v>0.89350459999999998</v>
      </c>
      <c r="G41" s="1">
        <v>0.78968229999999995</v>
      </c>
      <c r="H41" s="1">
        <v>0.86755309999999997</v>
      </c>
      <c r="I41" s="1">
        <v>0.8639405</v>
      </c>
      <c r="K41" s="1">
        <v>0.70435999999999999</v>
      </c>
      <c r="L41" s="1">
        <v>0.73976600000000003</v>
      </c>
      <c r="M41" s="1">
        <v>0.855576</v>
      </c>
      <c r="N41" s="1">
        <v>0.72114599999999995</v>
      </c>
      <c r="O41" s="1">
        <v>0.76209199999999999</v>
      </c>
      <c r="P41" s="1">
        <v>0.71969300000000003</v>
      </c>
      <c r="Q41" s="1">
        <v>0.86941599999999997</v>
      </c>
      <c r="R41" s="1">
        <v>0.84662999999999999</v>
      </c>
    </row>
    <row r="42" spans="1:18" x14ac:dyDescent="0.35">
      <c r="A42" s="16" t="s">
        <v>158</v>
      </c>
      <c r="B42" s="1">
        <v>0.82683280000000003</v>
      </c>
      <c r="C42" s="1">
        <v>0.85420110000000005</v>
      </c>
      <c r="D42" s="1">
        <v>0.85342110000000004</v>
      </c>
      <c r="E42" s="1">
        <v>0.79645889999999997</v>
      </c>
      <c r="F42" s="1">
        <v>0.87260599999999999</v>
      </c>
      <c r="G42" s="1">
        <v>0.78083950000000002</v>
      </c>
      <c r="H42" s="1">
        <v>0.86578069999999996</v>
      </c>
      <c r="I42" s="1">
        <v>0.85658769999999995</v>
      </c>
      <c r="K42" s="1">
        <v>0.70868100000000001</v>
      </c>
      <c r="L42" s="1">
        <v>0.68496299999999999</v>
      </c>
      <c r="M42" s="1">
        <v>0.87500500000000003</v>
      </c>
      <c r="N42" s="1">
        <v>0.74372700000000003</v>
      </c>
      <c r="O42" s="1">
        <v>0.75175099999999995</v>
      </c>
      <c r="P42" s="1">
        <v>0.73942099999999999</v>
      </c>
      <c r="Q42" s="1">
        <v>0.87884399999999996</v>
      </c>
      <c r="R42" s="1">
        <v>0.85682599999999998</v>
      </c>
    </row>
    <row r="43" spans="1:18" x14ac:dyDescent="0.35">
      <c r="A43" s="16" t="s">
        <v>158</v>
      </c>
      <c r="B43" s="1">
        <v>0.81358569999999997</v>
      </c>
      <c r="C43" s="1">
        <v>0.85858619999999997</v>
      </c>
      <c r="D43" s="1">
        <v>0.89271630000000002</v>
      </c>
      <c r="E43" s="1">
        <v>0.7778079</v>
      </c>
      <c r="F43" s="1">
        <v>0.88806609999999997</v>
      </c>
      <c r="G43" s="1">
        <v>0.77143589999999995</v>
      </c>
      <c r="H43" s="1">
        <v>0.88400540000000005</v>
      </c>
      <c r="I43" s="1">
        <v>0.85885400000000001</v>
      </c>
      <c r="K43" s="1">
        <v>0.71111400000000002</v>
      </c>
      <c r="L43" s="1">
        <v>0.71653500000000003</v>
      </c>
      <c r="M43" s="1">
        <v>0.86272000000000004</v>
      </c>
      <c r="N43" s="1">
        <v>0.73021199999999997</v>
      </c>
      <c r="O43" s="1">
        <v>0.76567799999999997</v>
      </c>
      <c r="P43" s="1">
        <v>0.71438000000000001</v>
      </c>
      <c r="Q43" s="1">
        <v>0.89774299999999996</v>
      </c>
      <c r="R43" s="1">
        <v>0.86955199999999999</v>
      </c>
    </row>
    <row r="44" spans="1:18" x14ac:dyDescent="0.35">
      <c r="A44" s="16" t="s">
        <v>158</v>
      </c>
      <c r="B44" s="1">
        <v>0.85478719999999997</v>
      </c>
      <c r="C44" s="1">
        <v>0.86301819999999996</v>
      </c>
      <c r="D44" s="1">
        <v>0.89128419999999997</v>
      </c>
      <c r="E44" s="1">
        <v>0.79516189999999998</v>
      </c>
      <c r="F44" s="1">
        <v>0.90512769999999998</v>
      </c>
      <c r="G44" s="1">
        <v>0.77225029999999995</v>
      </c>
      <c r="H44" s="1">
        <v>0.87808189999999997</v>
      </c>
      <c r="I44" s="1">
        <v>0.87488259999999995</v>
      </c>
      <c r="K44" s="1">
        <v>0.71872100000000005</v>
      </c>
      <c r="L44" s="1">
        <v>0.69551700000000005</v>
      </c>
      <c r="M44" s="1">
        <v>0.86933499999999997</v>
      </c>
      <c r="N44" s="1">
        <v>0.71953599999999995</v>
      </c>
      <c r="O44" s="1">
        <v>0.77909600000000001</v>
      </c>
      <c r="P44" s="1">
        <v>0.73458100000000004</v>
      </c>
      <c r="Q44" s="1">
        <v>0.87368800000000002</v>
      </c>
      <c r="R44" s="1">
        <v>0.85044200000000003</v>
      </c>
    </row>
    <row r="45" spans="1:18" x14ac:dyDescent="0.35">
      <c r="A45" s="16" t="s">
        <v>158</v>
      </c>
      <c r="B45" s="1">
        <v>0.85633459999999995</v>
      </c>
      <c r="C45" s="1">
        <v>0.85747470000000003</v>
      </c>
      <c r="D45" s="1">
        <v>0.8812082</v>
      </c>
      <c r="E45" s="1">
        <v>0.80414890000000006</v>
      </c>
      <c r="F45" s="1">
        <v>0.91965509999999995</v>
      </c>
      <c r="G45" s="1">
        <v>0.78405139999999995</v>
      </c>
      <c r="H45" s="1">
        <v>0.88183339999999999</v>
      </c>
      <c r="I45" s="1">
        <v>0.89380590000000004</v>
      </c>
      <c r="K45" s="1">
        <v>0.72864300000000004</v>
      </c>
      <c r="L45" s="1">
        <v>0.719472</v>
      </c>
      <c r="M45" s="1">
        <v>0.87549100000000002</v>
      </c>
      <c r="N45" s="1">
        <v>0.76567300000000005</v>
      </c>
      <c r="O45" s="1">
        <v>0.79214099999999998</v>
      </c>
      <c r="P45" s="1">
        <v>0.72345599999999999</v>
      </c>
      <c r="Q45" s="1">
        <v>0.85881399999999997</v>
      </c>
      <c r="R45" s="1">
        <v>0.86790299999999998</v>
      </c>
    </row>
    <row r="46" spans="1:18" x14ac:dyDescent="0.35">
      <c r="A46" s="32" t="s">
        <v>159</v>
      </c>
      <c r="B46" s="1">
        <v>0.85646120000000003</v>
      </c>
      <c r="C46" s="1">
        <v>0.87103220000000003</v>
      </c>
      <c r="D46" s="1">
        <v>0.8982154</v>
      </c>
      <c r="E46" s="1">
        <v>0.80758010000000002</v>
      </c>
      <c r="F46" s="1">
        <v>0.91461689999999995</v>
      </c>
      <c r="G46" s="1">
        <v>0.78986959999999995</v>
      </c>
      <c r="H46" s="1">
        <v>0.87360309999999997</v>
      </c>
      <c r="I46" s="1">
        <v>0.86127889999999996</v>
      </c>
      <c r="K46" s="1">
        <v>0.69977</v>
      </c>
      <c r="L46" s="1">
        <v>0.717754</v>
      </c>
      <c r="M46" s="1">
        <v>0.82932399999999995</v>
      </c>
      <c r="N46" s="1">
        <v>0.7399</v>
      </c>
      <c r="O46" s="1">
        <v>0.81534300000000004</v>
      </c>
      <c r="P46" s="1">
        <v>0.70416999999999996</v>
      </c>
      <c r="Q46" s="1">
        <v>0.86758100000000005</v>
      </c>
      <c r="R46" s="1">
        <v>0.82642599999999999</v>
      </c>
    </row>
    <row r="47" spans="1:18" x14ac:dyDescent="0.35">
      <c r="A47" s="32" t="s">
        <v>159</v>
      </c>
      <c r="B47" s="1">
        <v>0.83554640000000002</v>
      </c>
      <c r="C47" s="1">
        <v>0.86438020000000004</v>
      </c>
      <c r="D47" s="1">
        <v>0.84946299999999997</v>
      </c>
      <c r="E47" s="1">
        <v>0.83729770000000003</v>
      </c>
      <c r="F47" s="1">
        <v>0.91416070000000005</v>
      </c>
      <c r="G47" s="1">
        <v>0.78319450000000002</v>
      </c>
      <c r="H47" s="1">
        <v>0.89646550000000003</v>
      </c>
      <c r="I47" s="1">
        <v>0.83995200000000003</v>
      </c>
      <c r="K47" s="1">
        <v>0.71451799999999999</v>
      </c>
      <c r="L47" s="1">
        <v>0.72916400000000003</v>
      </c>
      <c r="M47" s="1">
        <v>0.80801999999999996</v>
      </c>
      <c r="N47" s="1">
        <v>0.75605199999999995</v>
      </c>
      <c r="O47" s="1">
        <v>0.81308400000000003</v>
      </c>
      <c r="P47" s="1">
        <v>0.74398699999999995</v>
      </c>
      <c r="Q47" s="1">
        <v>0.87310900000000002</v>
      </c>
      <c r="R47" s="1">
        <v>0.81433900000000004</v>
      </c>
    </row>
    <row r="48" spans="1:18" x14ac:dyDescent="0.35">
      <c r="A48" s="32" t="s">
        <v>159</v>
      </c>
      <c r="B48" s="1">
        <v>0.83185659999999995</v>
      </c>
      <c r="C48" s="1">
        <v>0.84430609999999995</v>
      </c>
      <c r="D48" s="1">
        <v>0.82773830000000004</v>
      </c>
      <c r="E48" s="1">
        <v>0.85056770000000004</v>
      </c>
      <c r="F48" s="1">
        <v>0.90316010000000002</v>
      </c>
      <c r="G48" s="1">
        <v>0.76269299999999995</v>
      </c>
      <c r="H48" s="1">
        <v>0.89442319999999997</v>
      </c>
      <c r="I48" s="1">
        <v>0.81037329999999996</v>
      </c>
      <c r="K48" s="1">
        <v>0.72037499999999999</v>
      </c>
      <c r="L48" s="1">
        <v>0.73026999999999997</v>
      </c>
      <c r="M48" s="1">
        <v>0.84906700000000002</v>
      </c>
      <c r="N48" s="1">
        <v>0.75393500000000002</v>
      </c>
      <c r="O48" s="1">
        <v>0.80901400000000001</v>
      </c>
      <c r="P48" s="1">
        <v>0.72539799999999999</v>
      </c>
      <c r="Q48" s="1">
        <v>0.85502</v>
      </c>
      <c r="R48" s="1">
        <v>0.82488099999999998</v>
      </c>
    </row>
    <row r="49" spans="1:18" x14ac:dyDescent="0.35">
      <c r="A49" s="32" t="s">
        <v>159</v>
      </c>
      <c r="B49" s="1">
        <v>0.81826319999999997</v>
      </c>
      <c r="C49" s="1">
        <v>0.82616489999999998</v>
      </c>
      <c r="D49" s="1">
        <v>0.77256820000000004</v>
      </c>
      <c r="E49" s="1">
        <v>0.80021430000000005</v>
      </c>
      <c r="F49" s="1">
        <v>0.8711023</v>
      </c>
      <c r="G49" s="1">
        <v>0.75514749999999997</v>
      </c>
      <c r="H49" s="1">
        <v>0.87216210000000005</v>
      </c>
      <c r="I49" s="1">
        <v>0.81050060000000002</v>
      </c>
      <c r="K49" s="1">
        <v>0.71287599999999995</v>
      </c>
      <c r="L49" s="1">
        <v>0.72516700000000001</v>
      </c>
      <c r="M49" s="1">
        <v>0.81498199999999998</v>
      </c>
      <c r="N49" s="1">
        <v>0.71404400000000001</v>
      </c>
      <c r="O49" s="1">
        <v>0.780644</v>
      </c>
      <c r="P49" s="1">
        <v>0.70378399999999997</v>
      </c>
      <c r="Q49" s="1">
        <v>0.86399099999999995</v>
      </c>
      <c r="R49" s="1">
        <v>0.83253100000000002</v>
      </c>
    </row>
    <row r="50" spans="1:18" x14ac:dyDescent="0.35">
      <c r="A50" s="32" t="s">
        <v>159</v>
      </c>
      <c r="B50" s="1">
        <v>0.81576499999999996</v>
      </c>
      <c r="C50" s="1">
        <v>0.84025229999999995</v>
      </c>
      <c r="D50" s="1">
        <v>0.81466059999999996</v>
      </c>
      <c r="E50" s="1">
        <v>0.82715490000000003</v>
      </c>
      <c r="F50" s="1">
        <v>0.88716819999999996</v>
      </c>
      <c r="G50" s="1">
        <v>0.76607389999999997</v>
      </c>
      <c r="H50" s="1">
        <v>0.88274730000000001</v>
      </c>
      <c r="I50" s="1">
        <v>0.84031549999999999</v>
      </c>
      <c r="K50" s="1">
        <v>0.70657499999999995</v>
      </c>
      <c r="L50" s="1">
        <v>0.70890500000000001</v>
      </c>
      <c r="M50" s="1">
        <v>0.84310099999999999</v>
      </c>
      <c r="N50" s="1">
        <v>0.73408899999999999</v>
      </c>
      <c r="O50" s="1">
        <v>0.81012399999999996</v>
      </c>
      <c r="P50" s="1">
        <v>0.71450400000000003</v>
      </c>
      <c r="Q50" s="1">
        <v>0.86833400000000005</v>
      </c>
      <c r="R50" s="1">
        <v>0.88084399999999996</v>
      </c>
    </row>
    <row r="51" spans="1:18" x14ac:dyDescent="0.35">
      <c r="A51" s="32" t="s">
        <v>159</v>
      </c>
      <c r="B51" s="1">
        <v>0.81108190000000002</v>
      </c>
      <c r="C51" s="1">
        <v>0.85406280000000001</v>
      </c>
      <c r="D51" s="1">
        <v>0.81970560000000003</v>
      </c>
      <c r="E51" s="1">
        <v>0.81025119999999995</v>
      </c>
      <c r="F51" s="1">
        <v>0.81760219999999995</v>
      </c>
      <c r="G51" s="1">
        <v>0.7222788</v>
      </c>
      <c r="H51" s="1">
        <v>0.87129610000000002</v>
      </c>
      <c r="I51" s="1">
        <v>0.80970980000000004</v>
      </c>
      <c r="K51" s="1">
        <v>0.71295399999999998</v>
      </c>
      <c r="L51" s="1">
        <v>0.71964799999999995</v>
      </c>
      <c r="M51" s="1">
        <v>0.82675699999999996</v>
      </c>
      <c r="N51" s="1">
        <v>0.71384800000000004</v>
      </c>
      <c r="O51" s="1">
        <v>0.79674999999999996</v>
      </c>
      <c r="P51" s="1">
        <v>0.69443600000000005</v>
      </c>
      <c r="Q51" s="1">
        <v>0.84972599999999998</v>
      </c>
      <c r="R51" s="1">
        <v>0.85176399999999997</v>
      </c>
    </row>
    <row r="52" spans="1:18" x14ac:dyDescent="0.35">
      <c r="A52" s="32" t="s">
        <v>159</v>
      </c>
      <c r="B52" s="1">
        <v>0.79286639999999997</v>
      </c>
      <c r="C52" s="1">
        <v>0.82579570000000002</v>
      </c>
      <c r="D52" s="1">
        <v>0.8326867</v>
      </c>
      <c r="E52" s="1">
        <v>0.76626550000000004</v>
      </c>
      <c r="F52" s="1">
        <v>0.8523155</v>
      </c>
      <c r="G52" s="1">
        <v>0.71919670000000002</v>
      </c>
      <c r="H52" s="1">
        <v>0.87609479999999995</v>
      </c>
      <c r="I52" s="1">
        <v>0.79292669999999998</v>
      </c>
      <c r="K52" s="1">
        <v>0.70780100000000001</v>
      </c>
      <c r="L52" s="1">
        <v>0.70546900000000001</v>
      </c>
      <c r="M52" s="1">
        <v>0.78884399999999999</v>
      </c>
      <c r="N52" s="1">
        <v>0.684276</v>
      </c>
      <c r="O52" s="1">
        <v>0.77188199999999996</v>
      </c>
      <c r="P52" s="1">
        <v>0.68402200000000002</v>
      </c>
      <c r="Q52" s="1">
        <v>0.83536600000000005</v>
      </c>
      <c r="R52" s="1">
        <v>0.86260700000000001</v>
      </c>
    </row>
    <row r="53" spans="1:18" x14ac:dyDescent="0.35">
      <c r="A53" s="32" t="s">
        <v>159</v>
      </c>
      <c r="B53" s="1">
        <v>0.83316279999999998</v>
      </c>
      <c r="C53" s="1">
        <v>0.87514519999999996</v>
      </c>
      <c r="D53" s="1">
        <v>0.82432320000000003</v>
      </c>
      <c r="E53" s="1">
        <v>0.79518310000000003</v>
      </c>
      <c r="F53" s="1">
        <v>0.85693339999999996</v>
      </c>
      <c r="G53" s="1">
        <v>0.75654710000000003</v>
      </c>
      <c r="H53" s="1">
        <v>0.89255479999999998</v>
      </c>
      <c r="I53" s="1">
        <v>0.81231739999999997</v>
      </c>
      <c r="K53" s="1">
        <v>0.71420399999999995</v>
      </c>
      <c r="L53" s="1">
        <v>0.73048100000000005</v>
      </c>
      <c r="M53" s="1">
        <v>0.828318</v>
      </c>
      <c r="N53" s="1">
        <v>0.75806099999999998</v>
      </c>
      <c r="O53" s="1">
        <v>0.80630999999999997</v>
      </c>
      <c r="P53" s="1">
        <v>0.73346900000000004</v>
      </c>
      <c r="Q53" s="1">
        <v>0.85881300000000005</v>
      </c>
      <c r="R53" s="1">
        <v>0.82656499999999999</v>
      </c>
    </row>
    <row r="54" spans="1:18" x14ac:dyDescent="0.35">
      <c r="A54" s="32" t="s">
        <v>159</v>
      </c>
      <c r="B54" s="1">
        <v>0.82040659999999999</v>
      </c>
      <c r="C54" s="1">
        <v>0.87465499999999996</v>
      </c>
      <c r="D54" s="1">
        <v>0.79217729999999997</v>
      </c>
      <c r="E54" s="1">
        <v>0.78662929999999998</v>
      </c>
      <c r="F54" s="1">
        <v>0.85501039999999995</v>
      </c>
      <c r="G54" s="1">
        <v>0.748668</v>
      </c>
      <c r="H54" s="1">
        <v>0.88556869999999999</v>
      </c>
      <c r="I54" s="1">
        <v>0.81938469999999997</v>
      </c>
      <c r="K54" s="1">
        <v>0.69801400000000002</v>
      </c>
      <c r="L54" s="1">
        <v>0.71753800000000001</v>
      </c>
      <c r="M54" s="1">
        <v>0.82543</v>
      </c>
      <c r="N54" s="1">
        <v>0.74034199999999994</v>
      </c>
      <c r="O54" s="1">
        <v>0.78861400000000004</v>
      </c>
      <c r="P54" s="1">
        <v>0.68573099999999998</v>
      </c>
      <c r="Q54" s="1">
        <v>0.85965899999999995</v>
      </c>
      <c r="R54" s="1">
        <v>0.82921500000000004</v>
      </c>
    </row>
    <row r="55" spans="1:18" x14ac:dyDescent="0.35">
      <c r="A55" s="32" t="s">
        <v>159</v>
      </c>
      <c r="B55" s="1">
        <v>0.80525480000000005</v>
      </c>
      <c r="C55" s="1">
        <v>0.87093659999999995</v>
      </c>
      <c r="D55" s="1">
        <v>0.77632279999999998</v>
      </c>
      <c r="E55" s="1">
        <v>0.82058030000000004</v>
      </c>
      <c r="F55" s="1">
        <v>0.85510509999999995</v>
      </c>
      <c r="G55" s="1">
        <v>0.73704499999999995</v>
      </c>
      <c r="H55" s="1">
        <v>0.91274379999999999</v>
      </c>
      <c r="I55" s="1">
        <v>0.80185770000000001</v>
      </c>
      <c r="K55" s="1">
        <v>0.70836900000000003</v>
      </c>
      <c r="L55" s="1">
        <v>0.716418</v>
      </c>
      <c r="M55" s="1">
        <v>0.83431200000000005</v>
      </c>
      <c r="N55" s="1">
        <v>0.73750599999999999</v>
      </c>
      <c r="O55" s="1">
        <v>0.81255500000000003</v>
      </c>
      <c r="P55" s="1">
        <v>0.71283799999999997</v>
      </c>
      <c r="Q55" s="1">
        <v>0.86835300000000004</v>
      </c>
      <c r="R55" s="1">
        <v>0.86613499999999999</v>
      </c>
    </row>
    <row r="56" spans="1:18" x14ac:dyDescent="0.35">
      <c r="A56" s="32" t="s">
        <v>159</v>
      </c>
      <c r="B56" s="1">
        <v>0.80212830000000002</v>
      </c>
      <c r="C56" s="1">
        <v>0.87703489999999995</v>
      </c>
      <c r="D56" s="1">
        <v>0.80166610000000005</v>
      </c>
      <c r="E56" s="1">
        <v>0.82847199999999999</v>
      </c>
      <c r="F56" s="1">
        <v>0.87205999999999995</v>
      </c>
      <c r="G56" s="1">
        <v>0.71638780000000002</v>
      </c>
      <c r="H56" s="1">
        <v>0.87397150000000001</v>
      </c>
      <c r="I56" s="1">
        <v>0.80547060000000004</v>
      </c>
      <c r="K56" s="1">
        <v>0.69935999999999998</v>
      </c>
      <c r="L56" s="1">
        <v>0.71130199999999999</v>
      </c>
      <c r="M56" s="1">
        <v>0.84038299999999999</v>
      </c>
      <c r="N56" s="1">
        <v>0.743537</v>
      </c>
      <c r="O56" s="1">
        <v>0.756081</v>
      </c>
      <c r="P56" s="1">
        <v>0.73429299999999997</v>
      </c>
      <c r="Q56" s="1">
        <v>0.87912599999999996</v>
      </c>
      <c r="R56" s="1">
        <v>0.84381200000000001</v>
      </c>
    </row>
    <row r="57" spans="1:18" x14ac:dyDescent="0.35">
      <c r="A57" s="32" t="s">
        <v>159</v>
      </c>
      <c r="B57" s="1">
        <v>0.8237582</v>
      </c>
      <c r="C57" s="1">
        <v>0.85954719999999996</v>
      </c>
      <c r="D57" s="1">
        <v>0.77303639999999996</v>
      </c>
      <c r="E57" s="1">
        <v>0.84659139999999999</v>
      </c>
      <c r="F57" s="1">
        <v>0.88760939999999999</v>
      </c>
      <c r="G57" s="1">
        <v>0.74113569999999995</v>
      </c>
      <c r="H57" s="1">
        <v>0.89751009999999998</v>
      </c>
      <c r="I57" s="1">
        <v>0.81352219999999997</v>
      </c>
      <c r="K57" s="1">
        <v>0.70554099999999997</v>
      </c>
      <c r="L57" s="1">
        <v>0.69775500000000001</v>
      </c>
      <c r="M57" s="1">
        <v>0.83399100000000004</v>
      </c>
      <c r="N57" s="1">
        <v>0.72201300000000002</v>
      </c>
      <c r="O57" s="1">
        <v>0.73276399999999997</v>
      </c>
      <c r="P57" s="1">
        <v>0.72038000000000002</v>
      </c>
      <c r="Q57" s="1">
        <v>0.87910500000000003</v>
      </c>
      <c r="R57" s="1">
        <v>0.86501600000000001</v>
      </c>
    </row>
    <row r="58" spans="1:18" x14ac:dyDescent="0.35">
      <c r="A58" s="32" t="s">
        <v>159</v>
      </c>
      <c r="B58" s="1">
        <v>0.82321960000000005</v>
      </c>
      <c r="C58" s="1">
        <v>0.86230150000000005</v>
      </c>
      <c r="D58" s="1">
        <v>0.77868579999999998</v>
      </c>
      <c r="E58" s="1">
        <v>0.83265330000000004</v>
      </c>
      <c r="F58" s="1">
        <v>0.86344940000000003</v>
      </c>
      <c r="G58" s="1">
        <v>0.73904159999999997</v>
      </c>
      <c r="H58" s="1">
        <v>0.87607919999999995</v>
      </c>
      <c r="I58" s="1">
        <v>0.81449210000000005</v>
      </c>
      <c r="K58" s="1">
        <v>0.70005700000000004</v>
      </c>
      <c r="L58" s="1">
        <v>0.68975600000000004</v>
      </c>
      <c r="M58" s="1">
        <v>0.82425899999999996</v>
      </c>
      <c r="N58" s="1">
        <v>0.71599100000000004</v>
      </c>
      <c r="O58" s="1">
        <v>0.76229199999999997</v>
      </c>
      <c r="P58" s="1">
        <v>0.72422399999999998</v>
      </c>
      <c r="Q58" s="1">
        <v>0.89583599999999997</v>
      </c>
      <c r="R58" s="1">
        <v>0.83739799999999998</v>
      </c>
    </row>
    <row r="59" spans="1:18" x14ac:dyDescent="0.35">
      <c r="A59" s="32" t="s">
        <v>159</v>
      </c>
      <c r="B59" s="1">
        <v>0.82641030000000004</v>
      </c>
      <c r="C59" s="1">
        <v>0.87444549999999999</v>
      </c>
      <c r="D59" s="1">
        <v>0.79460609999999998</v>
      </c>
      <c r="E59" s="1">
        <v>0.82359660000000001</v>
      </c>
      <c r="F59" s="1">
        <v>0.90546599999999999</v>
      </c>
      <c r="G59" s="1">
        <v>0.74545079999999997</v>
      </c>
      <c r="H59" s="1">
        <v>0.86705319999999997</v>
      </c>
      <c r="I59" s="1">
        <v>0.81753670000000001</v>
      </c>
      <c r="K59" s="1">
        <v>0.720024</v>
      </c>
      <c r="L59" s="1">
        <v>0.71504699999999999</v>
      </c>
      <c r="M59" s="1">
        <v>0.82930899999999996</v>
      </c>
      <c r="N59" s="1">
        <v>0.74344100000000002</v>
      </c>
      <c r="O59" s="1">
        <v>0.77620199999999995</v>
      </c>
      <c r="P59" s="1">
        <v>0.71282100000000004</v>
      </c>
      <c r="Q59" s="1">
        <v>0.86815299999999995</v>
      </c>
      <c r="R59" s="1">
        <v>0.84823999999999999</v>
      </c>
    </row>
    <row r="60" spans="1:18" x14ac:dyDescent="0.35">
      <c r="A60" s="32" t="s">
        <v>159</v>
      </c>
      <c r="B60" s="1">
        <v>0.82301009999999997</v>
      </c>
      <c r="C60" s="1">
        <v>0.87786589999999998</v>
      </c>
      <c r="D60" s="1">
        <v>0.76227319999999998</v>
      </c>
      <c r="E60" s="1">
        <v>0.80814549999999996</v>
      </c>
      <c r="F60" s="1">
        <v>0.90423620000000005</v>
      </c>
      <c r="G60" s="1">
        <v>0.72789769999999998</v>
      </c>
      <c r="H60" s="1">
        <v>0.89481639999999996</v>
      </c>
      <c r="I60" s="1">
        <v>0.84625810000000001</v>
      </c>
      <c r="K60" s="1">
        <v>0.71006400000000003</v>
      </c>
      <c r="L60" s="1">
        <v>0.72511999999999999</v>
      </c>
      <c r="M60" s="1">
        <v>0.841723</v>
      </c>
      <c r="N60" s="1">
        <v>0.72616099999999995</v>
      </c>
      <c r="O60" s="1">
        <v>0.77917999999999998</v>
      </c>
      <c r="P60" s="1">
        <v>0.70828400000000002</v>
      </c>
      <c r="Q60" s="1">
        <v>0.89865499999999998</v>
      </c>
      <c r="R60" s="1">
        <v>0.833785</v>
      </c>
    </row>
    <row r="61" spans="1:18" x14ac:dyDescent="0.35">
      <c r="A61" s="32" t="s">
        <v>159</v>
      </c>
      <c r="B61" s="1">
        <v>0.82262159999999995</v>
      </c>
      <c r="C61" s="1">
        <v>0.85758500000000004</v>
      </c>
      <c r="D61" s="1">
        <v>0.79224139999999998</v>
      </c>
      <c r="E61" s="1">
        <v>0.81655739999999999</v>
      </c>
      <c r="F61" s="1">
        <v>0.86729049999999996</v>
      </c>
      <c r="G61" s="1">
        <v>0.71875710000000004</v>
      </c>
      <c r="H61" s="1">
        <v>0.8764902</v>
      </c>
      <c r="I61" s="1">
        <v>0.78650120000000001</v>
      </c>
      <c r="K61" s="1">
        <v>0.69736399999999998</v>
      </c>
      <c r="L61" s="1">
        <v>0.70549799999999996</v>
      </c>
      <c r="M61" s="1">
        <v>0.82666899999999999</v>
      </c>
      <c r="N61" s="1">
        <v>0.72197100000000003</v>
      </c>
      <c r="O61" s="1">
        <v>0.791292</v>
      </c>
      <c r="P61" s="1">
        <v>0.688504</v>
      </c>
      <c r="Q61" s="1">
        <v>0.88436599999999999</v>
      </c>
      <c r="R61" s="1">
        <v>0.78487499999999999</v>
      </c>
    </row>
    <row r="62" spans="1:18" x14ac:dyDescent="0.35">
      <c r="A62" s="32" t="s">
        <v>159</v>
      </c>
      <c r="B62" s="1">
        <v>0.8376285</v>
      </c>
      <c r="C62" s="1">
        <v>0.86531639999999999</v>
      </c>
      <c r="D62" s="1">
        <v>0.80008650000000003</v>
      </c>
      <c r="E62" s="1">
        <v>0.82250109999999999</v>
      </c>
      <c r="F62" s="1">
        <v>0.88427869999999997</v>
      </c>
      <c r="G62" s="1">
        <v>0.77605849999999998</v>
      </c>
      <c r="H62" s="1">
        <v>0.8820306</v>
      </c>
      <c r="I62" s="1">
        <v>0.75431859999999995</v>
      </c>
      <c r="K62" s="1">
        <v>0.689361</v>
      </c>
      <c r="L62" s="1">
        <v>0.70702799999999999</v>
      </c>
      <c r="M62" s="1">
        <v>0.82131699999999996</v>
      </c>
      <c r="N62" s="1">
        <v>0.71564899999999998</v>
      </c>
      <c r="O62" s="1">
        <v>0.80055600000000005</v>
      </c>
      <c r="P62" s="1">
        <v>0.709951</v>
      </c>
      <c r="Q62" s="1">
        <v>0.89828799999999998</v>
      </c>
      <c r="R62" s="1">
        <v>0.80951499999999998</v>
      </c>
    </row>
    <row r="63" spans="1:18" x14ac:dyDescent="0.35">
      <c r="A63" s="32" t="s">
        <v>159</v>
      </c>
      <c r="B63" s="1">
        <v>0.84599630000000003</v>
      </c>
      <c r="C63" s="1">
        <v>0.90622480000000005</v>
      </c>
      <c r="D63" s="1">
        <v>0.808647</v>
      </c>
      <c r="E63" s="1">
        <v>0.82599080000000002</v>
      </c>
      <c r="F63" s="1">
        <v>0.89862949999999997</v>
      </c>
      <c r="G63" s="1">
        <v>0.76841360000000003</v>
      </c>
      <c r="H63" s="1">
        <v>0.89984969999999997</v>
      </c>
      <c r="I63" s="1">
        <v>0.77738689999999999</v>
      </c>
      <c r="K63" s="1">
        <v>0.73340399999999994</v>
      </c>
      <c r="L63" s="1">
        <v>0.70959799999999995</v>
      </c>
      <c r="M63" s="1">
        <v>0.814774</v>
      </c>
      <c r="N63" s="1">
        <v>0.75812999999999997</v>
      </c>
      <c r="O63" s="1">
        <v>0.81631900000000002</v>
      </c>
      <c r="P63" s="1">
        <v>0.73043400000000003</v>
      </c>
      <c r="Q63" s="1">
        <v>0.89356800000000003</v>
      </c>
      <c r="R63" s="1">
        <v>0.87202199999999996</v>
      </c>
    </row>
    <row r="64" spans="1:18" x14ac:dyDescent="0.35">
      <c r="A64" s="32" t="s">
        <v>159</v>
      </c>
      <c r="B64" s="1">
        <v>0.79768090000000003</v>
      </c>
      <c r="C64" s="1">
        <v>0.88127489999999997</v>
      </c>
      <c r="D64" s="1">
        <v>0.82816590000000001</v>
      </c>
      <c r="E64" s="1">
        <v>0.82971360000000005</v>
      </c>
      <c r="F64" s="1">
        <v>0.88990060000000004</v>
      </c>
      <c r="G64" s="1">
        <v>0.77932389999999996</v>
      </c>
      <c r="H64" s="1">
        <v>0.88180619999999998</v>
      </c>
      <c r="I64" s="1">
        <v>0.78372470000000005</v>
      </c>
      <c r="K64" s="1">
        <v>0.70415099999999997</v>
      </c>
      <c r="L64" s="1">
        <v>0.70002299999999995</v>
      </c>
      <c r="M64" s="1">
        <v>0.80876700000000001</v>
      </c>
      <c r="N64" s="1">
        <v>0.73244699999999996</v>
      </c>
      <c r="O64" s="1">
        <v>0.80959899999999996</v>
      </c>
      <c r="P64" s="1">
        <v>0.72310700000000006</v>
      </c>
      <c r="Q64" s="1">
        <v>0.86961699999999997</v>
      </c>
      <c r="R64" s="1">
        <v>0.83455299999999999</v>
      </c>
    </row>
    <row r="65" spans="1:18" x14ac:dyDescent="0.35">
      <c r="A65" s="32" t="s">
        <v>159</v>
      </c>
      <c r="B65" s="1">
        <v>0.82594350000000005</v>
      </c>
      <c r="C65" s="1">
        <v>0.87164629999999998</v>
      </c>
      <c r="D65" s="1">
        <v>0.80341549999999995</v>
      </c>
      <c r="E65" s="1">
        <v>0.82859950000000004</v>
      </c>
      <c r="F65" s="1">
        <v>0.86616159999999998</v>
      </c>
      <c r="G65" s="1">
        <v>0.76240719999999995</v>
      </c>
      <c r="H65" s="1">
        <v>0.89333169999999995</v>
      </c>
      <c r="I65" s="1">
        <v>0.79546930000000005</v>
      </c>
      <c r="K65" s="1">
        <v>0.71252800000000005</v>
      </c>
      <c r="L65" s="1">
        <v>0.716414</v>
      </c>
      <c r="M65" s="1">
        <v>0.80240400000000001</v>
      </c>
      <c r="N65" s="1">
        <v>0.71389800000000003</v>
      </c>
      <c r="O65" s="1">
        <v>0.77435600000000004</v>
      </c>
      <c r="P65" s="1">
        <v>0.71343000000000001</v>
      </c>
      <c r="Q65" s="1">
        <v>0.85940499999999997</v>
      </c>
      <c r="R65" s="1">
        <v>0.82360599999999995</v>
      </c>
    </row>
    <row r="66" spans="1:18" x14ac:dyDescent="0.35">
      <c r="A66" s="32" t="s">
        <v>159</v>
      </c>
      <c r="B66" s="1">
        <v>0.80699500000000002</v>
      </c>
      <c r="C66" s="1">
        <v>0.84319330000000003</v>
      </c>
      <c r="D66" s="1">
        <v>0.75182170000000004</v>
      </c>
      <c r="E66" s="1">
        <v>0.80870109999999995</v>
      </c>
      <c r="F66" s="1">
        <v>0.8927098</v>
      </c>
      <c r="G66" s="1">
        <v>0.74754810000000005</v>
      </c>
      <c r="H66" s="1">
        <v>0.85003019999999996</v>
      </c>
      <c r="I66" s="1">
        <v>0.78240969999999999</v>
      </c>
      <c r="K66" s="1">
        <v>0.69347599999999998</v>
      </c>
      <c r="L66" s="1">
        <v>0.69117200000000001</v>
      </c>
      <c r="M66" s="1">
        <v>0.80700499999999997</v>
      </c>
      <c r="N66" s="1">
        <v>0.69030199999999997</v>
      </c>
      <c r="O66" s="1">
        <v>0.76020399999999999</v>
      </c>
      <c r="P66" s="1">
        <v>0.70253100000000002</v>
      </c>
      <c r="Q66" s="1">
        <v>0.84087599999999996</v>
      </c>
      <c r="R66" s="1">
        <v>0.81010000000000004</v>
      </c>
    </row>
    <row r="67" spans="1:18" x14ac:dyDescent="0.35">
      <c r="A67" s="32" t="s">
        <v>159</v>
      </c>
      <c r="B67" s="1">
        <v>0.84212010000000004</v>
      </c>
      <c r="C67" s="1">
        <v>0.86062309999999997</v>
      </c>
      <c r="D67" s="1">
        <v>0.78874040000000001</v>
      </c>
      <c r="E67" s="1">
        <v>0.79631439999999998</v>
      </c>
      <c r="F67" s="1">
        <v>0.89393210000000001</v>
      </c>
      <c r="G67" s="1">
        <v>0.73735430000000002</v>
      </c>
      <c r="H67" s="1">
        <v>0.85539050000000005</v>
      </c>
      <c r="I67" s="1">
        <v>0.78696299999999997</v>
      </c>
      <c r="K67" s="1">
        <v>0.69159099999999996</v>
      </c>
      <c r="L67" s="1">
        <v>0.71215399999999995</v>
      </c>
      <c r="M67" s="1">
        <v>0.81442700000000001</v>
      </c>
      <c r="N67" s="1">
        <v>0.73009900000000005</v>
      </c>
      <c r="O67" s="1">
        <v>0.78678899999999996</v>
      </c>
      <c r="P67" s="1">
        <v>0.69408599999999998</v>
      </c>
      <c r="Q67" s="1">
        <v>0.83840300000000001</v>
      </c>
      <c r="R67" s="1">
        <v>0.83583700000000005</v>
      </c>
    </row>
    <row r="68" spans="1:18" x14ac:dyDescent="0.35">
      <c r="A68" s="32" t="s">
        <v>159</v>
      </c>
      <c r="B68" s="1">
        <v>0.84926710000000005</v>
      </c>
      <c r="C68" s="1">
        <v>0.87846679999999999</v>
      </c>
      <c r="D68" s="1">
        <v>0.78823399999999999</v>
      </c>
      <c r="E68" s="1">
        <v>0.78353790000000001</v>
      </c>
      <c r="F68" s="1">
        <v>0.92152129999999999</v>
      </c>
      <c r="G68" s="1">
        <v>0.751336</v>
      </c>
      <c r="H68" s="1">
        <v>0.85759770000000002</v>
      </c>
      <c r="I68" s="1">
        <v>0.78336760000000005</v>
      </c>
      <c r="K68" s="1">
        <v>0.70193300000000003</v>
      </c>
      <c r="L68" s="1">
        <v>0.70830899999999997</v>
      </c>
      <c r="M68" s="1">
        <v>0.84291300000000002</v>
      </c>
      <c r="N68" s="1">
        <v>0.71690500000000001</v>
      </c>
      <c r="O68" s="1">
        <v>0.784076</v>
      </c>
      <c r="P68" s="1">
        <v>0.71034399999999998</v>
      </c>
      <c r="Q68" s="1">
        <v>0.88405400000000001</v>
      </c>
      <c r="R68" s="1">
        <v>0.85135899999999998</v>
      </c>
    </row>
    <row r="69" spans="1:18" x14ac:dyDescent="0.35">
      <c r="A69" s="32" t="s">
        <v>159</v>
      </c>
      <c r="B69" s="1">
        <v>0.85911190000000004</v>
      </c>
      <c r="C69" s="1">
        <v>0.89808330000000003</v>
      </c>
      <c r="D69" s="1">
        <v>0.78392269999999997</v>
      </c>
      <c r="E69" s="1">
        <v>0.7738969</v>
      </c>
      <c r="F69" s="1">
        <v>0.89733070000000004</v>
      </c>
      <c r="G69" s="1">
        <v>0.73558429999999997</v>
      </c>
      <c r="H69" s="1">
        <v>0.87079260000000003</v>
      </c>
      <c r="I69" s="1">
        <v>0.77348930000000005</v>
      </c>
      <c r="K69" s="1">
        <v>0.70433500000000004</v>
      </c>
      <c r="L69" s="1">
        <v>0.73268</v>
      </c>
      <c r="M69" s="1">
        <v>0.83804999999999996</v>
      </c>
      <c r="N69" s="1">
        <v>0.72550400000000004</v>
      </c>
      <c r="O69" s="1">
        <v>0.77435100000000001</v>
      </c>
      <c r="P69" s="1">
        <v>0.71734900000000001</v>
      </c>
      <c r="Q69" s="1">
        <v>0.86919299999999999</v>
      </c>
      <c r="R69" s="1">
        <v>0.84102699999999997</v>
      </c>
    </row>
    <row r="70" spans="1:18" x14ac:dyDescent="0.35">
      <c r="A70" s="32" t="s">
        <v>159</v>
      </c>
      <c r="B70" s="1">
        <v>0.82753810000000005</v>
      </c>
      <c r="C70" s="1">
        <v>0.86486810000000003</v>
      </c>
      <c r="D70" s="1">
        <v>0.78361579999999997</v>
      </c>
      <c r="E70" s="1">
        <v>0.77318730000000002</v>
      </c>
      <c r="F70" s="1">
        <v>0.85404749999999996</v>
      </c>
      <c r="G70" s="1">
        <v>0.716472</v>
      </c>
      <c r="H70" s="1">
        <v>0.85523899999999997</v>
      </c>
      <c r="I70" s="1">
        <v>0.76142779999999999</v>
      </c>
      <c r="K70" s="1">
        <v>0.69336600000000004</v>
      </c>
      <c r="L70" s="1">
        <v>0.692604</v>
      </c>
      <c r="M70" s="1">
        <v>0.810805</v>
      </c>
      <c r="N70" s="1">
        <v>0.75020299999999995</v>
      </c>
      <c r="O70" s="1">
        <v>0.77569999999999995</v>
      </c>
      <c r="P70" s="1">
        <v>0.68107300000000004</v>
      </c>
      <c r="Q70" s="1">
        <v>0.87337299999999995</v>
      </c>
      <c r="R70" s="1">
        <v>0.81596100000000005</v>
      </c>
    </row>
    <row r="71" spans="1:18" x14ac:dyDescent="0.35">
      <c r="A71" s="32" t="s">
        <v>159</v>
      </c>
      <c r="B71" s="1">
        <v>0.83671379999999995</v>
      </c>
      <c r="C71" s="1">
        <v>0.87632290000000002</v>
      </c>
      <c r="D71" s="1">
        <v>0.77950109999999995</v>
      </c>
      <c r="E71" s="1">
        <v>0.82584349999999995</v>
      </c>
      <c r="F71" s="1">
        <v>0.85726550000000001</v>
      </c>
      <c r="G71" s="1">
        <v>0.73828939999999998</v>
      </c>
      <c r="H71" s="1">
        <v>0.89850300000000005</v>
      </c>
      <c r="I71" s="1">
        <v>0.78177819999999998</v>
      </c>
      <c r="K71" s="1">
        <v>0.70578799999999997</v>
      </c>
      <c r="L71" s="1">
        <v>0.72138199999999997</v>
      </c>
      <c r="M71" s="1">
        <v>0.83591300000000002</v>
      </c>
      <c r="N71" s="1">
        <v>0.72645000000000004</v>
      </c>
      <c r="O71" s="1">
        <v>0.79218299999999997</v>
      </c>
      <c r="P71" s="1">
        <v>0.72167400000000004</v>
      </c>
      <c r="Q71" s="1">
        <v>0.86799300000000001</v>
      </c>
      <c r="R71" s="1">
        <v>0.81555599999999995</v>
      </c>
    </row>
    <row r="72" spans="1:18" x14ac:dyDescent="0.35">
      <c r="A72" s="32" t="s">
        <v>159</v>
      </c>
      <c r="B72" s="1">
        <v>0.82206219999999997</v>
      </c>
      <c r="C72" s="1">
        <v>0.87705650000000002</v>
      </c>
      <c r="D72" s="1">
        <v>0.81024529999999995</v>
      </c>
      <c r="E72" s="1">
        <v>0.80924620000000003</v>
      </c>
      <c r="F72" s="1">
        <v>0.87434780000000001</v>
      </c>
      <c r="G72" s="1">
        <v>0.73618790000000001</v>
      </c>
      <c r="H72" s="1">
        <v>0.87969679999999995</v>
      </c>
      <c r="I72" s="1">
        <v>0.77779699999999996</v>
      </c>
      <c r="K72" s="1">
        <v>0.70470500000000003</v>
      </c>
      <c r="L72" s="1">
        <v>0.707229</v>
      </c>
      <c r="M72" s="1">
        <v>0.80200199999999999</v>
      </c>
      <c r="N72" s="1">
        <v>0.68797900000000001</v>
      </c>
      <c r="O72" s="1">
        <v>0.815168</v>
      </c>
      <c r="P72" s="1">
        <v>0.706735</v>
      </c>
      <c r="Q72" s="1">
        <v>0.85336599999999996</v>
      </c>
      <c r="R72" s="1">
        <v>0.79963499999999998</v>
      </c>
    </row>
    <row r="73" spans="1:18" x14ac:dyDescent="0.35">
      <c r="A73" s="32" t="s">
        <v>159</v>
      </c>
      <c r="B73" s="1">
        <v>0.81621949999999999</v>
      </c>
      <c r="C73" s="1">
        <v>0.85740760000000005</v>
      </c>
      <c r="D73" s="1">
        <v>0.78681990000000002</v>
      </c>
      <c r="E73" s="1">
        <v>0.82654139999999998</v>
      </c>
      <c r="F73" s="1">
        <v>0.83453699999999997</v>
      </c>
      <c r="G73" s="1">
        <v>0.73375729999999995</v>
      </c>
      <c r="H73" s="1">
        <v>0.84564050000000002</v>
      </c>
      <c r="I73" s="1">
        <v>0.78121149999999995</v>
      </c>
      <c r="K73" s="1">
        <v>0.71134200000000003</v>
      </c>
      <c r="L73" s="1">
        <v>0.70631200000000005</v>
      </c>
      <c r="M73" s="1">
        <v>0.77331700000000003</v>
      </c>
      <c r="N73" s="1">
        <v>0.72617299999999996</v>
      </c>
      <c r="O73" s="1">
        <v>0.80838500000000002</v>
      </c>
      <c r="P73" s="1">
        <v>0.69706199999999996</v>
      </c>
      <c r="Q73" s="1">
        <v>0.85114000000000001</v>
      </c>
      <c r="R73" s="1">
        <v>0.79211900000000002</v>
      </c>
    </row>
    <row r="74" spans="1:18" x14ac:dyDescent="0.35">
      <c r="A74" s="32" t="s">
        <v>159</v>
      </c>
      <c r="B74" s="1">
        <v>0.79511829999999994</v>
      </c>
      <c r="C74" s="1">
        <v>0.88031320000000002</v>
      </c>
      <c r="D74" s="1">
        <v>0.77766500000000005</v>
      </c>
      <c r="E74" s="1">
        <v>0.80334799999999995</v>
      </c>
      <c r="F74" s="1">
        <v>0.83300750000000001</v>
      </c>
      <c r="G74" s="1">
        <v>0.74847459999999999</v>
      </c>
      <c r="H74" s="1">
        <v>0.89530359999999998</v>
      </c>
      <c r="I74" s="1">
        <v>0.80544769999999999</v>
      </c>
      <c r="K74" s="1">
        <v>0.70018899999999995</v>
      </c>
      <c r="L74" s="1">
        <v>0.72103600000000001</v>
      </c>
      <c r="M74" s="1">
        <v>0.797427</v>
      </c>
      <c r="N74" s="1">
        <v>0.76581399999999999</v>
      </c>
      <c r="O74" s="1">
        <v>0.83049499999999998</v>
      </c>
      <c r="P74" s="1">
        <v>0.70004900000000003</v>
      </c>
      <c r="Q74" s="1">
        <v>0.88110999999999995</v>
      </c>
      <c r="R74" s="1">
        <v>0.81401500000000004</v>
      </c>
    </row>
    <row r="75" spans="1:18" x14ac:dyDescent="0.35">
      <c r="A75" s="32" t="s">
        <v>159</v>
      </c>
      <c r="B75" s="1">
        <v>0.80875699999999995</v>
      </c>
      <c r="C75" s="1">
        <v>0.89064259999999995</v>
      </c>
      <c r="D75" s="1">
        <v>0.801562</v>
      </c>
      <c r="E75" s="1">
        <v>0.81965250000000001</v>
      </c>
      <c r="F75" s="1">
        <v>0.84108689999999997</v>
      </c>
      <c r="G75" s="1">
        <v>0.762629</v>
      </c>
      <c r="H75" s="1">
        <v>0.86049830000000005</v>
      </c>
      <c r="I75" s="1">
        <v>0.77849000000000002</v>
      </c>
      <c r="K75" s="1">
        <v>0.71581499999999998</v>
      </c>
      <c r="L75" s="1">
        <v>0.730074</v>
      </c>
      <c r="M75" s="1">
        <v>0.83665299999999998</v>
      </c>
      <c r="N75" s="1">
        <v>0.73048599999999997</v>
      </c>
      <c r="O75" s="1">
        <v>0.81518100000000004</v>
      </c>
      <c r="P75" s="1">
        <v>0.70708599999999999</v>
      </c>
      <c r="Q75" s="1">
        <v>0.880413</v>
      </c>
      <c r="R75" s="1">
        <v>0.83946799999999999</v>
      </c>
    </row>
    <row r="76" spans="1:18" x14ac:dyDescent="0.35">
      <c r="A76" s="32" t="s">
        <v>159</v>
      </c>
      <c r="B76" s="1">
        <v>0.80007070000000002</v>
      </c>
      <c r="C76" s="1">
        <v>0.89138790000000001</v>
      </c>
      <c r="D76" s="1">
        <v>0.7650922</v>
      </c>
      <c r="E76" s="1">
        <v>0.85696700000000003</v>
      </c>
      <c r="F76" s="1">
        <v>0.84457000000000004</v>
      </c>
      <c r="G76" s="1">
        <v>0.74217160000000004</v>
      </c>
      <c r="H76" s="1">
        <v>0.84704480000000004</v>
      </c>
      <c r="I76" s="1">
        <v>0.82177250000000002</v>
      </c>
      <c r="K76" s="1">
        <v>0.69974000000000003</v>
      </c>
      <c r="L76" s="1">
        <v>0.73494899999999996</v>
      </c>
      <c r="M76" s="1">
        <v>0.83890100000000001</v>
      </c>
      <c r="N76" s="1">
        <v>0.71343199999999996</v>
      </c>
      <c r="O76" s="1">
        <v>0.80663600000000002</v>
      </c>
      <c r="P76" s="1">
        <v>0.71023099999999995</v>
      </c>
      <c r="Q76" s="1">
        <v>0.854742</v>
      </c>
      <c r="R76" s="1">
        <v>0.80325000000000002</v>
      </c>
    </row>
    <row r="77" spans="1:18" x14ac:dyDescent="0.35">
      <c r="A77" s="32" t="s">
        <v>159</v>
      </c>
      <c r="B77" s="1">
        <v>0.79921370000000003</v>
      </c>
      <c r="C77" s="1">
        <v>0.87655139999999998</v>
      </c>
      <c r="D77" s="1">
        <v>0.77814039999999995</v>
      </c>
      <c r="E77" s="1">
        <v>0.81990229999999997</v>
      </c>
      <c r="F77" s="1">
        <v>0.85438639999999999</v>
      </c>
      <c r="G77" s="1">
        <v>0.70440659999999999</v>
      </c>
      <c r="H77" s="1">
        <v>0.840283</v>
      </c>
      <c r="I77" s="1">
        <v>0.76309570000000004</v>
      </c>
      <c r="K77" s="1">
        <v>0.70319200000000004</v>
      </c>
      <c r="L77" s="1">
        <v>0.71955199999999997</v>
      </c>
      <c r="M77" s="1">
        <v>0.83436200000000005</v>
      </c>
      <c r="N77" s="1">
        <v>0.71636999999999995</v>
      </c>
      <c r="O77" s="1">
        <v>0.76492499999999997</v>
      </c>
      <c r="P77" s="1">
        <v>0.69991800000000004</v>
      </c>
      <c r="Q77" s="1">
        <v>0.85980500000000004</v>
      </c>
      <c r="R77" s="1">
        <v>0.77408699999999997</v>
      </c>
    </row>
    <row r="78" spans="1:18" x14ac:dyDescent="0.35">
      <c r="A78" s="32" t="s">
        <v>159</v>
      </c>
      <c r="B78" s="1">
        <v>0.8219938</v>
      </c>
      <c r="C78" s="1">
        <v>0.86742520000000001</v>
      </c>
      <c r="D78" s="1">
        <v>0.76419119999999996</v>
      </c>
      <c r="E78" s="1">
        <v>0.84326800000000002</v>
      </c>
      <c r="F78" s="1">
        <v>0.87459779999999998</v>
      </c>
      <c r="G78" s="1">
        <v>0.75038879999999997</v>
      </c>
      <c r="H78" s="1">
        <v>0.82285149999999996</v>
      </c>
      <c r="I78" s="1">
        <v>0.74711660000000002</v>
      </c>
      <c r="K78" s="1">
        <v>0.69030999999999998</v>
      </c>
      <c r="L78" s="1">
        <v>0.70382599999999995</v>
      </c>
      <c r="M78" s="1">
        <v>0.82657700000000001</v>
      </c>
      <c r="N78" s="1">
        <v>0.71326999999999996</v>
      </c>
      <c r="O78" s="1">
        <v>0.76128200000000001</v>
      </c>
      <c r="P78" s="1">
        <v>0.71829600000000005</v>
      </c>
      <c r="Q78" s="1">
        <v>0.86114599999999997</v>
      </c>
      <c r="R78" s="1">
        <v>0.81209900000000002</v>
      </c>
    </row>
    <row r="79" spans="1:18" x14ac:dyDescent="0.35">
      <c r="A79" s="32" t="s">
        <v>159</v>
      </c>
      <c r="B79" s="1">
        <v>0.8330805</v>
      </c>
      <c r="C79" s="1">
        <v>0.85410470000000005</v>
      </c>
      <c r="D79" s="1">
        <v>0.81184250000000002</v>
      </c>
      <c r="E79" s="1">
        <v>0.80372520000000003</v>
      </c>
      <c r="F79" s="1">
        <v>0.84852059999999996</v>
      </c>
      <c r="G79" s="1">
        <v>0.74474739999999995</v>
      </c>
      <c r="H79" s="1">
        <v>0.85011199999999998</v>
      </c>
      <c r="I79" s="1">
        <v>0.74575970000000003</v>
      </c>
      <c r="K79" s="1">
        <v>0.70017799999999997</v>
      </c>
      <c r="L79" s="1">
        <v>0.69234099999999998</v>
      </c>
      <c r="M79" s="1">
        <v>0.82664000000000004</v>
      </c>
      <c r="N79" s="1">
        <v>0.69320899999999996</v>
      </c>
      <c r="O79" s="1">
        <v>0.79288999999999998</v>
      </c>
      <c r="P79" s="1">
        <v>0.69483600000000001</v>
      </c>
      <c r="Q79" s="1">
        <v>0.82777900000000004</v>
      </c>
      <c r="R79" s="1">
        <v>0.79811900000000002</v>
      </c>
    </row>
    <row r="80" spans="1:18" x14ac:dyDescent="0.35">
      <c r="A80" s="32" t="s">
        <v>159</v>
      </c>
      <c r="B80" s="1">
        <v>0.84830779999999995</v>
      </c>
      <c r="C80" s="1">
        <v>0.87287780000000004</v>
      </c>
      <c r="D80" s="1">
        <v>0.77194620000000003</v>
      </c>
      <c r="E80" s="1">
        <v>0.79137789999999997</v>
      </c>
      <c r="F80" s="1">
        <v>0.85356259999999995</v>
      </c>
      <c r="G80" s="1">
        <v>0.74581470000000005</v>
      </c>
      <c r="H80" s="1">
        <v>0.87024590000000002</v>
      </c>
      <c r="I80" s="1">
        <v>0.77953039999999996</v>
      </c>
      <c r="K80" s="1">
        <v>0.68908599999999998</v>
      </c>
      <c r="L80" s="1">
        <v>0.70637899999999998</v>
      </c>
      <c r="M80" s="1">
        <v>0.81486999999999998</v>
      </c>
      <c r="N80" s="1">
        <v>0.69491499999999995</v>
      </c>
      <c r="O80" s="1">
        <v>0.77564100000000002</v>
      </c>
      <c r="P80" s="1">
        <v>0.68207399999999996</v>
      </c>
      <c r="Q80" s="1">
        <v>0.80378400000000005</v>
      </c>
      <c r="R80" s="1">
        <v>0.79252</v>
      </c>
    </row>
    <row r="81" spans="1:18" x14ac:dyDescent="0.35">
      <c r="A81" s="32" t="s">
        <v>159</v>
      </c>
      <c r="B81" s="1">
        <v>0.84004860000000003</v>
      </c>
      <c r="C81" s="1">
        <v>0.89043899999999998</v>
      </c>
      <c r="D81" s="1">
        <v>0.80583990000000005</v>
      </c>
      <c r="E81" s="1">
        <v>0.79454860000000005</v>
      </c>
      <c r="F81" s="1">
        <v>0.91330129999999998</v>
      </c>
      <c r="G81" s="1">
        <v>0.76969319999999997</v>
      </c>
      <c r="H81" s="1">
        <v>0.87699939999999998</v>
      </c>
      <c r="I81" s="1">
        <v>0.766212</v>
      </c>
      <c r="K81" s="1">
        <v>0.70835700000000001</v>
      </c>
      <c r="L81" s="1">
        <v>0.73316099999999995</v>
      </c>
      <c r="M81" s="1">
        <v>0.84640800000000005</v>
      </c>
      <c r="N81" s="1">
        <v>0.73804400000000003</v>
      </c>
      <c r="O81" s="1">
        <v>0.84220600000000001</v>
      </c>
      <c r="P81" s="1">
        <v>0.73467000000000005</v>
      </c>
      <c r="Q81" s="1">
        <v>0.80809600000000004</v>
      </c>
      <c r="R81" s="1">
        <v>0.79711900000000002</v>
      </c>
    </row>
    <row r="82" spans="1:18" x14ac:dyDescent="0.35">
      <c r="A82" s="32" t="s">
        <v>159</v>
      </c>
      <c r="B82" s="1">
        <v>0.87046820000000003</v>
      </c>
      <c r="C82" s="1">
        <v>0.88468720000000001</v>
      </c>
      <c r="D82" s="1">
        <v>0.79054809999999998</v>
      </c>
      <c r="E82" s="1">
        <v>0.74665930000000003</v>
      </c>
      <c r="F82" s="1">
        <v>0.90881000000000001</v>
      </c>
      <c r="G82" s="1">
        <v>0.74245050000000001</v>
      </c>
      <c r="H82" s="1">
        <v>0.82571640000000002</v>
      </c>
      <c r="I82" s="1">
        <v>0.76156480000000004</v>
      </c>
      <c r="K82" s="1">
        <v>0.70589500000000005</v>
      </c>
      <c r="L82" s="1">
        <v>0.71591700000000003</v>
      </c>
      <c r="M82" s="1">
        <v>0.84886399999999995</v>
      </c>
      <c r="N82" s="1">
        <v>0.73005600000000004</v>
      </c>
      <c r="O82" s="1">
        <v>0.79647000000000001</v>
      </c>
      <c r="P82" s="1">
        <v>0.71686399999999995</v>
      </c>
      <c r="Q82" s="1">
        <v>0.80198700000000001</v>
      </c>
      <c r="R82" s="1">
        <v>0.79916299999999996</v>
      </c>
    </row>
    <row r="83" spans="1:18" x14ac:dyDescent="0.35">
      <c r="A83" s="32" t="s">
        <v>159</v>
      </c>
      <c r="B83" s="1">
        <v>0.82700249999999997</v>
      </c>
      <c r="C83" s="1">
        <v>0.86778750000000004</v>
      </c>
      <c r="D83" s="1">
        <v>0.74547920000000001</v>
      </c>
      <c r="E83" s="1">
        <v>0.77039469999999999</v>
      </c>
      <c r="F83" s="1">
        <v>0.86928419999999995</v>
      </c>
      <c r="G83" s="1">
        <v>0.75910350000000004</v>
      </c>
      <c r="H83" s="1">
        <v>0.8276559</v>
      </c>
      <c r="I83" s="1">
        <v>0.76554759999999999</v>
      </c>
      <c r="K83" s="1">
        <v>0.70937099999999997</v>
      </c>
      <c r="L83" s="1">
        <v>0.72016800000000003</v>
      </c>
      <c r="M83" s="1">
        <v>0.81682299999999997</v>
      </c>
      <c r="N83" s="1">
        <v>0.71709699999999998</v>
      </c>
      <c r="O83" s="1">
        <v>0.79754599999999998</v>
      </c>
      <c r="P83" s="1">
        <v>0.71162999999999998</v>
      </c>
      <c r="Q83" s="1">
        <v>0.84968900000000003</v>
      </c>
      <c r="R83" s="1">
        <v>0.80356700000000003</v>
      </c>
    </row>
    <row r="84" spans="1:18" x14ac:dyDescent="0.35">
      <c r="A84" s="32" t="s">
        <v>159</v>
      </c>
      <c r="B84" s="1">
        <v>0.82786720000000003</v>
      </c>
      <c r="C84" s="1">
        <v>0.77778590000000003</v>
      </c>
      <c r="D84" s="1">
        <v>0.74582250000000005</v>
      </c>
      <c r="E84" s="1">
        <v>0.77539539999999996</v>
      </c>
      <c r="F84" s="1">
        <v>0.85315260000000004</v>
      </c>
      <c r="G84" s="1">
        <v>0.72176340000000005</v>
      </c>
      <c r="H84" s="1">
        <v>0.84693209999999997</v>
      </c>
      <c r="I84" s="1">
        <v>0.74706159999999999</v>
      </c>
      <c r="K84" s="1">
        <v>0.68853399999999998</v>
      </c>
      <c r="L84" s="1">
        <v>0.701291</v>
      </c>
      <c r="M84" s="1">
        <v>0.74724299999999999</v>
      </c>
      <c r="N84" s="1">
        <v>0.69098999999999999</v>
      </c>
      <c r="O84" s="1">
        <v>0.77766599999999997</v>
      </c>
      <c r="P84" s="1">
        <v>0.69051899999999999</v>
      </c>
      <c r="Q84" s="1">
        <v>0.83482599999999996</v>
      </c>
      <c r="R84" s="1">
        <v>0.777694</v>
      </c>
    </row>
    <row r="85" spans="1:18" x14ac:dyDescent="0.35">
      <c r="A85" s="32" t="s">
        <v>159</v>
      </c>
      <c r="B85" s="1">
        <v>0.84644920000000001</v>
      </c>
      <c r="C85" s="1">
        <v>0.85716250000000005</v>
      </c>
      <c r="D85" s="1">
        <v>0.82131810000000005</v>
      </c>
      <c r="E85" s="1">
        <v>0.79641830000000002</v>
      </c>
      <c r="F85" s="1">
        <v>0.87303350000000002</v>
      </c>
      <c r="G85" s="1">
        <v>0.74243360000000003</v>
      </c>
      <c r="H85" s="1">
        <v>0.87696949999999996</v>
      </c>
      <c r="I85" s="1">
        <v>0.76248150000000003</v>
      </c>
      <c r="K85" s="1">
        <v>0.71702399999999999</v>
      </c>
      <c r="L85" s="1">
        <v>0.72333599999999998</v>
      </c>
      <c r="M85" s="1">
        <v>0.80316600000000005</v>
      </c>
      <c r="N85" s="1">
        <v>0.71504999999999996</v>
      </c>
      <c r="O85" s="1">
        <v>0.77300899999999995</v>
      </c>
      <c r="P85" s="1">
        <v>0.70773200000000003</v>
      </c>
      <c r="Q85" s="1">
        <v>0.84964899999999999</v>
      </c>
      <c r="R85" s="1">
        <v>0.78438099999999999</v>
      </c>
    </row>
    <row r="86" spans="1:18" x14ac:dyDescent="0.35">
      <c r="A86" s="32" t="s">
        <v>159</v>
      </c>
      <c r="B86" s="1">
        <v>0.83014580000000004</v>
      </c>
      <c r="C86" s="1">
        <v>0.84506289999999995</v>
      </c>
      <c r="D86" s="1">
        <v>0.84083549999999996</v>
      </c>
      <c r="E86" s="1">
        <v>0.75241409999999997</v>
      </c>
      <c r="F86" s="1">
        <v>0.84635709999999997</v>
      </c>
      <c r="G86" s="1">
        <v>0.77576979999999995</v>
      </c>
      <c r="H86" s="1">
        <v>0.86602310000000005</v>
      </c>
      <c r="I86" s="1">
        <v>0.74458950000000002</v>
      </c>
      <c r="K86" s="1">
        <v>0.73301099999999997</v>
      </c>
      <c r="L86" s="1">
        <v>0.71695900000000001</v>
      </c>
      <c r="M86" s="1">
        <v>0.81950400000000001</v>
      </c>
      <c r="N86" s="1">
        <v>0.70958399999999999</v>
      </c>
      <c r="O86" s="1">
        <v>0.78669699999999998</v>
      </c>
      <c r="P86" s="1">
        <v>0.71279599999999999</v>
      </c>
      <c r="Q86" s="1">
        <v>0.83079400000000003</v>
      </c>
      <c r="R86" s="1">
        <v>0.84594899999999995</v>
      </c>
    </row>
    <row r="87" spans="1:18" x14ac:dyDescent="0.35">
      <c r="A87" s="32" t="s">
        <v>159</v>
      </c>
      <c r="B87" s="1">
        <v>0.81538010000000005</v>
      </c>
      <c r="C87" s="1">
        <v>0.84243429999999997</v>
      </c>
      <c r="D87" s="1">
        <v>0.83733869999999999</v>
      </c>
      <c r="E87" s="1">
        <v>0.73374309999999998</v>
      </c>
      <c r="F87" s="1">
        <v>0.81520309999999996</v>
      </c>
      <c r="G87" s="1">
        <v>0.71399840000000003</v>
      </c>
      <c r="H87" s="1">
        <v>0.84089689999999995</v>
      </c>
      <c r="I87" s="1">
        <v>0.72388350000000001</v>
      </c>
      <c r="K87" s="1">
        <v>0.68393400000000004</v>
      </c>
      <c r="L87" s="1">
        <v>0.70215399999999994</v>
      </c>
      <c r="M87" s="1">
        <v>0.80165900000000001</v>
      </c>
      <c r="N87" s="1">
        <v>0.71581499999999998</v>
      </c>
      <c r="O87" s="1">
        <v>0.79578899999999997</v>
      </c>
      <c r="P87" s="1">
        <v>0.70057700000000001</v>
      </c>
      <c r="Q87" s="1">
        <v>0.80350900000000003</v>
      </c>
      <c r="R87" s="1">
        <v>0.75489200000000001</v>
      </c>
    </row>
    <row r="88" spans="1:18" x14ac:dyDescent="0.35">
      <c r="A88" s="32" t="s">
        <v>159</v>
      </c>
      <c r="B88" s="1">
        <v>0.83298099999999997</v>
      </c>
      <c r="C88" s="1">
        <v>0.82347910000000002</v>
      </c>
      <c r="D88" s="1">
        <v>0.82419039999999999</v>
      </c>
      <c r="E88" s="1">
        <v>0.72766169999999997</v>
      </c>
      <c r="F88" s="1">
        <v>0.79893599999999998</v>
      </c>
      <c r="G88" s="1">
        <v>0.72702290000000003</v>
      </c>
      <c r="H88" s="1">
        <v>0.81580870000000005</v>
      </c>
      <c r="I88" s="1">
        <v>0.72176750000000001</v>
      </c>
      <c r="K88" s="1">
        <v>0.70754799999999995</v>
      </c>
      <c r="L88" s="1">
        <v>0.71086099999999997</v>
      </c>
      <c r="M88" s="1">
        <v>0.78197499999999998</v>
      </c>
      <c r="N88" s="1">
        <v>0.68967900000000004</v>
      </c>
      <c r="O88" s="1">
        <v>0.75083699999999998</v>
      </c>
      <c r="P88" s="1">
        <v>0.70060900000000004</v>
      </c>
      <c r="Q88" s="1">
        <v>0.78414899999999998</v>
      </c>
      <c r="R88" s="1">
        <v>0.73441100000000004</v>
      </c>
    </row>
    <row r="90" spans="1:18" x14ac:dyDescent="0.35">
      <c r="A90" s="62" t="s">
        <v>4862</v>
      </c>
      <c r="B90">
        <f>AVERAGE(B3:B88)</f>
        <v>0.81934603837209297</v>
      </c>
      <c r="C90" s="48">
        <f t="shared" ref="C90:I90" si="0">AVERAGE(C3:C88)</f>
        <v>0.84435466627906963</v>
      </c>
      <c r="D90" s="48">
        <f t="shared" si="0"/>
        <v>0.82169230465116283</v>
      </c>
      <c r="E90" s="48">
        <f t="shared" si="0"/>
        <v>0.80561127441860436</v>
      </c>
      <c r="F90" s="48">
        <f t="shared" si="0"/>
        <v>0.87510444069767468</v>
      </c>
      <c r="G90" s="48">
        <f t="shared" si="0"/>
        <v>0.74753692441860453</v>
      </c>
      <c r="H90" s="48">
        <f t="shared" si="0"/>
        <v>0.85008960581395354</v>
      </c>
      <c r="I90" s="48">
        <f t="shared" si="0"/>
        <v>0.79464248488372091</v>
      </c>
      <c r="K90" s="48">
        <f>AVERAGE(K3:K88)</f>
        <v>0.71144570930232554</v>
      </c>
      <c r="L90" s="48">
        <f t="shared" ref="L90:R90" si="1">AVERAGE(L3:L88)</f>
        <v>0.71287673255813944</v>
      </c>
      <c r="M90" s="48">
        <f t="shared" si="1"/>
        <v>0.81152630232558143</v>
      </c>
      <c r="N90" s="48">
        <f t="shared" si="1"/>
        <v>0.72597717441860454</v>
      </c>
      <c r="O90" s="48">
        <f t="shared" si="1"/>
        <v>0.78036425581395374</v>
      </c>
      <c r="P90" s="48">
        <f t="shared" si="1"/>
        <v>0.71513684883720907</v>
      </c>
      <c r="Q90" s="48">
        <f t="shared" si="1"/>
        <v>0.84636241860465145</v>
      </c>
      <c r="R90" s="48">
        <f t="shared" si="1"/>
        <v>0.8164434767441856</v>
      </c>
    </row>
    <row r="92" spans="1:18" x14ac:dyDescent="0.35">
      <c r="A92" s="62" t="s">
        <v>4811</v>
      </c>
      <c r="B92">
        <f>_xlfn.T.TEST(B90:I90,K90:R90,2,2)</f>
        <v>3.768974321929687E-2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BB6F2-F354-44F2-AB56-058EA3A6D91C}">
  <dimension ref="A1:AA37"/>
  <sheetViews>
    <sheetView workbookViewId="0">
      <selection activeCell="L37" sqref="L37"/>
    </sheetView>
  </sheetViews>
  <sheetFormatPr defaultRowHeight="14.5" x14ac:dyDescent="0.35"/>
  <cols>
    <col min="1" max="1" width="14.7265625" customWidth="1"/>
    <col min="2" max="2" width="12.26953125" customWidth="1"/>
    <col min="3" max="3" width="12.453125" customWidth="1"/>
    <col min="4" max="4" width="12" customWidth="1"/>
    <col min="5" max="5" width="11.453125" customWidth="1"/>
    <col min="6" max="6" width="12.54296875" customWidth="1"/>
    <col min="7" max="7" width="10.54296875" customWidth="1"/>
    <col min="10" max="10" width="7.54296875" customWidth="1"/>
    <col min="11" max="11" width="8.453125" customWidth="1"/>
    <col min="12" max="12" width="6.453125" customWidth="1"/>
    <col min="13" max="13" width="6.81640625" customWidth="1"/>
    <col min="14" max="14" width="7" customWidth="1"/>
    <col min="15" max="15" width="7.26953125" customWidth="1"/>
    <col min="17" max="17" width="6.54296875" customWidth="1"/>
    <col min="18" max="18" width="9.26953125" customWidth="1"/>
  </cols>
  <sheetData>
    <row r="1" spans="1:27" x14ac:dyDescent="0.35">
      <c r="A1" t="s">
        <v>4750</v>
      </c>
    </row>
    <row r="2" spans="1:27" x14ac:dyDescent="0.35">
      <c r="B2" t="s">
        <v>147</v>
      </c>
      <c r="K2" t="s">
        <v>4863</v>
      </c>
    </row>
    <row r="3" spans="1:27" x14ac:dyDescent="0.35">
      <c r="B3" t="s">
        <v>0</v>
      </c>
      <c r="C3" s="19" t="s">
        <v>150</v>
      </c>
      <c r="D3" s="19" t="s">
        <v>151</v>
      </c>
      <c r="E3" s="19" t="s">
        <v>152</v>
      </c>
      <c r="F3" s="19" t="s">
        <v>153</v>
      </c>
      <c r="G3" s="19" t="s">
        <v>154</v>
      </c>
      <c r="H3" s="19" t="s">
        <v>155</v>
      </c>
      <c r="I3" s="19" t="s">
        <v>156</v>
      </c>
      <c r="J3" s="19" t="s">
        <v>157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spans="1:27" x14ac:dyDescent="0.35">
      <c r="B4" s="23">
        <v>0</v>
      </c>
      <c r="C4" s="25">
        <v>110</v>
      </c>
      <c r="D4" s="25">
        <v>119</v>
      </c>
      <c r="E4" s="56">
        <v>121</v>
      </c>
      <c r="F4" s="25">
        <v>93</v>
      </c>
      <c r="G4" s="25">
        <v>85</v>
      </c>
      <c r="H4" s="25">
        <v>99</v>
      </c>
      <c r="I4" s="25">
        <v>114</v>
      </c>
      <c r="J4" s="25">
        <v>105</v>
      </c>
      <c r="K4" s="22">
        <f>_xlfn.T.TEST(C4:J4,C11:H11,2,2)</f>
        <v>0.81702401409181635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x14ac:dyDescent="0.35">
      <c r="B5" s="23">
        <v>30</v>
      </c>
      <c r="C5" s="25">
        <v>310</v>
      </c>
      <c r="D5" s="25">
        <v>379</v>
      </c>
      <c r="E5" s="56">
        <v>434</v>
      </c>
      <c r="F5" s="25">
        <v>308</v>
      </c>
      <c r="G5" s="25">
        <v>311</v>
      </c>
      <c r="H5" s="25">
        <v>338</v>
      </c>
      <c r="I5" s="25">
        <v>280</v>
      </c>
      <c r="J5" s="25">
        <v>369</v>
      </c>
      <c r="K5" s="22">
        <f t="shared" ref="K5:K8" si="0">_xlfn.T.TEST(C5:J5,C12:H12,2,2)</f>
        <v>0.3688993349189903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spans="1:27" x14ac:dyDescent="0.35">
      <c r="B6" s="23">
        <v>60</v>
      </c>
      <c r="C6" s="25">
        <v>329</v>
      </c>
      <c r="D6" s="25">
        <v>239</v>
      </c>
      <c r="E6" s="56">
        <v>287</v>
      </c>
      <c r="F6" s="25">
        <v>256</v>
      </c>
      <c r="G6" s="25">
        <v>278</v>
      </c>
      <c r="H6" s="25">
        <v>285</v>
      </c>
      <c r="I6" s="25">
        <v>239</v>
      </c>
      <c r="J6" s="25">
        <v>266</v>
      </c>
      <c r="K6" s="22">
        <f t="shared" si="0"/>
        <v>3.9731564374125776E-2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x14ac:dyDescent="0.35">
      <c r="B7" s="23">
        <v>90</v>
      </c>
      <c r="C7" s="25">
        <v>201</v>
      </c>
      <c r="D7" s="25">
        <v>241</v>
      </c>
      <c r="E7" s="56">
        <v>261</v>
      </c>
      <c r="F7" s="25">
        <v>193</v>
      </c>
      <c r="G7" s="25">
        <v>200</v>
      </c>
      <c r="H7" s="25">
        <v>226</v>
      </c>
      <c r="I7" s="25">
        <v>181</v>
      </c>
      <c r="J7" s="25">
        <v>270</v>
      </c>
      <c r="K7" s="22">
        <f t="shared" si="0"/>
        <v>4.3015848325240129E-2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x14ac:dyDescent="0.35">
      <c r="B8" s="23">
        <v>120</v>
      </c>
      <c r="C8" s="25">
        <v>121</v>
      </c>
      <c r="D8" s="25">
        <v>203</v>
      </c>
      <c r="E8" s="56">
        <v>200</v>
      </c>
      <c r="F8" s="25">
        <v>198</v>
      </c>
      <c r="G8" s="25">
        <v>129</v>
      </c>
      <c r="H8" s="25">
        <v>172</v>
      </c>
      <c r="I8" s="25">
        <v>145</v>
      </c>
      <c r="J8" s="25">
        <v>133</v>
      </c>
      <c r="K8" s="22">
        <f t="shared" si="0"/>
        <v>3.3589003050007525E-2</v>
      </c>
    </row>
    <row r="9" spans="1:27" x14ac:dyDescent="0.35">
      <c r="D9" s="48"/>
      <c r="E9" s="53"/>
      <c r="F9" s="48"/>
      <c r="G9" s="48"/>
      <c r="H9" s="48"/>
      <c r="I9" s="48"/>
      <c r="J9" s="48"/>
      <c r="K9" s="48"/>
    </row>
    <row r="10" spans="1:27" ht="16.5" x14ac:dyDescent="0.35">
      <c r="B10" t="s">
        <v>0</v>
      </c>
      <c r="C10" s="19" t="s">
        <v>4633</v>
      </c>
      <c r="D10" s="19" t="s">
        <v>4633</v>
      </c>
      <c r="E10" s="19" t="s">
        <v>4633</v>
      </c>
      <c r="F10" s="19" t="s">
        <v>4633</v>
      </c>
      <c r="G10" s="19" t="s">
        <v>4633</v>
      </c>
      <c r="H10" s="19" t="s">
        <v>4633</v>
      </c>
    </row>
    <row r="11" spans="1:27" x14ac:dyDescent="0.35">
      <c r="B11" s="2">
        <v>0</v>
      </c>
      <c r="C11" s="25">
        <v>136</v>
      </c>
      <c r="D11" s="25">
        <v>122</v>
      </c>
      <c r="E11" s="25">
        <v>111</v>
      </c>
      <c r="F11" s="25">
        <v>114</v>
      </c>
      <c r="G11" s="25">
        <v>94</v>
      </c>
      <c r="H11" s="25">
        <v>71</v>
      </c>
    </row>
    <row r="12" spans="1:27" x14ac:dyDescent="0.35">
      <c r="B12" s="2">
        <v>30</v>
      </c>
      <c r="C12" s="25">
        <v>454</v>
      </c>
      <c r="D12" s="25">
        <v>350</v>
      </c>
      <c r="E12" s="25">
        <v>441</v>
      </c>
      <c r="F12" s="25">
        <v>280</v>
      </c>
      <c r="G12" s="25">
        <v>266</v>
      </c>
      <c r="H12" s="25">
        <v>466</v>
      </c>
    </row>
    <row r="13" spans="1:27" x14ac:dyDescent="0.35">
      <c r="B13" s="2">
        <v>60</v>
      </c>
      <c r="C13" s="25">
        <v>265</v>
      </c>
      <c r="D13" s="25">
        <v>366</v>
      </c>
      <c r="E13" s="25">
        <v>374</v>
      </c>
      <c r="F13" s="25">
        <v>239</v>
      </c>
      <c r="G13" s="25">
        <v>355</v>
      </c>
      <c r="H13" s="25">
        <v>467</v>
      </c>
    </row>
    <row r="14" spans="1:27" x14ac:dyDescent="0.35">
      <c r="B14" s="2">
        <v>90</v>
      </c>
      <c r="C14" s="25">
        <v>211</v>
      </c>
      <c r="D14" s="25">
        <v>316</v>
      </c>
      <c r="E14" s="25">
        <v>343</v>
      </c>
      <c r="F14" s="25">
        <v>181</v>
      </c>
      <c r="G14" s="25">
        <v>310</v>
      </c>
      <c r="H14" s="25">
        <v>379</v>
      </c>
    </row>
    <row r="15" spans="1:27" x14ac:dyDescent="0.35">
      <c r="B15" s="2">
        <v>120</v>
      </c>
      <c r="C15" s="25">
        <v>123</v>
      </c>
      <c r="D15" s="25">
        <v>273</v>
      </c>
      <c r="E15" s="25">
        <v>313</v>
      </c>
      <c r="F15" s="25">
        <v>145</v>
      </c>
      <c r="G15" s="25">
        <v>333</v>
      </c>
      <c r="H15" s="25">
        <v>278</v>
      </c>
      <c r="P15" s="48"/>
    </row>
    <row r="18" spans="1:21" x14ac:dyDescent="0.35">
      <c r="C18" s="48"/>
      <c r="D18" s="48"/>
      <c r="E18" s="48"/>
      <c r="F18" s="48"/>
      <c r="G18" s="48"/>
      <c r="H18" s="48"/>
    </row>
    <row r="19" spans="1:21" x14ac:dyDescent="0.35">
      <c r="B19" t="s">
        <v>148</v>
      </c>
    </row>
    <row r="20" spans="1:21" ht="16.5" x14ac:dyDescent="0.35">
      <c r="B20" s="19" t="s">
        <v>4633</v>
      </c>
      <c r="C20" s="20" t="s">
        <v>146</v>
      </c>
    </row>
    <row r="21" spans="1:21" x14ac:dyDescent="0.35">
      <c r="A21" t="s">
        <v>4816</v>
      </c>
      <c r="B21" s="19">
        <v>521.25</v>
      </c>
      <c r="C21" s="19">
        <v>489.75</v>
      </c>
      <c r="F21" s="48"/>
      <c r="G21" s="48"/>
      <c r="H21" s="48"/>
      <c r="I21" s="48"/>
      <c r="J21" s="48"/>
      <c r="K21" s="48"/>
      <c r="L21" s="48"/>
    </row>
    <row r="22" spans="1:21" x14ac:dyDescent="0.35">
      <c r="A22" s="48" t="s">
        <v>4817</v>
      </c>
      <c r="B22" s="19">
        <v>616.5</v>
      </c>
      <c r="C22" s="19">
        <v>500</v>
      </c>
    </row>
    <row r="23" spans="1:21" x14ac:dyDescent="0.35">
      <c r="A23" s="48" t="s">
        <v>4818</v>
      </c>
      <c r="B23" s="19">
        <v>685.25</v>
      </c>
      <c r="C23" s="19">
        <v>562.5</v>
      </c>
      <c r="E23" s="48"/>
    </row>
    <row r="24" spans="1:21" x14ac:dyDescent="0.35">
      <c r="A24" s="48" t="s">
        <v>4819</v>
      </c>
      <c r="B24" s="19">
        <v>420.25</v>
      </c>
      <c r="C24" s="19">
        <v>468.25</v>
      </c>
    </row>
    <row r="25" spans="1:21" x14ac:dyDescent="0.35">
      <c r="A25" s="48" t="s">
        <v>4820</v>
      </c>
      <c r="B25" s="19">
        <v>589.25</v>
      </c>
      <c r="C25" s="19">
        <v>449.75</v>
      </c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</row>
    <row r="26" spans="1:21" x14ac:dyDescent="0.35">
      <c r="A26" s="48" t="s">
        <v>4821</v>
      </c>
      <c r="B26" s="19">
        <v>740</v>
      </c>
      <c r="C26" s="19">
        <v>493.5</v>
      </c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</row>
    <row r="27" spans="1:21" x14ac:dyDescent="0.35">
      <c r="A27" s="48" t="s">
        <v>4822</v>
      </c>
      <c r="B27" s="17"/>
      <c r="C27" s="19">
        <v>420.25</v>
      </c>
      <c r="E27" s="48"/>
      <c r="J27" s="57"/>
      <c r="K27" s="57"/>
      <c r="L27" s="57"/>
      <c r="M27" s="57"/>
      <c r="N27" s="57"/>
      <c r="O27" s="57"/>
      <c r="P27" s="57"/>
      <c r="Q27" s="58"/>
      <c r="R27" s="58"/>
      <c r="S27" s="58"/>
      <c r="T27" s="58"/>
      <c r="U27" s="58"/>
    </row>
    <row r="28" spans="1:21" x14ac:dyDescent="0.35">
      <c r="A28" s="48" t="s">
        <v>4842</v>
      </c>
      <c r="B28" s="17"/>
      <c r="C28" s="19">
        <v>476.75</v>
      </c>
      <c r="E28" s="48"/>
      <c r="F28" s="48"/>
      <c r="G28" s="48"/>
      <c r="H28" s="48"/>
      <c r="I28" s="48"/>
      <c r="J28" s="48"/>
      <c r="K28" s="57"/>
      <c r="L28" s="57"/>
      <c r="M28" s="57"/>
      <c r="N28" s="57"/>
      <c r="O28" s="57"/>
      <c r="P28" s="57"/>
      <c r="Q28" s="58"/>
      <c r="R28" s="58"/>
      <c r="S28" s="58"/>
      <c r="T28" s="58"/>
      <c r="U28" s="58"/>
    </row>
    <row r="29" spans="1:21" x14ac:dyDescent="0.35">
      <c r="J29" s="57"/>
      <c r="K29" s="57"/>
      <c r="L29" s="57"/>
      <c r="M29" s="57"/>
      <c r="N29" s="57"/>
      <c r="O29" s="57"/>
      <c r="P29" s="57"/>
      <c r="Q29" s="58"/>
      <c r="R29" s="58"/>
      <c r="S29" s="58"/>
      <c r="T29" s="58"/>
      <c r="U29" s="58"/>
    </row>
    <row r="30" spans="1:21" x14ac:dyDescent="0.35">
      <c r="B30" s="48">
        <f>_xlfn.T.TEST(B21:B26,C21:C28,2,2)</f>
        <v>2.339341473786187E-2</v>
      </c>
      <c r="C30" s="48"/>
      <c r="D30" s="48"/>
      <c r="E30" s="48"/>
      <c r="F30" s="48"/>
      <c r="H30" s="54"/>
      <c r="I30" s="58"/>
      <c r="J30" s="54"/>
      <c r="K30" s="54"/>
      <c r="L30" s="54"/>
      <c r="M30" s="54"/>
    </row>
    <row r="31" spans="1:21" x14ac:dyDescent="0.35">
      <c r="I31" s="58"/>
      <c r="J31" s="58"/>
      <c r="K31" s="58"/>
      <c r="L31" s="58"/>
    </row>
    <row r="33" spans="3:12" x14ac:dyDescent="0.35">
      <c r="C33" s="22"/>
      <c r="D33" s="22"/>
      <c r="E33" s="22"/>
      <c r="F33" s="22"/>
      <c r="G33" s="22"/>
      <c r="H33" s="22"/>
      <c r="I33" s="22"/>
      <c r="J33" s="22"/>
      <c r="K33" s="22"/>
      <c r="L33" s="22"/>
    </row>
    <row r="34" spans="3:12" x14ac:dyDescent="0.35"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spans="3:12" x14ac:dyDescent="0.35">
      <c r="C35" s="22"/>
      <c r="D35" s="22"/>
      <c r="E35" s="22"/>
      <c r="F35" s="22"/>
      <c r="G35" s="22"/>
      <c r="H35" s="25"/>
      <c r="I35" s="22"/>
      <c r="J35" s="22"/>
      <c r="K35" s="22"/>
      <c r="L35" s="22"/>
    </row>
    <row r="36" spans="3:12" x14ac:dyDescent="0.35">
      <c r="C36" s="22"/>
      <c r="D36" s="22"/>
      <c r="E36" s="22"/>
      <c r="F36" s="22"/>
      <c r="G36" s="22"/>
      <c r="H36" s="22"/>
      <c r="I36" s="22"/>
      <c r="J36" s="22"/>
      <c r="K36" s="22"/>
      <c r="L36" s="22"/>
    </row>
    <row r="37" spans="3:12" x14ac:dyDescent="0.35">
      <c r="C37" s="22"/>
      <c r="D37" s="22"/>
      <c r="E37" s="22"/>
      <c r="F37" s="22"/>
      <c r="G37" s="22"/>
      <c r="H37" s="22"/>
      <c r="I37" s="22"/>
      <c r="J37" s="22"/>
      <c r="K37" s="22"/>
      <c r="L37" s="22"/>
    </row>
  </sheetData>
  <phoneticPr fontId="3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AC97E-848F-4008-8E59-F2FE0606034F}">
  <dimension ref="B2:G18"/>
  <sheetViews>
    <sheetView workbookViewId="0">
      <selection activeCell="G24" sqref="G24"/>
    </sheetView>
  </sheetViews>
  <sheetFormatPr defaultRowHeight="14.5" x14ac:dyDescent="0.35"/>
  <cols>
    <col min="2" max="2" width="17" customWidth="1"/>
  </cols>
  <sheetData>
    <row r="2" spans="2:7" x14ac:dyDescent="0.35">
      <c r="B2" s="48" t="s">
        <v>4751</v>
      </c>
      <c r="C2" s="48" t="s">
        <v>149</v>
      </c>
      <c r="D2" s="48"/>
      <c r="E2" s="48"/>
      <c r="F2" s="48"/>
      <c r="G2" s="48"/>
    </row>
    <row r="3" spans="2:7" x14ac:dyDescent="0.35">
      <c r="B3" s="48"/>
      <c r="C3" s="48"/>
      <c r="D3" s="48"/>
      <c r="E3" s="48"/>
      <c r="F3" s="48"/>
      <c r="G3" s="48"/>
    </row>
    <row r="4" spans="2:7" x14ac:dyDescent="0.35">
      <c r="B4" s="48"/>
      <c r="C4" s="19">
        <v>0</v>
      </c>
      <c r="D4" s="19" t="s">
        <v>4802</v>
      </c>
      <c r="E4" s="19" t="s">
        <v>4803</v>
      </c>
      <c r="F4" s="19" t="s">
        <v>4804</v>
      </c>
      <c r="G4" s="5" t="s">
        <v>4805</v>
      </c>
    </row>
    <row r="5" spans="2:7" ht="16.5" x14ac:dyDescent="0.35">
      <c r="B5" s="19" t="s">
        <v>4673</v>
      </c>
      <c r="C5" s="19">
        <v>100</v>
      </c>
      <c r="D5" s="19">
        <v>91.071428571428569</v>
      </c>
      <c r="E5" s="19">
        <v>85.714285714285708</v>
      </c>
      <c r="F5" s="19">
        <v>91.964285714285708</v>
      </c>
      <c r="G5" s="5">
        <v>85.714285714285708</v>
      </c>
    </row>
    <row r="6" spans="2:7" ht="16.5" x14ac:dyDescent="0.35">
      <c r="B6" s="19" t="s">
        <v>4806</v>
      </c>
      <c r="C6" s="19">
        <v>100</v>
      </c>
      <c r="D6" s="19">
        <v>85.593220338983059</v>
      </c>
      <c r="E6" s="19">
        <v>83.898305084745758</v>
      </c>
      <c r="F6" s="19">
        <v>82.203389830508485</v>
      </c>
      <c r="G6" s="5">
        <v>85.593220338983059</v>
      </c>
    </row>
    <row r="7" spans="2:7" ht="16.5" x14ac:dyDescent="0.35">
      <c r="B7" s="19" t="s">
        <v>4807</v>
      </c>
      <c r="C7" s="19">
        <v>100</v>
      </c>
      <c r="D7" s="19">
        <v>109.09090909090908</v>
      </c>
      <c r="E7" s="19">
        <v>111.36363636363636</v>
      </c>
      <c r="F7" s="19">
        <v>112.5</v>
      </c>
      <c r="G7" s="5">
        <v>105.68181818181819</v>
      </c>
    </row>
    <row r="8" spans="2:7" ht="16.5" x14ac:dyDescent="0.35">
      <c r="B8" s="19" t="s">
        <v>4808</v>
      </c>
      <c r="C8" s="19">
        <v>100</v>
      </c>
      <c r="D8" s="19">
        <v>94.444444444444443</v>
      </c>
      <c r="E8" s="19">
        <v>95.555555555555557</v>
      </c>
      <c r="F8" s="19">
        <v>90</v>
      </c>
      <c r="G8" s="5">
        <v>88.888888888888886</v>
      </c>
    </row>
    <row r="9" spans="2:7" ht="16.5" x14ac:dyDescent="0.35">
      <c r="B9" s="19" t="s">
        <v>4809</v>
      </c>
      <c r="C9" s="19">
        <v>100</v>
      </c>
      <c r="D9" s="19">
        <v>109.30232558139534</v>
      </c>
      <c r="E9" s="19">
        <v>108.13953488372093</v>
      </c>
      <c r="F9" s="19">
        <v>111.62790697674419</v>
      </c>
      <c r="G9" s="5">
        <v>101.16279069767442</v>
      </c>
    </row>
    <row r="10" spans="2:7" ht="16.5" x14ac:dyDescent="0.35">
      <c r="B10" s="19" t="s">
        <v>4810</v>
      </c>
      <c r="C10" s="19">
        <v>100</v>
      </c>
      <c r="D10" s="19">
        <v>87.378640776699029</v>
      </c>
      <c r="E10" s="19">
        <v>104.85436893203884</v>
      </c>
      <c r="F10" s="19">
        <v>99.029126213592235</v>
      </c>
      <c r="G10" s="5">
        <v>99.029126213592235</v>
      </c>
    </row>
    <row r="11" spans="2:7" x14ac:dyDescent="0.35">
      <c r="B11" s="48"/>
      <c r="C11" s="48"/>
      <c r="D11" s="48"/>
      <c r="E11" s="48"/>
      <c r="F11" s="48"/>
      <c r="G11" s="48"/>
    </row>
    <row r="12" spans="2:7" x14ac:dyDescent="0.35">
      <c r="B12" s="19" t="s">
        <v>150</v>
      </c>
      <c r="C12" s="19">
        <v>100</v>
      </c>
      <c r="D12" s="19">
        <v>86.538461538461547</v>
      </c>
      <c r="E12" s="19">
        <v>84.615384615384613</v>
      </c>
      <c r="F12" s="19">
        <v>100</v>
      </c>
      <c r="G12" s="56">
        <v>86.538461538461547</v>
      </c>
    </row>
    <row r="13" spans="2:7" x14ac:dyDescent="0.35">
      <c r="B13" s="19" t="s">
        <v>151</v>
      </c>
      <c r="C13" s="19">
        <v>100</v>
      </c>
      <c r="D13" s="19">
        <v>83.620689655172413</v>
      </c>
      <c r="E13" s="19">
        <v>93.965517241379317</v>
      </c>
      <c r="F13" s="19">
        <v>107.75862068965519</v>
      </c>
      <c r="G13" s="56">
        <v>98.275862068965509</v>
      </c>
    </row>
    <row r="14" spans="2:7" x14ac:dyDescent="0.35">
      <c r="B14" s="19" t="s">
        <v>152</v>
      </c>
      <c r="C14" s="19">
        <v>100</v>
      </c>
      <c r="D14" s="19">
        <v>89.312977099236647</v>
      </c>
      <c r="E14" s="19">
        <v>83.969465648854964</v>
      </c>
      <c r="F14" s="19">
        <v>86.25954198473282</v>
      </c>
      <c r="G14" s="56">
        <v>83.206106870229007</v>
      </c>
    </row>
    <row r="15" spans="2:7" x14ac:dyDescent="0.35">
      <c r="B15" s="19" t="s">
        <v>153</v>
      </c>
      <c r="C15" s="19">
        <v>100</v>
      </c>
      <c r="D15" s="19">
        <v>82.857142857142861</v>
      </c>
      <c r="E15" s="19">
        <v>63.809523809523803</v>
      </c>
      <c r="F15" s="19">
        <v>68.571428571428569</v>
      </c>
      <c r="G15" s="56">
        <v>78.095238095238102</v>
      </c>
    </row>
    <row r="16" spans="2:7" x14ac:dyDescent="0.35">
      <c r="B16" s="19" t="s">
        <v>154</v>
      </c>
      <c r="C16" s="19">
        <v>100</v>
      </c>
      <c r="D16" s="19">
        <v>73.73737373737373</v>
      </c>
      <c r="E16" s="19">
        <v>87.878787878787875</v>
      </c>
      <c r="F16" s="19">
        <v>76.767676767676761</v>
      </c>
      <c r="G16" s="56">
        <v>95.959595959595958</v>
      </c>
    </row>
    <row r="18" spans="2:7" x14ac:dyDescent="0.35">
      <c r="B18" t="s">
        <v>4811</v>
      </c>
      <c r="D18" s="48">
        <f>_xlfn.T.TEST(D5:D10,D12:D16,2,2)</f>
        <v>3.8042787085099068E-2</v>
      </c>
      <c r="E18" s="48">
        <f t="shared" ref="E18:G18" si="0">_xlfn.T.TEST(E5:E10,E12:E16,2,2)</f>
        <v>5.4991580650721995E-2</v>
      </c>
      <c r="F18" s="48">
        <f t="shared" si="0"/>
        <v>0.27068889508416183</v>
      </c>
      <c r="G18" s="48">
        <f t="shared" si="0"/>
        <v>0.28539240693024959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74A59-91F6-450E-9365-ED1ACA7D774D}">
  <dimension ref="A1:V25"/>
  <sheetViews>
    <sheetView workbookViewId="0">
      <selection activeCell="E36" sqref="E36"/>
    </sheetView>
  </sheetViews>
  <sheetFormatPr defaultRowHeight="14.5" x14ac:dyDescent="0.35"/>
  <cols>
    <col min="1" max="1" width="16.453125" customWidth="1"/>
    <col min="2" max="2" width="13.81640625" customWidth="1"/>
    <col min="8" max="8" width="8.7265625" customWidth="1"/>
  </cols>
  <sheetData>
    <row r="1" spans="1:22" x14ac:dyDescent="0.35">
      <c r="A1" t="s">
        <v>4864</v>
      </c>
      <c r="B1" s="63" t="s">
        <v>4866</v>
      </c>
    </row>
    <row r="2" spans="1:22" x14ac:dyDescent="0.35">
      <c r="A2" s="19" t="s">
        <v>52</v>
      </c>
      <c r="B2" s="19" t="s">
        <v>53</v>
      </c>
      <c r="C2" s="19"/>
      <c r="D2" s="19"/>
      <c r="E2" s="19"/>
      <c r="F2" s="19"/>
      <c r="G2" s="19"/>
      <c r="H2" s="54"/>
      <c r="I2" s="54"/>
    </row>
    <row r="3" spans="1:22" ht="16.5" x14ac:dyDescent="0.35">
      <c r="A3" s="19" t="s">
        <v>51</v>
      </c>
      <c r="B3" s="19" t="s">
        <v>4642</v>
      </c>
      <c r="C3" s="19" t="s">
        <v>4643</v>
      </c>
      <c r="D3" s="19" t="s">
        <v>4644</v>
      </c>
      <c r="E3" s="19" t="s">
        <v>4645</v>
      </c>
      <c r="F3" s="19" t="s">
        <v>4646</v>
      </c>
      <c r="G3" s="19" t="s">
        <v>4647</v>
      </c>
      <c r="H3" s="54"/>
      <c r="I3" s="54"/>
      <c r="J3" s="1"/>
      <c r="M3" s="48"/>
      <c r="N3" s="48"/>
      <c r="O3" s="48"/>
      <c r="P3" s="48"/>
      <c r="Q3" s="48"/>
      <c r="R3" s="1"/>
      <c r="S3" s="1"/>
      <c r="T3" s="1"/>
      <c r="U3" s="1"/>
      <c r="V3" s="1"/>
    </row>
    <row r="4" spans="1:22" x14ac:dyDescent="0.35">
      <c r="A4" s="16">
        <v>0</v>
      </c>
      <c r="B4" s="1">
        <v>116</v>
      </c>
      <c r="C4" s="1">
        <v>100</v>
      </c>
      <c r="D4" s="1">
        <v>87</v>
      </c>
      <c r="E4" s="1">
        <v>101</v>
      </c>
      <c r="F4" s="1">
        <v>99</v>
      </c>
      <c r="G4" s="1">
        <v>100</v>
      </c>
      <c r="H4" s="21"/>
      <c r="I4" s="21"/>
      <c r="J4" s="1"/>
      <c r="L4" s="48"/>
      <c r="P4" s="1"/>
      <c r="Q4" s="1"/>
      <c r="R4" s="1"/>
      <c r="S4" s="1"/>
      <c r="T4" s="1"/>
      <c r="U4" s="1"/>
      <c r="V4" s="1"/>
    </row>
    <row r="5" spans="1:22" x14ac:dyDescent="0.35">
      <c r="A5" s="16">
        <v>30</v>
      </c>
      <c r="B5" s="1">
        <v>462</v>
      </c>
      <c r="C5" s="1">
        <v>328</v>
      </c>
      <c r="D5" s="1">
        <v>395</v>
      </c>
      <c r="E5" s="1">
        <v>382</v>
      </c>
      <c r="F5" s="1">
        <v>466</v>
      </c>
      <c r="G5" s="1">
        <v>288</v>
      </c>
      <c r="H5" s="21"/>
      <c r="I5" s="21"/>
      <c r="J5" s="1"/>
      <c r="L5" s="48"/>
      <c r="P5" s="1"/>
      <c r="Q5" s="1"/>
      <c r="R5" s="1"/>
      <c r="S5" s="1"/>
      <c r="T5" s="1"/>
      <c r="U5" s="1"/>
      <c r="V5" s="1"/>
    </row>
    <row r="6" spans="1:22" x14ac:dyDescent="0.35">
      <c r="A6" s="16">
        <v>60</v>
      </c>
      <c r="B6" s="1">
        <v>270</v>
      </c>
      <c r="C6" s="1">
        <v>191</v>
      </c>
      <c r="D6" s="1">
        <v>186</v>
      </c>
      <c r="E6" s="1">
        <v>184</v>
      </c>
      <c r="F6" s="1">
        <v>190</v>
      </c>
      <c r="G6" s="1">
        <v>206</v>
      </c>
      <c r="H6" s="21"/>
      <c r="I6" s="21"/>
      <c r="J6" s="1"/>
      <c r="L6" s="48"/>
      <c r="P6" s="1"/>
      <c r="Q6" s="1"/>
      <c r="R6" s="1"/>
      <c r="S6" s="1"/>
      <c r="T6" s="1"/>
      <c r="U6" s="1"/>
      <c r="V6" s="1"/>
    </row>
    <row r="7" spans="1:22" x14ac:dyDescent="0.35">
      <c r="A7" s="16">
        <v>90</v>
      </c>
      <c r="B7" s="1">
        <v>177</v>
      </c>
      <c r="C7" s="1">
        <v>168</v>
      </c>
      <c r="D7" s="1">
        <v>125</v>
      </c>
      <c r="E7" s="1">
        <v>143</v>
      </c>
      <c r="F7" s="1">
        <v>139</v>
      </c>
      <c r="G7" s="1">
        <v>143</v>
      </c>
      <c r="H7" s="21"/>
      <c r="I7" s="21"/>
      <c r="J7" s="1"/>
      <c r="L7" s="48"/>
      <c r="P7" s="1"/>
      <c r="Q7" s="1"/>
      <c r="R7" s="1"/>
      <c r="S7" s="1"/>
      <c r="T7" s="1"/>
      <c r="U7" s="1"/>
      <c r="V7" s="1"/>
    </row>
    <row r="8" spans="1:22" x14ac:dyDescent="0.35">
      <c r="A8" s="16">
        <v>120</v>
      </c>
      <c r="B8" s="1">
        <v>156</v>
      </c>
      <c r="C8" s="1">
        <v>125</v>
      </c>
      <c r="D8" s="1">
        <v>99</v>
      </c>
      <c r="E8" s="1">
        <v>140</v>
      </c>
      <c r="F8" s="1">
        <v>128</v>
      </c>
      <c r="G8" s="1">
        <v>145</v>
      </c>
      <c r="H8" s="21"/>
      <c r="I8" s="21"/>
    </row>
    <row r="9" spans="1:22" x14ac:dyDescent="0.35">
      <c r="A9" s="19"/>
      <c r="B9" s="19" t="s">
        <v>53</v>
      </c>
      <c r="C9" s="19"/>
      <c r="D9" s="19"/>
      <c r="E9" s="19"/>
      <c r="F9" s="19"/>
      <c r="G9" s="55"/>
      <c r="H9" s="54"/>
      <c r="I9" s="54"/>
    </row>
    <row r="10" spans="1:22" ht="16.5" x14ac:dyDescent="0.35">
      <c r="A10" s="19"/>
      <c r="B10" s="19" t="s">
        <v>4648</v>
      </c>
      <c r="C10" s="19" t="s">
        <v>4649</v>
      </c>
      <c r="D10" s="19" t="s">
        <v>4650</v>
      </c>
      <c r="E10" s="19" t="s">
        <v>4651</v>
      </c>
      <c r="F10" s="19" t="s">
        <v>4652</v>
      </c>
      <c r="G10" s="54"/>
      <c r="H10" s="57" t="s">
        <v>4811</v>
      </c>
      <c r="J10" s="57"/>
    </row>
    <row r="11" spans="1:22" x14ac:dyDescent="0.35">
      <c r="A11" s="16">
        <v>0</v>
      </c>
      <c r="B11" s="1">
        <v>118</v>
      </c>
      <c r="C11" s="1">
        <v>117</v>
      </c>
      <c r="D11" s="1">
        <v>126</v>
      </c>
      <c r="E11" s="1">
        <v>97</v>
      </c>
      <c r="F11" s="1">
        <v>101</v>
      </c>
      <c r="G11" s="21"/>
      <c r="H11" s="21">
        <f>_xlfn.T.TEST(B4:G4,B11:F11,2,2)</f>
        <v>0.11479272590434189</v>
      </c>
      <c r="J11" s="21"/>
    </row>
    <row r="12" spans="1:22" x14ac:dyDescent="0.35">
      <c r="A12" s="16">
        <v>30</v>
      </c>
      <c r="B12" s="1">
        <v>146</v>
      </c>
      <c r="C12" s="1">
        <v>335</v>
      </c>
      <c r="D12" s="1">
        <v>294</v>
      </c>
      <c r="E12" s="1">
        <v>371</v>
      </c>
      <c r="F12" s="1">
        <v>241</v>
      </c>
      <c r="G12" s="21"/>
      <c r="H12" s="21">
        <f t="shared" ref="H12:H15" si="0">_xlfn.T.TEST(B5:G5,B12:F12,2,2)</f>
        <v>4.7980620307077018E-2</v>
      </c>
      <c r="J12" s="21"/>
    </row>
    <row r="13" spans="1:22" x14ac:dyDescent="0.35">
      <c r="A13" s="16">
        <v>60</v>
      </c>
      <c r="B13" s="1">
        <v>149</v>
      </c>
      <c r="C13" s="1">
        <v>167</v>
      </c>
      <c r="D13" s="1">
        <v>157</v>
      </c>
      <c r="E13" s="1">
        <v>191</v>
      </c>
      <c r="F13" s="1">
        <v>128</v>
      </c>
      <c r="G13" s="21"/>
      <c r="H13" s="21">
        <f t="shared" si="0"/>
        <v>2.780666832656906E-2</v>
      </c>
      <c r="J13" s="21"/>
    </row>
    <row r="14" spans="1:22" x14ac:dyDescent="0.35">
      <c r="A14" s="16">
        <v>90</v>
      </c>
      <c r="B14" s="1">
        <v>153</v>
      </c>
      <c r="C14" s="1">
        <v>136</v>
      </c>
      <c r="D14" s="1">
        <v>148</v>
      </c>
      <c r="E14" s="1">
        <v>170</v>
      </c>
      <c r="F14" s="1">
        <v>109</v>
      </c>
      <c r="G14" s="21"/>
      <c r="H14" s="21">
        <f t="shared" si="0"/>
        <v>0.64936304062361638</v>
      </c>
      <c r="J14" s="21"/>
      <c r="K14" s="1"/>
      <c r="L14" s="1"/>
      <c r="M14" s="1"/>
      <c r="N14" s="1"/>
      <c r="O14" s="1"/>
      <c r="P14" s="1"/>
      <c r="Q14" s="1"/>
    </row>
    <row r="15" spans="1:22" x14ac:dyDescent="0.35">
      <c r="A15" s="16">
        <v>120</v>
      </c>
      <c r="B15" s="1">
        <v>103</v>
      </c>
      <c r="C15" s="1">
        <v>131</v>
      </c>
      <c r="D15" s="1">
        <v>127</v>
      </c>
      <c r="E15" s="1">
        <v>135</v>
      </c>
      <c r="F15" s="1">
        <v>134</v>
      </c>
      <c r="G15" s="21"/>
      <c r="H15" s="21">
        <f t="shared" si="0"/>
        <v>0.5683851261455205</v>
      </c>
      <c r="J15" s="21"/>
      <c r="K15" s="1"/>
      <c r="L15" s="1"/>
      <c r="M15" s="1"/>
      <c r="N15" s="1"/>
      <c r="O15" s="1"/>
      <c r="P15" s="1"/>
      <c r="Q15" s="1"/>
    </row>
    <row r="16" spans="1:22" x14ac:dyDescent="0.35">
      <c r="J16" s="1"/>
      <c r="K16" s="1"/>
      <c r="L16" s="1"/>
      <c r="M16" s="1"/>
      <c r="N16" s="1"/>
      <c r="O16" s="1"/>
      <c r="P16" s="1"/>
      <c r="Q16" s="1"/>
    </row>
    <row r="17" spans="1:17" x14ac:dyDescent="0.35">
      <c r="A17" s="48" t="s">
        <v>4865</v>
      </c>
      <c r="B17" s="19" t="s">
        <v>4867</v>
      </c>
      <c r="C17" s="19"/>
      <c r="J17" s="1"/>
      <c r="K17" s="1"/>
      <c r="L17" s="1"/>
      <c r="M17" s="1"/>
      <c r="N17" s="1"/>
      <c r="O17" s="1"/>
      <c r="P17" s="1"/>
      <c r="Q17" s="1"/>
    </row>
    <row r="18" spans="1:17" ht="16.5" x14ac:dyDescent="0.35">
      <c r="B18" s="19" t="s">
        <v>4642</v>
      </c>
      <c r="C18" s="19" t="s">
        <v>4648</v>
      </c>
      <c r="J18" s="1"/>
      <c r="K18" s="1"/>
      <c r="L18" s="1"/>
      <c r="M18" s="1"/>
      <c r="N18" s="1"/>
      <c r="O18" s="1"/>
      <c r="P18" s="1"/>
      <c r="Q18" s="1"/>
    </row>
    <row r="19" spans="1:17" x14ac:dyDescent="0.35">
      <c r="A19" t="s">
        <v>4816</v>
      </c>
      <c r="B19" s="48">
        <v>540.5</v>
      </c>
      <c r="C19" s="1">
        <v>308.75</v>
      </c>
      <c r="D19" s="48"/>
      <c r="F19" s="48"/>
      <c r="G19" s="48"/>
      <c r="H19" s="48"/>
      <c r="I19" s="48"/>
    </row>
    <row r="20" spans="1:17" x14ac:dyDescent="0.35">
      <c r="A20" s="48" t="s">
        <v>4817</v>
      </c>
      <c r="B20" s="48">
        <v>394.75</v>
      </c>
      <c r="C20" s="1">
        <v>265.75</v>
      </c>
      <c r="D20" s="1"/>
      <c r="F20" s="1"/>
      <c r="G20" s="1"/>
      <c r="H20" s="1"/>
    </row>
    <row r="21" spans="1:17" x14ac:dyDescent="0.35">
      <c r="A21" s="48" t="s">
        <v>4818</v>
      </c>
      <c r="B21" s="48">
        <v>408.25</v>
      </c>
      <c r="C21" s="1">
        <v>387.5</v>
      </c>
      <c r="D21" s="1"/>
      <c r="F21" s="1"/>
      <c r="G21" s="1"/>
      <c r="H21" s="1"/>
    </row>
    <row r="22" spans="1:17" x14ac:dyDescent="0.35">
      <c r="A22" s="48" t="s">
        <v>4819</v>
      </c>
      <c r="B22" s="48">
        <v>424.25</v>
      </c>
      <c r="C22" s="1">
        <v>359.75</v>
      </c>
      <c r="D22" s="1"/>
      <c r="F22" s="1"/>
      <c r="G22" s="1"/>
      <c r="H22" s="1"/>
    </row>
    <row r="23" spans="1:17" x14ac:dyDescent="0.35">
      <c r="A23" s="48" t="s">
        <v>4820</v>
      </c>
      <c r="B23" s="1">
        <v>464.25</v>
      </c>
      <c r="C23" s="1">
        <v>420.5</v>
      </c>
      <c r="D23" s="48"/>
      <c r="F23" s="1"/>
      <c r="G23" s="1"/>
      <c r="H23" s="1"/>
      <c r="K23" s="1"/>
    </row>
    <row r="24" spans="1:17" x14ac:dyDescent="0.35">
      <c r="A24" s="48" t="s">
        <v>4821</v>
      </c>
      <c r="B24" s="1">
        <v>396</v>
      </c>
      <c r="C24" s="20"/>
      <c r="D24" s="48"/>
      <c r="F24" s="1"/>
      <c r="G24" s="1"/>
      <c r="H24" s="1"/>
    </row>
    <row r="25" spans="1:17" x14ac:dyDescent="0.35">
      <c r="A25" t="s">
        <v>4811</v>
      </c>
      <c r="B25" s="21">
        <f>_xlfn.T.TEST(B19:B24,C19:C23,2,2)</f>
        <v>3.3135297063630609E-2</v>
      </c>
      <c r="C25" s="21"/>
      <c r="F25" s="21"/>
      <c r="G25" s="21"/>
      <c r="H25" s="1"/>
      <c r="J25" s="21"/>
    </row>
  </sheetData>
  <phoneticPr fontId="3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C2E85-7CA2-4AD3-940B-13C3EAE4DDD9}">
  <dimension ref="A2:I16"/>
  <sheetViews>
    <sheetView workbookViewId="0">
      <selection activeCell="I5" sqref="I5"/>
    </sheetView>
  </sheetViews>
  <sheetFormatPr defaultRowHeight="14.5" x14ac:dyDescent="0.35"/>
  <sheetData>
    <row r="2" spans="1:9" x14ac:dyDescent="0.35">
      <c r="A2" s="48" t="s">
        <v>4752</v>
      </c>
      <c r="B2" s="48" t="s">
        <v>4868</v>
      </c>
      <c r="C2" s="48"/>
      <c r="D2" s="48"/>
      <c r="E2" s="48"/>
      <c r="F2" s="48"/>
      <c r="G2" s="48"/>
      <c r="H2" s="48"/>
    </row>
    <row r="3" spans="1:9" ht="16.5" x14ac:dyDescent="0.35">
      <c r="A3" s="19"/>
      <c r="B3" s="19" t="s">
        <v>4642</v>
      </c>
      <c r="C3" s="19" t="s">
        <v>4643</v>
      </c>
      <c r="D3" s="19" t="s">
        <v>4644</v>
      </c>
      <c r="E3" s="19" t="s">
        <v>4645</v>
      </c>
      <c r="F3" s="19" t="s">
        <v>4646</v>
      </c>
      <c r="G3" s="19" t="s">
        <v>4647</v>
      </c>
      <c r="H3" s="48"/>
    </row>
    <row r="4" spans="1:9" x14ac:dyDescent="0.35">
      <c r="A4" s="16">
        <v>0</v>
      </c>
      <c r="B4" s="17">
        <v>100</v>
      </c>
      <c r="C4" s="17">
        <v>100</v>
      </c>
      <c r="D4" s="17">
        <v>100</v>
      </c>
      <c r="E4" s="17">
        <v>100</v>
      </c>
      <c r="F4" s="17">
        <v>100</v>
      </c>
      <c r="G4" s="17">
        <v>100</v>
      </c>
      <c r="H4" s="48"/>
    </row>
    <row r="5" spans="1:9" x14ac:dyDescent="0.35">
      <c r="A5" s="16">
        <v>30</v>
      </c>
      <c r="B5" s="17">
        <v>75.555999999999997</v>
      </c>
      <c r="C5" s="17">
        <v>72.381</v>
      </c>
      <c r="D5" s="17">
        <v>62.07</v>
      </c>
      <c r="E5" s="17">
        <v>78.569999999999993</v>
      </c>
      <c r="F5" s="17">
        <v>68.239999999999995</v>
      </c>
      <c r="G5" s="17">
        <v>53.57</v>
      </c>
      <c r="H5" s="48"/>
      <c r="I5">
        <f>_xlfn.T.TEST(B5:G5,B12:F12,2,2)</f>
        <v>9.9219085220079994E-4</v>
      </c>
    </row>
    <row r="6" spans="1:9" x14ac:dyDescent="0.35">
      <c r="A6" s="16">
        <v>60</v>
      </c>
      <c r="B6" s="17">
        <v>71.111000000000004</v>
      </c>
      <c r="C6" s="17">
        <v>72.381</v>
      </c>
      <c r="D6" s="17">
        <v>63.79</v>
      </c>
      <c r="E6" s="17">
        <v>80.36</v>
      </c>
      <c r="F6" s="17">
        <v>64.709999999999994</v>
      </c>
      <c r="G6" s="17">
        <v>44.64</v>
      </c>
      <c r="H6" s="48"/>
      <c r="I6" s="48">
        <f t="shared" ref="I6:I8" si="0">_xlfn.T.TEST(B6:G6,B13:F13,2,2)</f>
        <v>0.12308642313941148</v>
      </c>
    </row>
    <row r="7" spans="1:9" x14ac:dyDescent="0.35">
      <c r="A7" s="16">
        <v>90</v>
      </c>
      <c r="B7" s="17">
        <v>66.67</v>
      </c>
      <c r="C7" s="17">
        <v>71.430000000000007</v>
      </c>
      <c r="D7" s="17">
        <v>61.21</v>
      </c>
      <c r="E7" s="17">
        <v>75</v>
      </c>
      <c r="F7" s="17">
        <v>70.59</v>
      </c>
      <c r="G7" s="17">
        <v>52.68</v>
      </c>
      <c r="H7" s="48"/>
      <c r="I7" s="48">
        <f t="shared" si="0"/>
        <v>0.22321489794797236</v>
      </c>
    </row>
    <row r="8" spans="1:9" x14ac:dyDescent="0.35">
      <c r="A8" s="16">
        <v>120</v>
      </c>
      <c r="B8" s="17">
        <v>63.704000000000001</v>
      </c>
      <c r="C8" s="17">
        <v>79.048000000000002</v>
      </c>
      <c r="D8" s="17">
        <v>64.66</v>
      </c>
      <c r="E8" s="17">
        <v>75.89</v>
      </c>
      <c r="F8" s="17">
        <v>80</v>
      </c>
      <c r="G8" s="17">
        <v>80.36</v>
      </c>
      <c r="H8" s="48"/>
      <c r="I8" s="48">
        <f t="shared" si="0"/>
        <v>0.85484301724186063</v>
      </c>
    </row>
    <row r="9" spans="1:9" x14ac:dyDescent="0.35">
      <c r="A9" s="48"/>
      <c r="B9" s="48"/>
      <c r="C9" s="48"/>
      <c r="D9" s="48"/>
      <c r="E9" s="48"/>
      <c r="F9" s="48"/>
      <c r="G9" s="48"/>
      <c r="H9" s="48"/>
    </row>
    <row r="10" spans="1:9" ht="16.5" x14ac:dyDescent="0.35">
      <c r="A10" s="19"/>
      <c r="B10" s="19" t="s">
        <v>4648</v>
      </c>
      <c r="C10" s="19" t="s">
        <v>4649</v>
      </c>
      <c r="D10" s="19" t="s">
        <v>4650</v>
      </c>
      <c r="E10" s="19" t="s">
        <v>4651</v>
      </c>
      <c r="F10" s="19" t="s">
        <v>4652</v>
      </c>
      <c r="G10" s="54"/>
      <c r="H10" s="54"/>
    </row>
    <row r="11" spans="1:9" x14ac:dyDescent="0.35">
      <c r="A11" s="16">
        <v>0</v>
      </c>
      <c r="B11" s="17">
        <v>100</v>
      </c>
      <c r="C11" s="17">
        <v>100</v>
      </c>
      <c r="D11" s="17">
        <v>100</v>
      </c>
      <c r="E11" s="17">
        <v>100</v>
      </c>
      <c r="F11" s="17">
        <v>100</v>
      </c>
      <c r="G11" s="21"/>
      <c r="H11" s="21"/>
    </row>
    <row r="12" spans="1:9" x14ac:dyDescent="0.35">
      <c r="A12" s="16">
        <v>30</v>
      </c>
      <c r="B12" s="17">
        <v>52.83</v>
      </c>
      <c r="C12" s="17">
        <v>42.515000000000001</v>
      </c>
      <c r="D12" s="17">
        <v>49.58</v>
      </c>
      <c r="E12" s="17">
        <v>44.94</v>
      </c>
      <c r="F12" s="17">
        <v>42.86</v>
      </c>
      <c r="G12" s="21"/>
      <c r="H12" s="21"/>
    </row>
    <row r="13" spans="1:9" x14ac:dyDescent="0.35">
      <c r="A13" s="16">
        <v>60</v>
      </c>
      <c r="B13" s="17">
        <v>55.66</v>
      </c>
      <c r="C13" s="17">
        <v>34.731000000000002</v>
      </c>
      <c r="D13" s="17">
        <v>43.7</v>
      </c>
      <c r="E13" s="17">
        <v>53.93</v>
      </c>
      <c r="F13" s="17">
        <v>74.03</v>
      </c>
      <c r="G13" s="21"/>
      <c r="H13" s="21"/>
    </row>
    <row r="14" spans="1:9" x14ac:dyDescent="0.35">
      <c r="A14" s="16">
        <v>90</v>
      </c>
      <c r="B14" s="17">
        <v>52.83</v>
      </c>
      <c r="C14" s="17">
        <v>38.92</v>
      </c>
      <c r="D14" s="17">
        <v>53.78</v>
      </c>
      <c r="E14" s="17">
        <v>62.92</v>
      </c>
      <c r="F14" s="17">
        <v>77.92</v>
      </c>
      <c r="G14" s="21"/>
      <c r="H14" s="21"/>
    </row>
    <row r="15" spans="1:9" x14ac:dyDescent="0.35">
      <c r="A15" s="16">
        <v>120</v>
      </c>
      <c r="B15" s="17">
        <v>63.207999999999998</v>
      </c>
      <c r="C15" s="17">
        <v>52.695</v>
      </c>
      <c r="D15" s="17">
        <v>63.03</v>
      </c>
      <c r="E15" s="17">
        <v>84.27</v>
      </c>
      <c r="F15" s="17">
        <v>98.7</v>
      </c>
      <c r="G15" s="21"/>
      <c r="H15" s="21"/>
    </row>
    <row r="16" spans="1:9" x14ac:dyDescent="0.35">
      <c r="A16" s="48"/>
      <c r="B16" s="48"/>
      <c r="C16" s="48"/>
      <c r="D16" s="48"/>
      <c r="E16" s="48"/>
      <c r="F16" s="48"/>
      <c r="G16" s="48"/>
      <c r="H16" s="48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645AA-69A3-42D7-922A-7D2AA92476C8}">
  <dimension ref="A2:Q16"/>
  <sheetViews>
    <sheetView workbookViewId="0">
      <selection activeCell="C24" sqref="C24"/>
    </sheetView>
  </sheetViews>
  <sheetFormatPr defaultRowHeight="14.5" x14ac:dyDescent="0.35"/>
  <cols>
    <col min="2" max="2" width="17.26953125" customWidth="1"/>
    <col min="3" max="3" width="16.81640625" customWidth="1"/>
  </cols>
  <sheetData>
    <row r="2" spans="1:17" ht="17" x14ac:dyDescent="0.35">
      <c r="A2" t="s">
        <v>4753</v>
      </c>
      <c r="B2" s="63" t="s">
        <v>4870</v>
      </c>
    </row>
    <row r="3" spans="1:17" ht="16.5" x14ac:dyDescent="0.35">
      <c r="B3" s="19"/>
      <c r="C3" s="19" t="s">
        <v>4642</v>
      </c>
      <c r="D3" s="19" t="s">
        <v>4643</v>
      </c>
      <c r="E3" s="19" t="s">
        <v>4644</v>
      </c>
      <c r="F3" s="19" t="s">
        <v>4645</v>
      </c>
      <c r="G3" s="19" t="s">
        <v>4646</v>
      </c>
      <c r="H3" s="19" t="s">
        <v>4647</v>
      </c>
      <c r="J3" s="19" t="s">
        <v>4648</v>
      </c>
      <c r="K3" s="19" t="s">
        <v>4649</v>
      </c>
      <c r="L3" s="19" t="s">
        <v>4650</v>
      </c>
      <c r="M3" s="19" t="s">
        <v>4651</v>
      </c>
      <c r="N3" s="19" t="s">
        <v>4652</v>
      </c>
      <c r="O3" s="19" t="s">
        <v>4653</v>
      </c>
      <c r="Q3" t="s">
        <v>4811</v>
      </c>
    </row>
    <row r="4" spans="1:17" x14ac:dyDescent="0.35">
      <c r="B4" s="16" t="s">
        <v>115</v>
      </c>
      <c r="C4" s="17">
        <v>1.0179309999999999</v>
      </c>
      <c r="D4" s="17">
        <v>0.98206899999999997</v>
      </c>
      <c r="E4" s="17">
        <v>0.91516200000000003</v>
      </c>
      <c r="F4" s="17">
        <v>1.020964</v>
      </c>
      <c r="G4" s="17">
        <v>0.89506799999999997</v>
      </c>
      <c r="H4" s="17">
        <v>1.1688050000000001</v>
      </c>
      <c r="J4" s="17">
        <v>1.4262090000000001</v>
      </c>
      <c r="K4" s="17">
        <v>1.4659549999999999</v>
      </c>
      <c r="L4" s="17">
        <v>1.7829410000000001</v>
      </c>
      <c r="M4" s="17">
        <v>2.6327889999999998</v>
      </c>
      <c r="N4" s="17">
        <v>2.038227</v>
      </c>
      <c r="O4" s="17">
        <v>1.3197099999999999</v>
      </c>
      <c r="Q4">
        <f>_xlfn.T.TEST(C4:H4,J4:O4,2,2)</f>
        <v>3.6697888483010754E-3</v>
      </c>
    </row>
    <row r="5" spans="1:17" x14ac:dyDescent="0.35">
      <c r="B5" s="16" t="s">
        <v>116</v>
      </c>
      <c r="C5" s="17">
        <v>1.1293759999999999</v>
      </c>
      <c r="D5" s="17">
        <v>0.87062399999999995</v>
      </c>
      <c r="E5" s="17">
        <v>1.2979270000000001</v>
      </c>
      <c r="F5" s="17">
        <v>0.89640699999999995</v>
      </c>
      <c r="G5" s="17">
        <v>0.82915099999999997</v>
      </c>
      <c r="H5" s="17">
        <v>0.97651600000000005</v>
      </c>
      <c r="J5" s="17">
        <v>2.0853199999999998</v>
      </c>
      <c r="K5" s="17">
        <v>2.0237250000000002</v>
      </c>
      <c r="L5" s="17">
        <v>1.6650720000000001</v>
      </c>
      <c r="M5" s="17">
        <v>3.1322960000000002</v>
      </c>
      <c r="N5" s="17">
        <v>1.9556990000000001</v>
      </c>
      <c r="O5" s="17">
        <v>1.359866</v>
      </c>
      <c r="Q5" s="48">
        <f>_xlfn.T.TEST(C5:H5,J5:O5,2,2)</f>
        <v>2.329424151630228E-3</v>
      </c>
    </row>
    <row r="7" spans="1:17" ht="17" x14ac:dyDescent="0.35">
      <c r="B7" s="63" t="s">
        <v>4869</v>
      </c>
      <c r="C7" s="48"/>
    </row>
    <row r="8" spans="1:17" x14ac:dyDescent="0.35">
      <c r="B8" s="19" t="s">
        <v>4672</v>
      </c>
      <c r="C8" s="19"/>
    </row>
    <row r="9" spans="1:17" ht="16.5" x14ac:dyDescent="0.35">
      <c r="B9" s="19" t="s">
        <v>4655</v>
      </c>
      <c r="C9" s="19" t="s">
        <v>4654</v>
      </c>
    </row>
    <row r="10" spans="1:17" x14ac:dyDescent="0.35">
      <c r="A10" t="s">
        <v>4816</v>
      </c>
      <c r="B10" s="17">
        <v>0.93056799999999995</v>
      </c>
      <c r="C10" s="17">
        <v>1.640914</v>
      </c>
    </row>
    <row r="11" spans="1:17" x14ac:dyDescent="0.35">
      <c r="A11" s="48" t="s">
        <v>4817</v>
      </c>
      <c r="B11" s="17">
        <v>1.0694319999999999</v>
      </c>
      <c r="C11" s="17">
        <v>2.0859320000000001</v>
      </c>
    </row>
    <row r="12" spans="1:17" x14ac:dyDescent="0.35">
      <c r="A12" s="48" t="s">
        <v>4818</v>
      </c>
      <c r="B12" s="17">
        <v>1.1569529999999999</v>
      </c>
      <c r="C12" s="17">
        <v>1.9624699999999999</v>
      </c>
    </row>
    <row r="13" spans="1:17" x14ac:dyDescent="0.35">
      <c r="A13" s="48" t="s">
        <v>4819</v>
      </c>
      <c r="B13" s="17">
        <v>0.73658299999999999</v>
      </c>
      <c r="C13" s="17">
        <v>2.1303589999999999</v>
      </c>
    </row>
    <row r="14" spans="1:17" x14ac:dyDescent="0.35">
      <c r="A14" s="48" t="s">
        <v>4820</v>
      </c>
      <c r="B14" s="17">
        <v>1.3484510000000001</v>
      </c>
      <c r="C14" s="17">
        <v>1.6427080000000001</v>
      </c>
    </row>
    <row r="15" spans="1:17" x14ac:dyDescent="0.35">
      <c r="A15" s="48" t="s">
        <v>4821</v>
      </c>
      <c r="B15" s="17">
        <v>0.75801300000000005</v>
      </c>
      <c r="C15" s="17">
        <v>1.810808</v>
      </c>
    </row>
    <row r="16" spans="1:17" x14ac:dyDescent="0.35">
      <c r="A16" t="s">
        <v>4811</v>
      </c>
      <c r="B16">
        <f>_xlfn.T.TEST(B10:B15,C10:C15,2,2)</f>
        <v>5.2606396046603984E-5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E1352-5C86-4AD4-9D68-335EB26C97F2}">
  <dimension ref="A1:R15"/>
  <sheetViews>
    <sheetView workbookViewId="0">
      <selection activeCell="D18" sqref="D18"/>
    </sheetView>
  </sheetViews>
  <sheetFormatPr defaultRowHeight="14.5" x14ac:dyDescent="0.35"/>
  <cols>
    <col min="2" max="2" width="12.453125" customWidth="1"/>
    <col min="3" max="3" width="13" customWidth="1"/>
    <col min="4" max="4" width="12.54296875" customWidth="1"/>
    <col min="16" max="16" width="11.81640625" bestFit="1" customWidth="1"/>
  </cols>
  <sheetData>
    <row r="1" spans="1:18" ht="17" x14ac:dyDescent="0.35">
      <c r="A1" t="s">
        <v>4754</v>
      </c>
      <c r="B1" s="63" t="s">
        <v>4871</v>
      </c>
    </row>
    <row r="2" spans="1:18" ht="16.5" x14ac:dyDescent="0.35">
      <c r="B2" s="19"/>
      <c r="C2" s="19" t="s">
        <v>4656</v>
      </c>
      <c r="D2" s="19" t="s">
        <v>4657</v>
      </c>
      <c r="E2" s="19" t="s">
        <v>4658</v>
      </c>
      <c r="F2" s="19" t="s">
        <v>4659</v>
      </c>
      <c r="G2" s="19" t="s">
        <v>4660</v>
      </c>
      <c r="H2" s="19" t="s">
        <v>4661</v>
      </c>
      <c r="I2" s="19"/>
      <c r="J2" s="19" t="s">
        <v>57</v>
      </c>
      <c r="K2" s="19" t="s">
        <v>58</v>
      </c>
      <c r="L2" s="19" t="s">
        <v>59</v>
      </c>
      <c r="M2" s="19" t="s">
        <v>60</v>
      </c>
      <c r="N2" s="19" t="s">
        <v>61</v>
      </c>
      <c r="O2" s="19" t="s">
        <v>62</v>
      </c>
      <c r="P2" s="60" t="s">
        <v>4863</v>
      </c>
    </row>
    <row r="3" spans="1:18" x14ac:dyDescent="0.35">
      <c r="B3" s="24" t="s">
        <v>54</v>
      </c>
      <c r="C3" s="25">
        <v>0.83994999999999997</v>
      </c>
      <c r="D3" s="25">
        <v>1.0530299999999999</v>
      </c>
      <c r="E3" s="25">
        <v>1.06389</v>
      </c>
      <c r="F3" s="25">
        <v>1.0269999999999999</v>
      </c>
      <c r="G3" s="25">
        <v>0.977383</v>
      </c>
      <c r="H3" s="25">
        <v>1.0387470000000001</v>
      </c>
      <c r="I3" s="25"/>
      <c r="J3" s="25">
        <v>2.1179869999999998</v>
      </c>
      <c r="K3" s="25">
        <v>2.3563610000000001</v>
      </c>
      <c r="L3" s="25">
        <v>2.3622420000000002</v>
      </c>
      <c r="M3" s="25">
        <v>1.851248</v>
      </c>
      <c r="N3" s="25">
        <v>1.9056059999999999</v>
      </c>
      <c r="O3" s="25">
        <v>1.427176</v>
      </c>
      <c r="P3">
        <f>_xlfn.T.TEST(C3:H3,J3:O3,2,2)</f>
        <v>5.1544571219422125E-5</v>
      </c>
      <c r="Q3" s="22"/>
      <c r="R3" s="22"/>
    </row>
    <row r="4" spans="1:18" x14ac:dyDescent="0.35">
      <c r="B4" s="24" t="s">
        <v>55</v>
      </c>
      <c r="C4" s="25">
        <v>0.99160300000000001</v>
      </c>
      <c r="D4" s="25">
        <v>0.95829900000000001</v>
      </c>
      <c r="E4" s="25">
        <v>0.81400099999999997</v>
      </c>
      <c r="F4" s="25">
        <v>0.97545300000000001</v>
      </c>
      <c r="G4" s="25">
        <v>1.1247579999999999</v>
      </c>
      <c r="H4" s="25">
        <v>1.135886</v>
      </c>
      <c r="I4" s="25"/>
      <c r="J4" s="25">
        <v>3.8279920000000001</v>
      </c>
      <c r="K4" s="25">
        <v>3.1324689999999999</v>
      </c>
      <c r="L4" s="25">
        <v>2.835083</v>
      </c>
      <c r="M4" s="25">
        <v>3.5383369999999998</v>
      </c>
      <c r="N4" s="25">
        <v>3.6842820000000001</v>
      </c>
      <c r="O4" s="25">
        <v>3.2609300000000001</v>
      </c>
      <c r="P4" s="48">
        <f>_xlfn.T.TEST(C4:H4,J4:O4,2,2)</f>
        <v>3.6459746925203787E-8</v>
      </c>
      <c r="Q4" s="22"/>
      <c r="R4" s="22"/>
    </row>
    <row r="5" spans="1:18" s="48" customFormat="1" x14ac:dyDescent="0.35">
      <c r="B5" s="64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Q5" s="22"/>
      <c r="R5" s="22"/>
    </row>
    <row r="6" spans="1:18" ht="17" x14ac:dyDescent="0.35">
      <c r="B6" s="63" t="s">
        <v>4872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</row>
    <row r="7" spans="1:18" x14ac:dyDescent="0.35">
      <c r="B7" s="27" t="s">
        <v>56</v>
      </c>
    </row>
    <row r="8" spans="1:18" ht="16.5" x14ac:dyDescent="0.35">
      <c r="B8" s="19" t="s">
        <v>4662</v>
      </c>
      <c r="C8" s="29" t="s">
        <v>63</v>
      </c>
    </row>
    <row r="9" spans="1:18" x14ac:dyDescent="0.35">
      <c r="B9" s="25">
        <v>0.83</v>
      </c>
      <c r="C9" s="25">
        <v>1.4225589999999999</v>
      </c>
    </row>
    <row r="10" spans="1:18" x14ac:dyDescent="0.35">
      <c r="B10" s="25">
        <v>1.03</v>
      </c>
      <c r="C10" s="25">
        <v>1.2392000000000001</v>
      </c>
    </row>
    <row r="11" spans="1:18" x14ac:dyDescent="0.35">
      <c r="B11" s="25">
        <v>0.97</v>
      </c>
      <c r="C11" s="25">
        <v>1.427416</v>
      </c>
      <c r="G11" s="19"/>
    </row>
    <row r="12" spans="1:18" x14ac:dyDescent="0.35">
      <c r="B12" s="25">
        <v>1.1499999999999999</v>
      </c>
      <c r="C12" s="25">
        <v>1.4034169999999999</v>
      </c>
    </row>
    <row r="13" spans="1:18" x14ac:dyDescent="0.35">
      <c r="B13" s="25">
        <v>1.04</v>
      </c>
      <c r="C13" s="25">
        <v>1.1865859999999999</v>
      </c>
    </row>
    <row r="14" spans="1:18" x14ac:dyDescent="0.35">
      <c r="B14" s="25">
        <v>0.98</v>
      </c>
      <c r="C14" s="25"/>
    </row>
    <row r="15" spans="1:18" x14ac:dyDescent="0.35">
      <c r="B15">
        <f>_xlfn.T.TEST(B9:B14,C9:C13,2,2)</f>
        <v>6.6314035096977201E-4</v>
      </c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9FBB4-4F40-48D7-817F-E7BDD724F8E2}">
  <dimension ref="A1:T9"/>
  <sheetViews>
    <sheetView workbookViewId="0">
      <selection activeCell="E21" sqref="E21"/>
    </sheetView>
  </sheetViews>
  <sheetFormatPr defaultRowHeight="14.5" x14ac:dyDescent="0.35"/>
  <sheetData>
    <row r="1" spans="1:20" x14ac:dyDescent="0.35">
      <c r="A1" s="48" t="s">
        <v>4755</v>
      </c>
      <c r="B1" s="63" t="s">
        <v>4874</v>
      </c>
    </row>
    <row r="2" spans="1:20" x14ac:dyDescent="0.35">
      <c r="B2" s="19"/>
      <c r="C2" s="19" t="s">
        <v>64</v>
      </c>
      <c r="D2" s="19" t="s">
        <v>65</v>
      </c>
      <c r="E2" s="19" t="s">
        <v>66</v>
      </c>
      <c r="F2" s="19" t="s">
        <v>67</v>
      </c>
      <c r="G2" s="19" t="s">
        <v>68</v>
      </c>
      <c r="H2" s="19" t="s">
        <v>69</v>
      </c>
      <c r="I2" s="19" t="s">
        <v>70</v>
      </c>
      <c r="J2" s="19" t="s">
        <v>71</v>
      </c>
      <c r="K2" s="19"/>
      <c r="L2" s="19" t="s">
        <v>72</v>
      </c>
      <c r="M2" s="19" t="s">
        <v>73</v>
      </c>
      <c r="N2" s="19" t="s">
        <v>74</v>
      </c>
      <c r="O2" s="19" t="s">
        <v>75</v>
      </c>
      <c r="P2" s="19" t="s">
        <v>76</v>
      </c>
      <c r="Q2" s="19" t="s">
        <v>77</v>
      </c>
      <c r="R2" s="19" t="s">
        <v>78</v>
      </c>
      <c r="S2" s="19" t="s">
        <v>79</v>
      </c>
      <c r="T2" s="60" t="s">
        <v>4863</v>
      </c>
    </row>
    <row r="3" spans="1:20" x14ac:dyDescent="0.35">
      <c r="B3" s="24" t="s">
        <v>115</v>
      </c>
      <c r="C3" s="25">
        <v>0.96180699999999997</v>
      </c>
      <c r="D3" s="25">
        <v>1.0416049999999999</v>
      </c>
      <c r="E3" s="25">
        <v>0.99658800000000003</v>
      </c>
      <c r="F3" s="25">
        <v>0.97609199999999996</v>
      </c>
      <c r="G3" s="25">
        <v>0.95062500000000005</v>
      </c>
      <c r="H3" s="25">
        <v>1.07328</v>
      </c>
      <c r="I3" s="25">
        <v>1.0600529999999999</v>
      </c>
      <c r="J3" s="25">
        <v>0.93994699999999998</v>
      </c>
      <c r="K3" s="19"/>
      <c r="L3" s="25">
        <v>1.260769</v>
      </c>
      <c r="M3" s="25">
        <v>1.3151820000000001</v>
      </c>
      <c r="N3" s="25">
        <v>1.0294540000000001</v>
      </c>
      <c r="O3" s="25">
        <v>1.2780210000000001</v>
      </c>
      <c r="P3" s="25">
        <v>1.4118029999999999</v>
      </c>
      <c r="Q3" s="25">
        <v>1.475204</v>
      </c>
      <c r="R3" s="25">
        <v>2.6696960000000001</v>
      </c>
      <c r="S3" s="25">
        <v>2.1235930000000001</v>
      </c>
      <c r="T3">
        <f>_xlfn.T.TEST(C3:J3,L3:S3,2,2)</f>
        <v>1.0730007212479981E-2</v>
      </c>
    </row>
    <row r="4" spans="1:20" x14ac:dyDescent="0.35">
      <c r="B4" s="24" t="s">
        <v>116</v>
      </c>
      <c r="C4" s="25">
        <v>0.95889899999999995</v>
      </c>
      <c r="D4" s="25">
        <v>1.1006590000000001</v>
      </c>
      <c r="E4" s="25">
        <v>0.940442</v>
      </c>
      <c r="F4" s="25">
        <v>0.87589600000000001</v>
      </c>
      <c r="G4" s="25">
        <v>0.98305100000000001</v>
      </c>
      <c r="H4" s="25">
        <v>1.141052</v>
      </c>
      <c r="I4" s="25">
        <v>1.0418540000000001</v>
      </c>
      <c r="J4" s="25">
        <v>0.95814600000000005</v>
      </c>
      <c r="K4" s="19"/>
      <c r="L4" s="25">
        <v>1.460704</v>
      </c>
      <c r="M4" s="25">
        <v>1.5410569999999999</v>
      </c>
      <c r="N4" s="25">
        <v>1.4390639999999999</v>
      </c>
      <c r="O4" s="25">
        <v>1.769056</v>
      </c>
      <c r="P4" s="25">
        <v>2.0679959999999999</v>
      </c>
      <c r="Q4" s="25">
        <v>1.9507330000000001</v>
      </c>
      <c r="R4" s="25">
        <v>2.2559840000000002</v>
      </c>
      <c r="S4" s="25">
        <v>1.857863</v>
      </c>
      <c r="T4" s="48">
        <f>_xlfn.T.TEST(C4:J4,L4:S4,2,2)</f>
        <v>4.3533452489438295E-6</v>
      </c>
    </row>
    <row r="5" spans="1:20" x14ac:dyDescent="0.35">
      <c r="S5" s="19"/>
    </row>
    <row r="7" spans="1:20" x14ac:dyDescent="0.35">
      <c r="B7" s="63" t="s">
        <v>4873</v>
      </c>
    </row>
    <row r="8" spans="1:20" x14ac:dyDescent="0.35">
      <c r="B8" s="19"/>
      <c r="C8" s="19" t="s">
        <v>64</v>
      </c>
      <c r="D8" s="19" t="s">
        <v>65</v>
      </c>
      <c r="E8" s="19" t="s">
        <v>66</v>
      </c>
      <c r="F8" s="19" t="s">
        <v>67</v>
      </c>
      <c r="G8" s="19" t="s">
        <v>68</v>
      </c>
      <c r="H8" s="19" t="s">
        <v>69</v>
      </c>
      <c r="I8" s="19" t="s">
        <v>70</v>
      </c>
      <c r="J8" s="19"/>
      <c r="K8" s="19"/>
      <c r="L8" s="19" t="s">
        <v>72</v>
      </c>
      <c r="M8" s="19" t="s">
        <v>73</v>
      </c>
      <c r="N8" s="19" t="s">
        <v>74</v>
      </c>
      <c r="O8" s="19" t="s">
        <v>75</v>
      </c>
      <c r="P8" s="19" t="s">
        <v>76</v>
      </c>
      <c r="Q8" s="19" t="s">
        <v>77</v>
      </c>
      <c r="R8" s="19" t="s">
        <v>78</v>
      </c>
    </row>
    <row r="9" spans="1:20" x14ac:dyDescent="0.35">
      <c r="B9" s="19" t="s">
        <v>4672</v>
      </c>
      <c r="C9" s="25">
        <v>1</v>
      </c>
      <c r="D9" s="25">
        <v>1.035212</v>
      </c>
      <c r="E9" s="25">
        <v>0.96478799999999998</v>
      </c>
      <c r="F9" s="25">
        <v>1.042659</v>
      </c>
      <c r="G9" s="25">
        <v>0.957341</v>
      </c>
      <c r="H9" s="25">
        <v>0.93097399999999997</v>
      </c>
      <c r="I9" s="25">
        <v>1.069026</v>
      </c>
      <c r="J9" s="19"/>
      <c r="K9" s="19"/>
      <c r="L9" s="25">
        <v>1.4066829999999999</v>
      </c>
      <c r="M9" s="25">
        <v>1.83921</v>
      </c>
      <c r="N9" s="25">
        <v>1.641408</v>
      </c>
      <c r="O9" s="25">
        <v>1.827672</v>
      </c>
      <c r="P9" s="25">
        <v>1.7395069999999999</v>
      </c>
      <c r="Q9" s="25">
        <v>1.1277330000000001</v>
      </c>
      <c r="R9" s="25">
        <v>1.2147669999999999</v>
      </c>
      <c r="T9" s="48">
        <f>_xlfn.T.TEST(C9:J9,L9:S9,2,2)</f>
        <v>4.1769642928504057E-4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00182-4311-44D0-ACC1-5D1B43EDEC8E}">
  <dimension ref="A1:R11"/>
  <sheetViews>
    <sheetView workbookViewId="0">
      <selection activeCell="H48" sqref="H48"/>
    </sheetView>
  </sheetViews>
  <sheetFormatPr defaultRowHeight="14.5" x14ac:dyDescent="0.35"/>
  <sheetData>
    <row r="1" spans="1:18" x14ac:dyDescent="0.35">
      <c r="A1" t="s">
        <v>4756</v>
      </c>
      <c r="B1" s="63" t="s">
        <v>4875</v>
      </c>
      <c r="P1" t="s">
        <v>4811</v>
      </c>
    </row>
    <row r="2" spans="1:18" x14ac:dyDescent="0.35">
      <c r="B2" s="26" t="s">
        <v>4674</v>
      </c>
      <c r="C2" s="19" t="s">
        <v>64</v>
      </c>
      <c r="D2" s="19" t="s">
        <v>65</v>
      </c>
      <c r="E2" s="19" t="s">
        <v>66</v>
      </c>
      <c r="F2" s="19" t="s">
        <v>67</v>
      </c>
      <c r="G2" s="19" t="s">
        <v>68</v>
      </c>
      <c r="H2" s="19" t="s">
        <v>69</v>
      </c>
      <c r="I2" s="19"/>
      <c r="J2" s="19" t="s">
        <v>72</v>
      </c>
      <c r="K2" s="19" t="s">
        <v>73</v>
      </c>
      <c r="L2" s="19" t="s">
        <v>74</v>
      </c>
      <c r="M2" s="19" t="s">
        <v>75</v>
      </c>
      <c r="N2" s="19" t="s">
        <v>76</v>
      </c>
      <c r="O2" s="19" t="s">
        <v>77</v>
      </c>
    </row>
    <row r="3" spans="1:18" x14ac:dyDescent="0.35">
      <c r="B3" s="16" t="s">
        <v>80</v>
      </c>
      <c r="C3" s="17">
        <v>0.94661099999999998</v>
      </c>
      <c r="D3" s="17">
        <v>1.0533889999999999</v>
      </c>
      <c r="E3" s="17">
        <v>0.98976200000000003</v>
      </c>
      <c r="F3" s="17">
        <v>0.88975099999999996</v>
      </c>
      <c r="G3" s="17">
        <v>0.87958400000000003</v>
      </c>
      <c r="H3" s="17">
        <v>1</v>
      </c>
      <c r="I3" s="17"/>
      <c r="J3" s="17">
        <v>1.5383199999999999</v>
      </c>
      <c r="K3" s="17">
        <v>1.440904</v>
      </c>
      <c r="L3" s="17">
        <v>1.4760439999999999</v>
      </c>
      <c r="M3" s="17">
        <v>1.1826179999999999</v>
      </c>
      <c r="N3" s="17">
        <v>1.197641</v>
      </c>
      <c r="O3" s="17">
        <v>1.555766</v>
      </c>
      <c r="P3">
        <f>_xlfn.T.TEST(C3:H3,J3:O3,2,2)</f>
        <v>1.3694763490932867E-4</v>
      </c>
      <c r="Q3" s="1"/>
      <c r="R3" s="1"/>
    </row>
    <row r="4" spans="1:18" x14ac:dyDescent="0.35">
      <c r="B4" s="16" t="s">
        <v>81</v>
      </c>
      <c r="C4" s="17">
        <v>1.0168429999999999</v>
      </c>
      <c r="D4" s="17">
        <v>0.98315699999999995</v>
      </c>
      <c r="E4" s="17"/>
      <c r="F4" s="17"/>
      <c r="G4" s="17"/>
      <c r="H4" s="17"/>
      <c r="I4" s="17"/>
      <c r="J4" s="17">
        <v>0.98372599999999999</v>
      </c>
      <c r="K4" s="17">
        <v>1.0357050000000001</v>
      </c>
      <c r="L4" s="17"/>
      <c r="M4" s="17"/>
      <c r="N4" s="17"/>
      <c r="O4" s="17"/>
      <c r="P4" s="48">
        <f>_xlfn.T.TEST(C4:H4,J4:O4,2,2)</f>
        <v>0.78343981976136456</v>
      </c>
      <c r="Q4" s="1"/>
      <c r="R4" s="1"/>
    </row>
    <row r="5" spans="1:18" x14ac:dyDescent="0.35">
      <c r="B5" s="16" t="s">
        <v>82</v>
      </c>
      <c r="C5" s="17">
        <v>0.95608000000000004</v>
      </c>
      <c r="D5" s="17">
        <v>1.051647</v>
      </c>
      <c r="E5" s="17">
        <v>0.99227299999999996</v>
      </c>
      <c r="F5" s="17"/>
      <c r="G5" s="17"/>
      <c r="H5" s="17"/>
      <c r="I5" s="17"/>
      <c r="J5" s="17">
        <v>1.034735</v>
      </c>
      <c r="K5" s="17">
        <v>0.96980100000000002</v>
      </c>
      <c r="L5" s="17">
        <v>1.17727</v>
      </c>
      <c r="M5" s="17"/>
      <c r="N5" s="17"/>
      <c r="O5" s="17"/>
      <c r="P5" s="48">
        <f t="shared" ref="P5" si="0">_xlfn.T.TEST(C5:H5,J5:O5,2,2)</f>
        <v>0.41882524404578214</v>
      </c>
      <c r="Q5" s="1"/>
      <c r="R5" s="1"/>
    </row>
    <row r="6" spans="1:18" x14ac:dyDescent="0.35"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</row>
    <row r="8" spans="1:18" x14ac:dyDescent="0.35">
      <c r="B8" s="24" t="s">
        <v>4675</v>
      </c>
      <c r="C8" s="19" t="s">
        <v>64</v>
      </c>
      <c r="D8" s="19" t="s">
        <v>65</v>
      </c>
      <c r="E8" s="19" t="s">
        <v>66</v>
      </c>
      <c r="F8" s="19" t="s">
        <v>67</v>
      </c>
      <c r="G8" s="19" t="s">
        <v>68</v>
      </c>
      <c r="H8" s="19" t="s">
        <v>69</v>
      </c>
      <c r="I8" s="19"/>
      <c r="J8" s="19" t="s">
        <v>72</v>
      </c>
      <c r="K8" s="19" t="s">
        <v>73</v>
      </c>
      <c r="L8" s="19" t="s">
        <v>74</v>
      </c>
      <c r="M8" s="19" t="s">
        <v>75</v>
      </c>
      <c r="N8" s="19" t="s">
        <v>76</v>
      </c>
      <c r="O8" s="19" t="s">
        <v>77</v>
      </c>
    </row>
    <row r="9" spans="1:18" x14ac:dyDescent="0.35">
      <c r="B9" s="16" t="s">
        <v>80</v>
      </c>
      <c r="C9" s="17">
        <v>0.94661099999999998</v>
      </c>
      <c r="D9" s="17">
        <v>1.0533889999999999</v>
      </c>
      <c r="E9" s="17">
        <v>0.88441499999999995</v>
      </c>
      <c r="F9" s="17">
        <v>1.0143249999999999</v>
      </c>
      <c r="G9" s="17">
        <v>0.96426900000000004</v>
      </c>
      <c r="H9" s="17">
        <v>1.1369910000000001</v>
      </c>
      <c r="I9" s="17"/>
      <c r="J9" s="17">
        <v>1.5383199999999999</v>
      </c>
      <c r="K9" s="17">
        <v>1.440904</v>
      </c>
      <c r="L9" s="17">
        <v>1.457543</v>
      </c>
      <c r="M9" s="17">
        <v>1.5411360000000001</v>
      </c>
      <c r="N9" s="17">
        <v>1.3604780000000001</v>
      </c>
      <c r="O9" s="17">
        <v>1.6654150000000001</v>
      </c>
      <c r="P9" s="48">
        <f>_xlfn.T.TEST(C9:H9,J9:O9,2,2)</f>
        <v>4.5030652256283914E-6</v>
      </c>
      <c r="Q9" s="1"/>
      <c r="R9" s="1"/>
    </row>
    <row r="10" spans="1:18" x14ac:dyDescent="0.35">
      <c r="B10" s="16" t="s">
        <v>81</v>
      </c>
      <c r="C10" s="17">
        <v>1.0168429999999999</v>
      </c>
      <c r="D10" s="17">
        <v>0.98315699999999995</v>
      </c>
      <c r="E10" s="17"/>
      <c r="F10" s="17"/>
      <c r="G10" s="17"/>
      <c r="H10" s="17"/>
      <c r="I10" s="17"/>
      <c r="J10" s="17">
        <v>0.98372599999999999</v>
      </c>
      <c r="K10" s="17">
        <v>1.0357050000000001</v>
      </c>
      <c r="L10" s="17"/>
      <c r="M10" s="17"/>
      <c r="N10" s="17"/>
      <c r="O10" s="17"/>
      <c r="P10" s="48">
        <f>_xlfn.T.TEST(C10:H10,J10:O10,2,2)</f>
        <v>0.78343981976136456</v>
      </c>
      <c r="Q10" s="1"/>
      <c r="R10" s="1"/>
    </row>
    <row r="11" spans="1:18" x14ac:dyDescent="0.35">
      <c r="B11" s="16" t="s">
        <v>82</v>
      </c>
      <c r="C11" s="17">
        <v>1.0263960000000001</v>
      </c>
      <c r="D11" s="17">
        <v>0.75823399999999996</v>
      </c>
      <c r="E11" s="17">
        <v>1.2153689999999999</v>
      </c>
      <c r="F11" s="17"/>
      <c r="G11" s="17"/>
      <c r="H11" s="17"/>
      <c r="I11" s="17"/>
      <c r="J11" s="17">
        <v>1.248264</v>
      </c>
      <c r="K11" s="17">
        <v>1.2143349999999999</v>
      </c>
      <c r="L11" s="17">
        <v>1.1728190000000001</v>
      </c>
      <c r="M11" s="17"/>
      <c r="N11" s="17"/>
      <c r="O11" s="17"/>
      <c r="P11" s="48">
        <f t="shared" ref="P11" si="1">_xlfn.T.TEST(C11:H11,J11:O11,2,2)</f>
        <v>0.19017668718202058</v>
      </c>
      <c r="Q11" s="1"/>
      <c r="R11" s="1"/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2F3D8-A38C-4CA4-8F95-9E4175DA2247}">
  <dimension ref="A1:P19"/>
  <sheetViews>
    <sheetView workbookViewId="0">
      <selection activeCell="H29" sqref="H29"/>
    </sheetView>
  </sheetViews>
  <sheetFormatPr defaultRowHeight="14.5" x14ac:dyDescent="0.35"/>
  <cols>
    <col min="2" max="2" width="16.81640625" customWidth="1"/>
  </cols>
  <sheetData>
    <row r="1" spans="1:16" x14ac:dyDescent="0.35">
      <c r="A1" t="s">
        <v>4757</v>
      </c>
      <c r="B1" s="63" t="s">
        <v>4876</v>
      </c>
      <c r="P1" t="s">
        <v>4811</v>
      </c>
    </row>
    <row r="2" spans="1:16" x14ac:dyDescent="0.35">
      <c r="B2" s="26" t="s">
        <v>4676</v>
      </c>
      <c r="C2" s="27" t="s">
        <v>64</v>
      </c>
      <c r="D2" s="27" t="s">
        <v>65</v>
      </c>
      <c r="E2" s="27" t="s">
        <v>66</v>
      </c>
      <c r="F2" s="27" t="s">
        <v>67</v>
      </c>
      <c r="G2" s="27" t="s">
        <v>68</v>
      </c>
      <c r="H2" s="27" t="s">
        <v>69</v>
      </c>
      <c r="I2" s="19"/>
      <c r="J2" s="19" t="s">
        <v>72</v>
      </c>
      <c r="K2" s="19" t="s">
        <v>73</v>
      </c>
      <c r="L2" s="19" t="s">
        <v>74</v>
      </c>
      <c r="M2" s="19" t="s">
        <v>75</v>
      </c>
      <c r="N2" s="19" t="s">
        <v>76</v>
      </c>
      <c r="O2" s="19" t="s">
        <v>77</v>
      </c>
    </row>
    <row r="3" spans="1:16" x14ac:dyDescent="0.35">
      <c r="B3" s="16" t="s">
        <v>83</v>
      </c>
      <c r="C3" s="17">
        <v>0.95889899999999995</v>
      </c>
      <c r="D3" s="17">
        <v>1.1006590000000001</v>
      </c>
      <c r="E3" s="17">
        <v>0.940442</v>
      </c>
      <c r="F3" s="17">
        <v>0.68101599999999995</v>
      </c>
      <c r="G3" s="17">
        <v>1.1132880000000001</v>
      </c>
      <c r="H3" s="17">
        <v>1.2056960000000001</v>
      </c>
      <c r="J3" s="17">
        <v>1.460704</v>
      </c>
      <c r="K3" s="17">
        <v>1.5410569999999999</v>
      </c>
      <c r="L3" s="17">
        <v>1.4390639999999999</v>
      </c>
      <c r="M3" s="17">
        <v>1.366619</v>
      </c>
      <c r="N3" s="17">
        <v>1.326355</v>
      </c>
      <c r="O3" s="17"/>
      <c r="P3">
        <f>_xlfn.T.TEST(C3:H3,J3:N3,2,2)</f>
        <v>1.083213866494456E-3</v>
      </c>
    </row>
    <row r="4" spans="1:16" x14ac:dyDescent="0.35">
      <c r="B4" s="24" t="s">
        <v>4877</v>
      </c>
      <c r="C4" s="17">
        <v>1.078614</v>
      </c>
      <c r="D4" s="17">
        <v>0.92138600000000004</v>
      </c>
      <c r="E4" s="17">
        <v>0.83454600000000001</v>
      </c>
      <c r="F4" s="17">
        <v>1.165454</v>
      </c>
      <c r="G4" s="17">
        <v>1.020438</v>
      </c>
      <c r="H4" s="17">
        <v>0.97956200000000004</v>
      </c>
      <c r="J4" s="17">
        <v>2.3195869999999998</v>
      </c>
      <c r="K4" s="17">
        <v>2.4604910000000002</v>
      </c>
      <c r="L4" s="17">
        <v>2.6658909999999998</v>
      </c>
      <c r="M4" s="17">
        <v>1.798532</v>
      </c>
      <c r="N4" s="17">
        <v>2.15733</v>
      </c>
      <c r="O4" s="17">
        <v>2.2129059999999998</v>
      </c>
      <c r="P4" s="48">
        <f t="shared" ref="P4:P6" si="0">_xlfn.T.TEST(C4:H4,J4:N4,2,2)</f>
        <v>8.6150386179387517E-6</v>
      </c>
    </row>
    <row r="5" spans="1:16" x14ac:dyDescent="0.35">
      <c r="B5" s="24" t="s">
        <v>4878</v>
      </c>
      <c r="C5" s="17">
        <v>0.882992</v>
      </c>
      <c r="D5" s="17">
        <v>1.117008</v>
      </c>
      <c r="E5" s="17">
        <v>0.93253299999999995</v>
      </c>
      <c r="F5" s="17">
        <v>1.0674669999999999</v>
      </c>
      <c r="G5" s="17">
        <v>1.021029</v>
      </c>
      <c r="H5" s="17">
        <v>0.97897100000000004</v>
      </c>
      <c r="J5" s="17">
        <v>1.122045</v>
      </c>
      <c r="K5" s="17">
        <v>1.1784049999999999</v>
      </c>
      <c r="L5" s="17">
        <v>1.115059</v>
      </c>
      <c r="M5" s="17">
        <v>1.4903759999999999</v>
      </c>
      <c r="N5" s="17">
        <v>0.94440199999999996</v>
      </c>
      <c r="O5" s="17">
        <v>0.96999800000000003</v>
      </c>
      <c r="P5" s="48">
        <f t="shared" si="0"/>
        <v>8.9653019996983857E-2</v>
      </c>
    </row>
    <row r="6" spans="1:16" x14ac:dyDescent="0.35">
      <c r="B6" s="24" t="s">
        <v>4879</v>
      </c>
      <c r="C6" s="17">
        <v>1</v>
      </c>
      <c r="D6" s="17">
        <v>0.79368700000000003</v>
      </c>
      <c r="E6" s="17">
        <v>1.206313</v>
      </c>
      <c r="F6" s="17"/>
      <c r="G6" s="17"/>
      <c r="H6" s="17"/>
      <c r="J6" s="17">
        <v>1.1814659999999999</v>
      </c>
      <c r="K6" s="17">
        <v>1.018513</v>
      </c>
      <c r="L6" s="17">
        <v>0.81022099999999997</v>
      </c>
      <c r="M6" s="17"/>
      <c r="N6" s="17"/>
      <c r="O6" s="17"/>
      <c r="P6" s="48">
        <f t="shared" si="0"/>
        <v>0.98410451358653273</v>
      </c>
    </row>
    <row r="8" spans="1:16" x14ac:dyDescent="0.35">
      <c r="B8" s="26" t="s">
        <v>4677</v>
      </c>
      <c r="C8" s="27" t="s">
        <v>64</v>
      </c>
      <c r="D8" s="27" t="s">
        <v>65</v>
      </c>
      <c r="E8" s="27" t="s">
        <v>66</v>
      </c>
      <c r="F8" s="27" t="s">
        <v>67</v>
      </c>
      <c r="G8" s="27" t="s">
        <v>68</v>
      </c>
      <c r="H8" s="27" t="s">
        <v>69</v>
      </c>
      <c r="I8" s="28"/>
      <c r="J8" s="19" t="s">
        <v>72</v>
      </c>
      <c r="K8" s="19" t="s">
        <v>73</v>
      </c>
      <c r="L8" s="19" t="s">
        <v>74</v>
      </c>
      <c r="M8" s="19" t="s">
        <v>75</v>
      </c>
      <c r="N8" s="19" t="s">
        <v>76</v>
      </c>
      <c r="O8" s="19" t="s">
        <v>77</v>
      </c>
    </row>
    <row r="9" spans="1:16" x14ac:dyDescent="0.35">
      <c r="B9" s="16" t="s">
        <v>83</v>
      </c>
      <c r="C9" s="17">
        <v>0.97609199999999996</v>
      </c>
      <c r="D9" s="17">
        <v>0.95062500000000005</v>
      </c>
      <c r="E9" s="17">
        <v>1.0732820000000001</v>
      </c>
      <c r="F9" s="17">
        <v>0.96180699999999997</v>
      </c>
      <c r="G9" s="17">
        <v>1.0416049999999999</v>
      </c>
      <c r="H9" s="17">
        <v>0.99658800000000003</v>
      </c>
      <c r="J9" s="17">
        <v>1.2780210000000001</v>
      </c>
      <c r="K9" s="17">
        <v>1.4118029999999999</v>
      </c>
      <c r="L9" s="17">
        <v>1.475204</v>
      </c>
      <c r="M9" s="17">
        <v>1.260769</v>
      </c>
      <c r="N9" s="17">
        <v>1.3151820000000001</v>
      </c>
      <c r="O9" s="19"/>
      <c r="P9" s="48">
        <f>_xlfn.T.TEST(C9:H9,J9:N9,2,2)</f>
        <v>2.0144362280032114E-5</v>
      </c>
    </row>
    <row r="10" spans="1:16" x14ac:dyDescent="0.35">
      <c r="B10" s="24" t="s">
        <v>4877</v>
      </c>
      <c r="C10" s="17">
        <v>1.0419480000000001</v>
      </c>
      <c r="D10" s="17">
        <v>0.95805200000000001</v>
      </c>
      <c r="E10" s="17">
        <v>1.0021180000000001</v>
      </c>
      <c r="F10" s="17">
        <v>0.99788200000000005</v>
      </c>
      <c r="G10" s="17">
        <v>1.0255799999999999</v>
      </c>
      <c r="H10" s="17">
        <v>0.97441999999999995</v>
      </c>
      <c r="J10" s="17">
        <v>1.3404259999999999</v>
      </c>
      <c r="K10" s="17">
        <v>2.0752959999999998</v>
      </c>
      <c r="L10" s="17">
        <v>2.264996</v>
      </c>
      <c r="M10" s="17">
        <v>2.3246009999999999</v>
      </c>
      <c r="N10" s="17">
        <v>3.2465000000000002</v>
      </c>
      <c r="O10" s="17">
        <v>3.9978899999999999</v>
      </c>
      <c r="P10" s="48">
        <f t="shared" ref="P10:P12" si="1">_xlfn.T.TEST(C10:H10,J10:N10,2,2)</f>
        <v>1.4051500802984595E-3</v>
      </c>
    </row>
    <row r="11" spans="1:16" x14ac:dyDescent="0.35">
      <c r="B11" s="24" t="s">
        <v>4878</v>
      </c>
      <c r="C11" s="17">
        <v>1.027914</v>
      </c>
      <c r="D11" s="17">
        <v>0.97208600000000001</v>
      </c>
      <c r="E11" s="17">
        <v>0.88065099999999996</v>
      </c>
      <c r="F11" s="17">
        <v>1.1193489999999999</v>
      </c>
      <c r="G11" s="17">
        <v>1.1362890000000001</v>
      </c>
      <c r="H11" s="17">
        <v>0.86371100000000001</v>
      </c>
      <c r="J11" s="17">
        <v>1.1421859999999999</v>
      </c>
      <c r="K11" s="17">
        <v>1.239668</v>
      </c>
      <c r="L11" s="17">
        <v>0.87088500000000002</v>
      </c>
      <c r="M11" s="17">
        <v>0.70439200000000002</v>
      </c>
      <c r="N11" s="17">
        <v>1.210874</v>
      </c>
      <c r="O11" s="17">
        <v>1.2354270000000001</v>
      </c>
      <c r="P11" s="48">
        <f t="shared" si="1"/>
        <v>0.76336535453583387</v>
      </c>
    </row>
    <row r="12" spans="1:16" x14ac:dyDescent="0.35">
      <c r="B12" s="24" t="s">
        <v>4879</v>
      </c>
      <c r="C12" s="17">
        <v>1</v>
      </c>
      <c r="D12" s="17">
        <v>0.83069599999999999</v>
      </c>
      <c r="E12" s="17">
        <v>1.1693039999999999</v>
      </c>
      <c r="F12" s="19"/>
      <c r="G12" s="17"/>
      <c r="H12" s="17"/>
      <c r="J12" s="17">
        <v>1.51874</v>
      </c>
      <c r="K12" s="17">
        <v>0.88156199999999996</v>
      </c>
      <c r="L12" s="17">
        <v>0.78930299999999998</v>
      </c>
      <c r="M12" s="17"/>
      <c r="N12" s="17"/>
      <c r="O12" s="17"/>
      <c r="P12" s="48">
        <f t="shared" si="1"/>
        <v>0.81235485098299187</v>
      </c>
    </row>
    <row r="14" spans="1:16" x14ac:dyDescent="0.35">
      <c r="B14" s="19" t="s">
        <v>4672</v>
      </c>
      <c r="C14" s="19" t="s">
        <v>64</v>
      </c>
      <c r="D14" s="19" t="s">
        <v>65</v>
      </c>
      <c r="E14" s="19" t="s">
        <v>66</v>
      </c>
      <c r="F14" s="19" t="s">
        <v>67</v>
      </c>
      <c r="G14" s="19" t="s">
        <v>68</v>
      </c>
      <c r="H14" s="19" t="s">
        <v>69</v>
      </c>
      <c r="I14" s="19"/>
      <c r="J14" s="19" t="s">
        <v>72</v>
      </c>
      <c r="K14" s="19" t="s">
        <v>73</v>
      </c>
      <c r="L14" s="19" t="s">
        <v>74</v>
      </c>
      <c r="M14" s="19" t="s">
        <v>75</v>
      </c>
      <c r="N14" s="19" t="s">
        <v>76</v>
      </c>
      <c r="O14" s="19" t="s">
        <v>77</v>
      </c>
    </row>
    <row r="15" spans="1:16" x14ac:dyDescent="0.35">
      <c r="B15" s="16" t="s">
        <v>83</v>
      </c>
      <c r="C15" s="17">
        <v>1</v>
      </c>
      <c r="D15" s="17">
        <v>0.96116199999999996</v>
      </c>
      <c r="E15" s="17">
        <v>1.0833189999999999</v>
      </c>
      <c r="F15" s="17">
        <v>0.95551900000000001</v>
      </c>
      <c r="G15" s="17"/>
      <c r="H15" s="17"/>
      <c r="J15" s="17">
        <v>1.171702</v>
      </c>
      <c r="K15" s="17">
        <v>1.1185339999999999</v>
      </c>
      <c r="L15" s="17">
        <v>1.110676</v>
      </c>
      <c r="M15" s="17">
        <v>1.3005610000000001</v>
      </c>
      <c r="N15" s="17"/>
      <c r="O15" s="17"/>
      <c r="P15" s="48">
        <f>_xlfn.T.TEST(C15:H15,J15:N15,2,2)</f>
        <v>1.6052962411263652E-2</v>
      </c>
    </row>
    <row r="16" spans="1:16" x14ac:dyDescent="0.35">
      <c r="B16" s="24" t="s">
        <v>4877</v>
      </c>
      <c r="C16" s="17">
        <v>1.03878</v>
      </c>
      <c r="D16" s="17">
        <v>0.96121999999999996</v>
      </c>
      <c r="E16" s="17">
        <v>1.0063279999999999</v>
      </c>
      <c r="F16" s="17">
        <v>0.993672</v>
      </c>
      <c r="G16" s="17">
        <v>0.98267700000000002</v>
      </c>
      <c r="H16" s="17">
        <v>1.017323</v>
      </c>
      <c r="J16" s="17">
        <v>2.1458210000000002</v>
      </c>
      <c r="K16" s="17">
        <v>2.489347</v>
      </c>
      <c r="L16" s="17">
        <v>1.1307879999999999</v>
      </c>
      <c r="M16" s="17">
        <v>1.2024790000000001</v>
      </c>
      <c r="N16" s="17">
        <v>2.080114</v>
      </c>
      <c r="O16" s="17">
        <v>1.8985749999999999</v>
      </c>
      <c r="P16" s="48">
        <f t="shared" ref="P16:P18" si="2">_xlfn.T.TEST(C16:H16,J16:N16,2,2)</f>
        <v>9.2890799303843689E-3</v>
      </c>
    </row>
    <row r="17" spans="2:16" x14ac:dyDescent="0.35">
      <c r="B17" s="24" t="s">
        <v>4878</v>
      </c>
      <c r="C17" s="17">
        <v>0.96414299999999997</v>
      </c>
      <c r="D17" s="17">
        <v>1.035857</v>
      </c>
      <c r="E17" s="17">
        <v>0.84442399999999995</v>
      </c>
      <c r="F17" s="17">
        <v>1.2168600000000001</v>
      </c>
      <c r="G17" s="17">
        <v>0.62035600000000002</v>
      </c>
      <c r="H17" s="17">
        <v>1.2524630000000001</v>
      </c>
      <c r="J17" s="17">
        <v>0.94444300000000003</v>
      </c>
      <c r="K17" s="17">
        <v>0.894011</v>
      </c>
      <c r="L17" s="17">
        <v>1.1555759999999999</v>
      </c>
      <c r="M17" s="17">
        <v>1.109332</v>
      </c>
      <c r="N17" s="17">
        <v>1.3796440000000001</v>
      </c>
      <c r="O17" s="17">
        <v>1.7159089999999999</v>
      </c>
      <c r="P17" s="48">
        <f t="shared" si="2"/>
        <v>0.4367193004822173</v>
      </c>
    </row>
    <row r="18" spans="2:16" x14ac:dyDescent="0.35">
      <c r="B18" s="24" t="s">
        <v>4879</v>
      </c>
      <c r="C18" s="17">
        <v>1</v>
      </c>
      <c r="D18" s="17">
        <v>0.98171299999999995</v>
      </c>
      <c r="E18" s="17">
        <v>1.0182869999999999</v>
      </c>
      <c r="F18" s="17"/>
      <c r="G18" s="17"/>
      <c r="H18" s="17"/>
      <c r="J18" s="17">
        <v>1.245819</v>
      </c>
      <c r="K18" s="17">
        <v>1.208717</v>
      </c>
      <c r="L18" s="17">
        <v>1.0479179999999999</v>
      </c>
      <c r="M18" s="17"/>
      <c r="N18" s="17"/>
      <c r="O18" s="17"/>
      <c r="P18" s="48">
        <f t="shared" si="2"/>
        <v>5.3158040997188655E-2</v>
      </c>
    </row>
    <row r="19" spans="2:16" x14ac:dyDescent="0.35">
      <c r="O19" s="1"/>
      <c r="P19" s="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02456-5F30-4F05-B38C-EBA6DE1E8B13}">
  <dimension ref="A1:G1229"/>
  <sheetViews>
    <sheetView topLeftCell="A112" workbookViewId="0">
      <selection activeCell="N72" sqref="N72"/>
    </sheetView>
  </sheetViews>
  <sheetFormatPr defaultRowHeight="14.5" x14ac:dyDescent="0.35"/>
  <cols>
    <col min="1" max="1" width="27.453125" customWidth="1"/>
  </cols>
  <sheetData>
    <row r="1" spans="1:7" x14ac:dyDescent="0.35">
      <c r="A1" t="s">
        <v>4880</v>
      </c>
    </row>
    <row r="2" spans="1:7" x14ac:dyDescent="0.35">
      <c r="B2" s="40" t="s">
        <v>183</v>
      </c>
      <c r="C2" s="41" t="s">
        <v>183</v>
      </c>
      <c r="D2" s="40" t="s">
        <v>183</v>
      </c>
      <c r="E2" s="40" t="s">
        <v>183</v>
      </c>
      <c r="F2" s="40" t="s">
        <v>183</v>
      </c>
      <c r="G2" s="42" t="s">
        <v>183</v>
      </c>
    </row>
    <row r="3" spans="1:7" x14ac:dyDescent="0.35">
      <c r="A3" s="39" t="s">
        <v>182</v>
      </c>
      <c r="B3" s="44" t="s">
        <v>183</v>
      </c>
      <c r="C3" s="45" t="s">
        <v>183</v>
      </c>
      <c r="D3" s="44" t="s">
        <v>183</v>
      </c>
      <c r="E3" s="44" t="s">
        <v>183</v>
      </c>
      <c r="F3" s="44" t="s">
        <v>183</v>
      </c>
      <c r="G3" s="46" t="s">
        <v>183</v>
      </c>
    </row>
    <row r="4" spans="1:7" x14ac:dyDescent="0.35">
      <c r="A4" s="39" t="s">
        <v>183</v>
      </c>
      <c r="B4" s="40" t="s">
        <v>183</v>
      </c>
      <c r="C4" s="41" t="s">
        <v>183</v>
      </c>
      <c r="D4" s="40" t="s">
        <v>183</v>
      </c>
      <c r="E4" s="40" t="s">
        <v>183</v>
      </c>
      <c r="F4" s="40" t="s">
        <v>183</v>
      </c>
      <c r="G4" s="42" t="s">
        <v>183</v>
      </c>
    </row>
    <row r="5" spans="1:7" x14ac:dyDescent="0.35">
      <c r="A5" s="43" t="s">
        <v>184</v>
      </c>
      <c r="B5" s="44" t="s">
        <v>183</v>
      </c>
      <c r="C5" s="45" t="s">
        <v>183</v>
      </c>
      <c r="D5" s="44" t="s">
        <v>183</v>
      </c>
      <c r="E5" s="44" t="s">
        <v>183</v>
      </c>
      <c r="F5" s="44" t="s">
        <v>183</v>
      </c>
      <c r="G5" s="46" t="s">
        <v>183</v>
      </c>
    </row>
    <row r="6" spans="1:7" x14ac:dyDescent="0.35">
      <c r="A6" s="39" t="s">
        <v>185</v>
      </c>
      <c r="B6" s="40" t="s">
        <v>186</v>
      </c>
      <c r="C6" s="41" t="s">
        <v>187</v>
      </c>
      <c r="D6" s="40" t="s">
        <v>183</v>
      </c>
      <c r="E6" s="40" t="s">
        <v>183</v>
      </c>
      <c r="F6" s="40" t="s">
        <v>183</v>
      </c>
      <c r="G6" s="42" t="s">
        <v>183</v>
      </c>
    </row>
    <row r="7" spans="1:7" x14ac:dyDescent="0.35">
      <c r="A7" s="43" t="s">
        <v>188</v>
      </c>
      <c r="B7" s="44" t="s">
        <v>183</v>
      </c>
      <c r="C7" s="45" t="s">
        <v>183</v>
      </c>
      <c r="D7" s="44" t="s">
        <v>183</v>
      </c>
      <c r="E7" s="44" t="s">
        <v>183</v>
      </c>
      <c r="F7" s="44" t="s">
        <v>183</v>
      </c>
      <c r="G7" s="46" t="s">
        <v>183</v>
      </c>
    </row>
    <row r="8" spans="1:7" x14ac:dyDescent="0.35">
      <c r="A8" s="39" t="s">
        <v>189</v>
      </c>
      <c r="B8" s="40" t="s">
        <v>183</v>
      </c>
      <c r="C8" s="41" t="s">
        <v>183</v>
      </c>
      <c r="D8" s="40" t="s">
        <v>183</v>
      </c>
      <c r="E8" s="40" t="s">
        <v>183</v>
      </c>
      <c r="F8" s="40" t="s">
        <v>183</v>
      </c>
      <c r="G8" s="42" t="s">
        <v>183</v>
      </c>
    </row>
    <row r="9" spans="1:7" x14ac:dyDescent="0.35">
      <c r="A9" s="43" t="s">
        <v>190</v>
      </c>
      <c r="B9" s="44" t="s">
        <v>183</v>
      </c>
      <c r="C9" s="45" t="s">
        <v>183</v>
      </c>
      <c r="D9" s="44" t="s">
        <v>183</v>
      </c>
      <c r="E9" s="44" t="s">
        <v>191</v>
      </c>
      <c r="F9" s="44" t="s">
        <v>192</v>
      </c>
      <c r="G9" s="46" t="s">
        <v>183</v>
      </c>
    </row>
    <row r="10" spans="1:7" x14ac:dyDescent="0.35">
      <c r="A10" s="39" t="s">
        <v>193</v>
      </c>
      <c r="B10" s="40" t="s">
        <v>194</v>
      </c>
      <c r="C10" s="41" t="s">
        <v>195</v>
      </c>
      <c r="D10" s="40" t="s">
        <v>196</v>
      </c>
      <c r="E10" s="40" t="s">
        <v>197</v>
      </c>
      <c r="F10" s="40" t="s">
        <v>198</v>
      </c>
      <c r="G10" s="42" t="s">
        <v>199</v>
      </c>
    </row>
    <row r="11" spans="1:7" x14ac:dyDescent="0.35">
      <c r="A11" s="43" t="s">
        <v>200</v>
      </c>
      <c r="B11" s="44" t="s">
        <v>183</v>
      </c>
      <c r="C11" s="45" t="s">
        <v>183</v>
      </c>
      <c r="D11" s="44" t="s">
        <v>183</v>
      </c>
      <c r="E11" s="44" t="s">
        <v>183</v>
      </c>
      <c r="F11" s="44" t="s">
        <v>183</v>
      </c>
      <c r="G11" s="46" t="s">
        <v>183</v>
      </c>
    </row>
    <row r="12" spans="1:7" x14ac:dyDescent="0.35">
      <c r="A12" s="39" t="s">
        <v>201</v>
      </c>
      <c r="B12" s="40" t="s">
        <v>183</v>
      </c>
      <c r="C12" s="41" t="s">
        <v>183</v>
      </c>
      <c r="D12" s="40" t="s">
        <v>183</v>
      </c>
      <c r="E12" s="40" t="s">
        <v>183</v>
      </c>
      <c r="F12" s="40" t="s">
        <v>183</v>
      </c>
      <c r="G12" s="42" t="s">
        <v>183</v>
      </c>
    </row>
    <row r="13" spans="1:7" x14ac:dyDescent="0.35">
      <c r="A13" s="43" t="s">
        <v>202</v>
      </c>
      <c r="B13" s="44" t="s">
        <v>183</v>
      </c>
      <c r="C13" s="45" t="s">
        <v>183</v>
      </c>
      <c r="D13" s="44" t="s">
        <v>183</v>
      </c>
      <c r="E13" s="44" t="s">
        <v>183</v>
      </c>
      <c r="F13" s="44" t="s">
        <v>183</v>
      </c>
      <c r="G13" s="46" t="s">
        <v>183</v>
      </c>
    </row>
    <row r="14" spans="1:7" x14ac:dyDescent="0.35">
      <c r="A14" s="39" t="s">
        <v>183</v>
      </c>
      <c r="B14" s="40" t="s">
        <v>183</v>
      </c>
      <c r="C14" s="41" t="s">
        <v>183</v>
      </c>
      <c r="D14" s="40" t="s">
        <v>183</v>
      </c>
      <c r="E14" s="40" t="s">
        <v>183</v>
      </c>
      <c r="F14" s="40" t="s">
        <v>183</v>
      </c>
      <c r="G14" s="42" t="s">
        <v>183</v>
      </c>
    </row>
    <row r="15" spans="1:7" x14ac:dyDescent="0.35">
      <c r="A15" s="43" t="s">
        <v>203</v>
      </c>
      <c r="B15" s="44" t="s">
        <v>183</v>
      </c>
      <c r="C15" s="45" t="s">
        <v>183</v>
      </c>
      <c r="D15" s="44" t="s">
        <v>183</v>
      </c>
      <c r="E15" s="44" t="s">
        <v>183</v>
      </c>
      <c r="F15" s="44" t="s">
        <v>183</v>
      </c>
      <c r="G15" s="46" t="s">
        <v>183</v>
      </c>
    </row>
    <row r="16" spans="1:7" x14ac:dyDescent="0.35">
      <c r="A16" s="39" t="s">
        <v>204</v>
      </c>
      <c r="B16" s="40" t="s">
        <v>205</v>
      </c>
      <c r="C16" s="47" t="s">
        <v>206</v>
      </c>
      <c r="D16" s="40" t="s">
        <v>207</v>
      </c>
      <c r="E16" s="40" t="s">
        <v>208</v>
      </c>
      <c r="F16" s="40" t="s">
        <v>209</v>
      </c>
      <c r="G16" s="42" t="s">
        <v>210</v>
      </c>
    </row>
    <row r="17" spans="1:7" x14ac:dyDescent="0.35">
      <c r="A17" s="43" t="s">
        <v>211</v>
      </c>
      <c r="B17" s="44" t="s">
        <v>212</v>
      </c>
      <c r="C17" s="45" t="s">
        <v>206</v>
      </c>
      <c r="D17" s="44" t="s">
        <v>213</v>
      </c>
      <c r="E17" s="44" t="s">
        <v>214</v>
      </c>
      <c r="F17" s="44" t="s">
        <v>215</v>
      </c>
      <c r="G17" s="46" t="s">
        <v>216</v>
      </c>
    </row>
    <row r="18" spans="1:7" x14ac:dyDescent="0.35">
      <c r="A18" s="39" t="s">
        <v>217</v>
      </c>
      <c r="B18" s="40" t="s">
        <v>218</v>
      </c>
      <c r="C18" s="41" t="s">
        <v>206</v>
      </c>
      <c r="D18" s="40" t="s">
        <v>219</v>
      </c>
      <c r="E18" s="40" t="s">
        <v>220</v>
      </c>
      <c r="F18" s="40" t="s">
        <v>221</v>
      </c>
      <c r="G18" s="42" t="s">
        <v>222</v>
      </c>
    </row>
    <row r="19" spans="1:7" x14ac:dyDescent="0.35">
      <c r="A19" s="43" t="s">
        <v>223</v>
      </c>
      <c r="B19" s="44" t="s">
        <v>224</v>
      </c>
      <c r="C19" s="45" t="s">
        <v>206</v>
      </c>
      <c r="D19" s="44" t="s">
        <v>225</v>
      </c>
      <c r="E19" s="44" t="s">
        <v>226</v>
      </c>
      <c r="F19" s="44" t="s">
        <v>227</v>
      </c>
      <c r="G19" s="46" t="s">
        <v>228</v>
      </c>
    </row>
    <row r="20" spans="1:7" x14ac:dyDescent="0.35">
      <c r="A20" s="39" t="s">
        <v>229</v>
      </c>
      <c r="B20" s="40" t="s">
        <v>230</v>
      </c>
      <c r="C20" s="41" t="s">
        <v>206</v>
      </c>
      <c r="D20" s="40" t="s">
        <v>231</v>
      </c>
      <c r="E20" s="40" t="s">
        <v>232</v>
      </c>
      <c r="F20" s="40" t="s">
        <v>233</v>
      </c>
      <c r="G20" s="42" t="s">
        <v>234</v>
      </c>
    </row>
    <row r="21" spans="1:7" x14ac:dyDescent="0.35">
      <c r="A21" s="43" t="s">
        <v>235</v>
      </c>
      <c r="B21" s="44" t="s">
        <v>236</v>
      </c>
      <c r="C21" s="45" t="s">
        <v>206</v>
      </c>
      <c r="D21" s="44" t="s">
        <v>237</v>
      </c>
      <c r="E21" s="44" t="s">
        <v>238</v>
      </c>
      <c r="F21" s="44" t="s">
        <v>221</v>
      </c>
      <c r="G21" s="46" t="s">
        <v>239</v>
      </c>
    </row>
    <row r="22" spans="1:7" x14ac:dyDescent="0.35">
      <c r="A22" s="39" t="s">
        <v>240</v>
      </c>
      <c r="B22" s="40" t="s">
        <v>241</v>
      </c>
      <c r="C22" s="41" t="s">
        <v>206</v>
      </c>
      <c r="D22" s="40" t="s">
        <v>242</v>
      </c>
      <c r="E22" s="40" t="s">
        <v>243</v>
      </c>
      <c r="F22" s="40" t="s">
        <v>244</v>
      </c>
      <c r="G22" s="42" t="s">
        <v>245</v>
      </c>
    </row>
    <row r="23" spans="1:7" x14ac:dyDescent="0.35">
      <c r="A23" s="43" t="s">
        <v>246</v>
      </c>
      <c r="B23" s="44" t="s">
        <v>247</v>
      </c>
      <c r="C23" s="45" t="s">
        <v>206</v>
      </c>
      <c r="D23" s="44" t="s">
        <v>248</v>
      </c>
      <c r="E23" s="44" t="s">
        <v>249</v>
      </c>
      <c r="F23" s="44" t="s">
        <v>250</v>
      </c>
      <c r="G23" s="46" t="s">
        <v>251</v>
      </c>
    </row>
    <row r="24" spans="1:7" x14ac:dyDescent="0.35">
      <c r="A24" s="39" t="s">
        <v>252</v>
      </c>
      <c r="B24" s="40" t="s">
        <v>253</v>
      </c>
      <c r="C24" s="41" t="s">
        <v>206</v>
      </c>
      <c r="D24" s="40" t="s">
        <v>254</v>
      </c>
      <c r="E24" s="40" t="s">
        <v>255</v>
      </c>
      <c r="F24" s="40" t="s">
        <v>256</v>
      </c>
      <c r="G24" s="42" t="s">
        <v>257</v>
      </c>
    </row>
    <row r="25" spans="1:7" x14ac:dyDescent="0.35">
      <c r="A25" s="43" t="s">
        <v>258</v>
      </c>
      <c r="B25" s="44" t="s">
        <v>259</v>
      </c>
      <c r="C25" s="45" t="s">
        <v>206</v>
      </c>
      <c r="D25" s="44" t="s">
        <v>260</v>
      </c>
      <c r="E25" s="44" t="s">
        <v>261</v>
      </c>
      <c r="F25" s="44" t="s">
        <v>262</v>
      </c>
      <c r="G25" s="46" t="s">
        <v>263</v>
      </c>
    </row>
    <row r="26" spans="1:7" x14ac:dyDescent="0.35">
      <c r="A26" s="39" t="s">
        <v>264</v>
      </c>
      <c r="B26" s="40" t="s">
        <v>265</v>
      </c>
      <c r="C26" s="41" t="s">
        <v>206</v>
      </c>
      <c r="D26" s="40" t="s">
        <v>266</v>
      </c>
      <c r="E26" s="40" t="s">
        <v>267</v>
      </c>
      <c r="F26" s="40" t="s">
        <v>268</v>
      </c>
      <c r="G26" s="42" t="s">
        <v>269</v>
      </c>
    </row>
    <row r="27" spans="1:7" x14ac:dyDescent="0.35">
      <c r="A27" s="43" t="s">
        <v>270</v>
      </c>
      <c r="B27" s="44" t="s">
        <v>271</v>
      </c>
      <c r="C27" s="45" t="s">
        <v>206</v>
      </c>
      <c r="D27" s="44" t="s">
        <v>272</v>
      </c>
      <c r="E27" s="44" t="s">
        <v>273</v>
      </c>
      <c r="F27" s="44" t="s">
        <v>274</v>
      </c>
      <c r="G27" s="46" t="s">
        <v>275</v>
      </c>
    </row>
    <row r="28" spans="1:7" x14ac:dyDescent="0.35">
      <c r="A28" s="39" t="s">
        <v>276</v>
      </c>
      <c r="B28" s="40" t="s">
        <v>277</v>
      </c>
      <c r="C28" s="41" t="s">
        <v>206</v>
      </c>
      <c r="D28" s="40" t="s">
        <v>278</v>
      </c>
      <c r="E28" s="40" t="s">
        <v>279</v>
      </c>
      <c r="F28" s="40" t="s">
        <v>280</v>
      </c>
      <c r="G28" s="42" t="s">
        <v>281</v>
      </c>
    </row>
    <row r="29" spans="1:7" x14ac:dyDescent="0.35">
      <c r="A29" s="43" t="s">
        <v>282</v>
      </c>
      <c r="B29" s="44" t="s">
        <v>283</v>
      </c>
      <c r="C29" s="45" t="s">
        <v>206</v>
      </c>
      <c r="D29" s="44" t="s">
        <v>284</v>
      </c>
      <c r="E29" s="44" t="s">
        <v>285</v>
      </c>
      <c r="F29" s="44" t="s">
        <v>221</v>
      </c>
      <c r="G29" s="46" t="s">
        <v>286</v>
      </c>
    </row>
    <row r="30" spans="1:7" x14ac:dyDescent="0.35">
      <c r="A30" s="39" t="s">
        <v>287</v>
      </c>
      <c r="B30" s="40" t="s">
        <v>288</v>
      </c>
      <c r="C30" s="41" t="s">
        <v>206</v>
      </c>
      <c r="D30" s="40" t="s">
        <v>289</v>
      </c>
      <c r="E30" s="40" t="s">
        <v>243</v>
      </c>
      <c r="F30" s="40" t="s">
        <v>290</v>
      </c>
      <c r="G30" s="42" t="s">
        <v>291</v>
      </c>
    </row>
    <row r="31" spans="1:7" x14ac:dyDescent="0.35">
      <c r="A31" s="43" t="s">
        <v>292</v>
      </c>
      <c r="B31" s="44" t="s">
        <v>293</v>
      </c>
      <c r="C31" s="45" t="s">
        <v>206</v>
      </c>
      <c r="D31" s="44" t="s">
        <v>294</v>
      </c>
      <c r="E31" s="44" t="s">
        <v>295</v>
      </c>
      <c r="F31" s="44" t="s">
        <v>296</v>
      </c>
      <c r="G31" s="46" t="s">
        <v>297</v>
      </c>
    </row>
    <row r="32" spans="1:7" x14ac:dyDescent="0.35">
      <c r="A32" s="39" t="s">
        <v>298</v>
      </c>
      <c r="B32" s="40" t="s">
        <v>299</v>
      </c>
      <c r="C32" s="41" t="s">
        <v>206</v>
      </c>
      <c r="D32" s="40" t="s">
        <v>300</v>
      </c>
      <c r="E32" s="40" t="s">
        <v>301</v>
      </c>
      <c r="F32" s="40" t="s">
        <v>302</v>
      </c>
      <c r="G32" s="42" t="s">
        <v>303</v>
      </c>
    </row>
    <row r="33" spans="1:7" x14ac:dyDescent="0.35">
      <c r="A33" s="43" t="s">
        <v>304</v>
      </c>
      <c r="B33" s="44" t="s">
        <v>305</v>
      </c>
      <c r="C33" s="45" t="s">
        <v>206</v>
      </c>
      <c r="D33" s="44" t="s">
        <v>306</v>
      </c>
      <c r="E33" s="44" t="s">
        <v>214</v>
      </c>
      <c r="F33" s="44" t="s">
        <v>307</v>
      </c>
      <c r="G33" s="46" t="s">
        <v>308</v>
      </c>
    </row>
    <row r="34" spans="1:7" x14ac:dyDescent="0.35">
      <c r="A34" s="39" t="s">
        <v>309</v>
      </c>
      <c r="B34" s="40" t="s">
        <v>310</v>
      </c>
      <c r="C34" s="41" t="s">
        <v>206</v>
      </c>
      <c r="D34" s="40" t="s">
        <v>290</v>
      </c>
      <c r="E34" s="40" t="s">
        <v>311</v>
      </c>
      <c r="F34" s="40" t="s">
        <v>214</v>
      </c>
      <c r="G34" s="42" t="s">
        <v>312</v>
      </c>
    </row>
    <row r="35" spans="1:7" x14ac:dyDescent="0.35">
      <c r="A35" s="43" t="s">
        <v>313</v>
      </c>
      <c r="B35" s="44" t="s">
        <v>314</v>
      </c>
      <c r="C35" s="45" t="s">
        <v>206</v>
      </c>
      <c r="D35" s="44" t="s">
        <v>315</v>
      </c>
      <c r="E35" s="44" t="s">
        <v>316</v>
      </c>
      <c r="F35" s="44" t="s">
        <v>317</v>
      </c>
      <c r="G35" s="46" t="s">
        <v>318</v>
      </c>
    </row>
    <row r="36" spans="1:7" x14ac:dyDescent="0.35">
      <c r="A36" s="39" t="s">
        <v>319</v>
      </c>
      <c r="B36" s="40" t="s">
        <v>320</v>
      </c>
      <c r="C36" s="41" t="s">
        <v>206</v>
      </c>
      <c r="D36" s="40" t="s">
        <v>321</v>
      </c>
      <c r="E36" s="40" t="s">
        <v>296</v>
      </c>
      <c r="F36" s="40" t="s">
        <v>311</v>
      </c>
      <c r="G36" s="42" t="s">
        <v>322</v>
      </c>
    </row>
    <row r="37" spans="1:7" x14ac:dyDescent="0.35">
      <c r="A37" s="43" t="s">
        <v>323</v>
      </c>
      <c r="B37" s="44" t="s">
        <v>324</v>
      </c>
      <c r="C37" s="45" t="s">
        <v>206</v>
      </c>
      <c r="D37" s="44" t="s">
        <v>325</v>
      </c>
      <c r="E37" s="44" t="s">
        <v>226</v>
      </c>
      <c r="F37" s="44" t="s">
        <v>326</v>
      </c>
      <c r="G37" s="46" t="s">
        <v>327</v>
      </c>
    </row>
    <row r="38" spans="1:7" x14ac:dyDescent="0.35">
      <c r="A38" s="39" t="s">
        <v>328</v>
      </c>
      <c r="B38" s="40" t="s">
        <v>329</v>
      </c>
      <c r="C38" s="41" t="s">
        <v>206</v>
      </c>
      <c r="D38" s="40" t="s">
        <v>330</v>
      </c>
      <c r="E38" s="40" t="s">
        <v>331</v>
      </c>
      <c r="F38" s="40" t="s">
        <v>307</v>
      </c>
      <c r="G38" s="42" t="s">
        <v>332</v>
      </c>
    </row>
    <row r="39" spans="1:7" x14ac:dyDescent="0.35">
      <c r="A39" s="43" t="s">
        <v>333</v>
      </c>
      <c r="B39" s="44" t="s">
        <v>334</v>
      </c>
      <c r="C39" s="45" t="s">
        <v>206</v>
      </c>
      <c r="D39" s="44" t="s">
        <v>335</v>
      </c>
      <c r="E39" s="44" t="s">
        <v>285</v>
      </c>
      <c r="F39" s="44" t="s">
        <v>336</v>
      </c>
      <c r="G39" s="46" t="s">
        <v>337</v>
      </c>
    </row>
    <row r="40" spans="1:7" x14ac:dyDescent="0.35">
      <c r="A40" s="39" t="s">
        <v>338</v>
      </c>
      <c r="B40" s="40" t="s">
        <v>339</v>
      </c>
      <c r="C40" s="41" t="s">
        <v>206</v>
      </c>
      <c r="D40" s="40" t="s">
        <v>340</v>
      </c>
      <c r="E40" s="40" t="s">
        <v>341</v>
      </c>
      <c r="F40" s="40" t="s">
        <v>342</v>
      </c>
      <c r="G40" s="42" t="s">
        <v>343</v>
      </c>
    </row>
    <row r="41" spans="1:7" x14ac:dyDescent="0.35">
      <c r="A41" s="43" t="s">
        <v>344</v>
      </c>
      <c r="B41" s="44" t="s">
        <v>345</v>
      </c>
      <c r="C41" s="45" t="s">
        <v>206</v>
      </c>
      <c r="D41" s="44" t="s">
        <v>346</v>
      </c>
      <c r="E41" s="44" t="s">
        <v>347</v>
      </c>
      <c r="F41" s="44" t="s">
        <v>221</v>
      </c>
      <c r="G41" s="46" t="s">
        <v>348</v>
      </c>
    </row>
    <row r="42" spans="1:7" x14ac:dyDescent="0.35">
      <c r="A42" s="39" t="s">
        <v>349</v>
      </c>
      <c r="B42" s="40" t="s">
        <v>350</v>
      </c>
      <c r="C42" s="41" t="s">
        <v>206</v>
      </c>
      <c r="D42" s="40" t="s">
        <v>351</v>
      </c>
      <c r="E42" s="40" t="s">
        <v>352</v>
      </c>
      <c r="F42" s="40" t="s">
        <v>353</v>
      </c>
      <c r="G42" s="42" t="s">
        <v>354</v>
      </c>
    </row>
    <row r="43" spans="1:7" x14ac:dyDescent="0.35">
      <c r="A43" s="43" t="s">
        <v>355</v>
      </c>
      <c r="B43" s="44" t="s">
        <v>356</v>
      </c>
      <c r="C43" s="45" t="s">
        <v>206</v>
      </c>
      <c r="D43" s="44" t="s">
        <v>357</v>
      </c>
      <c r="E43" s="44" t="s">
        <v>358</v>
      </c>
      <c r="F43" s="44" t="s">
        <v>359</v>
      </c>
      <c r="G43" s="46" t="s">
        <v>360</v>
      </c>
    </row>
    <row r="44" spans="1:7" x14ac:dyDescent="0.35">
      <c r="A44" s="39" t="s">
        <v>361</v>
      </c>
      <c r="B44" s="40" t="s">
        <v>362</v>
      </c>
      <c r="C44" s="41" t="s">
        <v>206</v>
      </c>
      <c r="D44" s="40" t="s">
        <v>363</v>
      </c>
      <c r="E44" s="40" t="s">
        <v>364</v>
      </c>
      <c r="F44" s="40" t="s">
        <v>232</v>
      </c>
      <c r="G44" s="42" t="s">
        <v>365</v>
      </c>
    </row>
    <row r="45" spans="1:7" x14ac:dyDescent="0.35">
      <c r="A45" s="43" t="s">
        <v>366</v>
      </c>
      <c r="B45" s="44" t="s">
        <v>367</v>
      </c>
      <c r="C45" s="45" t="s">
        <v>206</v>
      </c>
      <c r="D45" s="44" t="s">
        <v>368</v>
      </c>
      <c r="E45" s="44" t="s">
        <v>369</v>
      </c>
      <c r="F45" s="44" t="s">
        <v>296</v>
      </c>
      <c r="G45" s="46" t="s">
        <v>370</v>
      </c>
    </row>
    <row r="46" spans="1:7" x14ac:dyDescent="0.35">
      <c r="A46" s="39" t="s">
        <v>371</v>
      </c>
      <c r="B46" s="40" t="s">
        <v>372</v>
      </c>
      <c r="C46" s="41" t="s">
        <v>206</v>
      </c>
      <c r="D46" s="40" t="s">
        <v>373</v>
      </c>
      <c r="E46" s="40" t="s">
        <v>226</v>
      </c>
      <c r="F46" s="40" t="s">
        <v>341</v>
      </c>
      <c r="G46" s="42" t="s">
        <v>374</v>
      </c>
    </row>
    <row r="47" spans="1:7" x14ac:dyDescent="0.35">
      <c r="A47" s="43" t="s">
        <v>375</v>
      </c>
      <c r="B47" s="44" t="s">
        <v>376</v>
      </c>
      <c r="C47" s="45" t="s">
        <v>206</v>
      </c>
      <c r="D47" s="44" t="s">
        <v>377</v>
      </c>
      <c r="E47" s="44" t="s">
        <v>378</v>
      </c>
      <c r="F47" s="44" t="s">
        <v>336</v>
      </c>
      <c r="G47" s="46" t="s">
        <v>379</v>
      </c>
    </row>
    <row r="48" spans="1:7" x14ac:dyDescent="0.35">
      <c r="A48" s="39" t="s">
        <v>380</v>
      </c>
      <c r="B48" s="40" t="s">
        <v>381</v>
      </c>
      <c r="C48" s="41" t="s">
        <v>206</v>
      </c>
      <c r="D48" s="40" t="s">
        <v>382</v>
      </c>
      <c r="E48" s="40" t="s">
        <v>383</v>
      </c>
      <c r="F48" s="40" t="s">
        <v>384</v>
      </c>
      <c r="G48" s="42" t="s">
        <v>385</v>
      </c>
    </row>
    <row r="49" spans="1:7" x14ac:dyDescent="0.35">
      <c r="A49" s="43" t="s">
        <v>386</v>
      </c>
      <c r="B49" s="44" t="s">
        <v>387</v>
      </c>
      <c r="C49" s="45" t="s">
        <v>206</v>
      </c>
      <c r="D49" s="44" t="s">
        <v>388</v>
      </c>
      <c r="E49" s="44" t="s">
        <v>389</v>
      </c>
      <c r="F49" s="44" t="s">
        <v>267</v>
      </c>
      <c r="G49" s="46" t="s">
        <v>390</v>
      </c>
    </row>
    <row r="50" spans="1:7" x14ac:dyDescent="0.35">
      <c r="A50" s="39" t="s">
        <v>391</v>
      </c>
      <c r="B50" s="40" t="s">
        <v>392</v>
      </c>
      <c r="C50" s="41" t="s">
        <v>206</v>
      </c>
      <c r="D50" s="40" t="s">
        <v>393</v>
      </c>
      <c r="E50" s="40" t="s">
        <v>394</v>
      </c>
      <c r="F50" s="40" t="s">
        <v>395</v>
      </c>
      <c r="G50" s="42" t="s">
        <v>396</v>
      </c>
    </row>
    <row r="51" spans="1:7" x14ac:dyDescent="0.35">
      <c r="A51" s="43" t="s">
        <v>397</v>
      </c>
      <c r="B51" s="44" t="s">
        <v>398</v>
      </c>
      <c r="C51" s="45" t="s">
        <v>206</v>
      </c>
      <c r="D51" s="44" t="s">
        <v>399</v>
      </c>
      <c r="E51" s="44" t="s">
        <v>400</v>
      </c>
      <c r="F51" s="44" t="s">
        <v>401</v>
      </c>
      <c r="G51" s="46" t="s">
        <v>402</v>
      </c>
    </row>
    <row r="52" spans="1:7" x14ac:dyDescent="0.35">
      <c r="A52" s="39" t="s">
        <v>403</v>
      </c>
      <c r="B52" s="40" t="s">
        <v>362</v>
      </c>
      <c r="C52" s="41" t="s">
        <v>206</v>
      </c>
      <c r="D52" s="40" t="s">
        <v>404</v>
      </c>
      <c r="E52" s="40" t="s">
        <v>364</v>
      </c>
      <c r="F52" s="40" t="s">
        <v>232</v>
      </c>
      <c r="G52" s="42" t="s">
        <v>405</v>
      </c>
    </row>
    <row r="53" spans="1:7" x14ac:dyDescent="0.35">
      <c r="A53" s="43" t="s">
        <v>406</v>
      </c>
      <c r="B53" s="44" t="s">
        <v>407</v>
      </c>
      <c r="C53" s="45" t="s">
        <v>206</v>
      </c>
      <c r="D53" s="44" t="s">
        <v>408</v>
      </c>
      <c r="E53" s="44" t="s">
        <v>409</v>
      </c>
      <c r="F53" s="44" t="s">
        <v>410</v>
      </c>
      <c r="G53" s="46" t="s">
        <v>411</v>
      </c>
    </row>
    <row r="54" spans="1:7" x14ac:dyDescent="0.35">
      <c r="A54" s="39" t="s">
        <v>412</v>
      </c>
      <c r="B54" s="40" t="s">
        <v>413</v>
      </c>
      <c r="C54" s="41" t="s">
        <v>206</v>
      </c>
      <c r="D54" s="40" t="s">
        <v>414</v>
      </c>
      <c r="E54" s="40" t="s">
        <v>415</v>
      </c>
      <c r="F54" s="40" t="s">
        <v>416</v>
      </c>
      <c r="G54" s="42" t="s">
        <v>417</v>
      </c>
    </row>
    <row r="55" spans="1:7" x14ac:dyDescent="0.35">
      <c r="A55" s="43" t="s">
        <v>418</v>
      </c>
      <c r="B55" s="44" t="s">
        <v>419</v>
      </c>
      <c r="C55" s="45" t="s">
        <v>420</v>
      </c>
      <c r="D55" s="44" t="s">
        <v>421</v>
      </c>
      <c r="E55" s="44" t="s">
        <v>422</v>
      </c>
      <c r="F55" s="44" t="s">
        <v>352</v>
      </c>
      <c r="G55" s="46" t="s">
        <v>423</v>
      </c>
    </row>
    <row r="56" spans="1:7" x14ac:dyDescent="0.35">
      <c r="A56" s="39" t="s">
        <v>424</v>
      </c>
      <c r="B56" s="40" t="s">
        <v>425</v>
      </c>
      <c r="C56" s="41" t="s">
        <v>426</v>
      </c>
      <c r="D56" s="40" t="s">
        <v>427</v>
      </c>
      <c r="E56" s="40" t="s">
        <v>232</v>
      </c>
      <c r="F56" s="40" t="s">
        <v>226</v>
      </c>
      <c r="G56" s="42" t="s">
        <v>428</v>
      </c>
    </row>
    <row r="57" spans="1:7" x14ac:dyDescent="0.35">
      <c r="A57" s="43" t="s">
        <v>429</v>
      </c>
      <c r="B57" s="44" t="s">
        <v>430</v>
      </c>
      <c r="C57" s="45" t="s">
        <v>431</v>
      </c>
      <c r="D57" s="44" t="s">
        <v>432</v>
      </c>
      <c r="E57" s="44" t="s">
        <v>268</v>
      </c>
      <c r="F57" s="44" t="s">
        <v>433</v>
      </c>
      <c r="G57" s="46" t="s">
        <v>434</v>
      </c>
    </row>
    <row r="58" spans="1:7" x14ac:dyDescent="0.35">
      <c r="A58" s="39" t="s">
        <v>435</v>
      </c>
      <c r="B58" s="40" t="s">
        <v>436</v>
      </c>
      <c r="C58" s="41" t="s">
        <v>437</v>
      </c>
      <c r="D58" s="40" t="s">
        <v>438</v>
      </c>
      <c r="E58" s="40" t="s">
        <v>226</v>
      </c>
      <c r="F58" s="40" t="s">
        <v>307</v>
      </c>
      <c r="G58" s="42" t="s">
        <v>439</v>
      </c>
    </row>
    <row r="59" spans="1:7" x14ac:dyDescent="0.35">
      <c r="A59" s="43" t="s">
        <v>440</v>
      </c>
      <c r="B59" s="44" t="s">
        <v>441</v>
      </c>
      <c r="C59" s="45" t="s">
        <v>442</v>
      </c>
      <c r="D59" s="44" t="s">
        <v>443</v>
      </c>
      <c r="E59" s="44" t="s">
        <v>295</v>
      </c>
      <c r="F59" s="44" t="s">
        <v>444</v>
      </c>
      <c r="G59" s="46" t="s">
        <v>445</v>
      </c>
    </row>
    <row r="60" spans="1:7" x14ac:dyDescent="0.35">
      <c r="A60" s="39" t="s">
        <v>446</v>
      </c>
      <c r="B60" s="40" t="s">
        <v>447</v>
      </c>
      <c r="C60" s="41" t="s">
        <v>448</v>
      </c>
      <c r="D60" s="40" t="s">
        <v>449</v>
      </c>
      <c r="E60" s="40" t="s">
        <v>450</v>
      </c>
      <c r="F60" s="40" t="s">
        <v>451</v>
      </c>
      <c r="G60" s="42" t="s">
        <v>452</v>
      </c>
    </row>
    <row r="61" spans="1:7" x14ac:dyDescent="0.35">
      <c r="A61" s="43" t="s">
        <v>453</v>
      </c>
      <c r="B61" s="44" t="s">
        <v>454</v>
      </c>
      <c r="C61" s="45" t="s">
        <v>455</v>
      </c>
      <c r="D61" s="44" t="s">
        <v>456</v>
      </c>
      <c r="E61" s="44" t="s">
        <v>307</v>
      </c>
      <c r="F61" s="44" t="s">
        <v>457</v>
      </c>
      <c r="G61" s="46" t="s">
        <v>458</v>
      </c>
    </row>
    <row r="62" spans="1:7" x14ac:dyDescent="0.35">
      <c r="A62" s="39" t="s">
        <v>459</v>
      </c>
      <c r="B62" s="40" t="s">
        <v>460</v>
      </c>
      <c r="C62" s="41" t="s">
        <v>461</v>
      </c>
      <c r="D62" s="40" t="s">
        <v>462</v>
      </c>
      <c r="E62" s="40" t="s">
        <v>347</v>
      </c>
      <c r="F62" s="40" t="s">
        <v>463</v>
      </c>
      <c r="G62" s="42" t="s">
        <v>464</v>
      </c>
    </row>
    <row r="63" spans="1:7" x14ac:dyDescent="0.35">
      <c r="A63" s="43" t="s">
        <v>465</v>
      </c>
      <c r="B63" s="44" t="s">
        <v>466</v>
      </c>
      <c r="C63" s="45" t="s">
        <v>467</v>
      </c>
      <c r="D63" s="44" t="s">
        <v>468</v>
      </c>
      <c r="E63" s="44" t="s">
        <v>469</v>
      </c>
      <c r="F63" s="44" t="s">
        <v>470</v>
      </c>
      <c r="G63" s="46" t="s">
        <v>471</v>
      </c>
    </row>
    <row r="64" spans="1:7" x14ac:dyDescent="0.35">
      <c r="A64" s="39" t="s">
        <v>472</v>
      </c>
      <c r="B64" s="40" t="s">
        <v>473</v>
      </c>
      <c r="C64" s="41" t="s">
        <v>474</v>
      </c>
      <c r="D64" s="40" t="s">
        <v>463</v>
      </c>
      <c r="E64" s="40" t="s">
        <v>475</v>
      </c>
      <c r="F64" s="40" t="s">
        <v>438</v>
      </c>
      <c r="G64" s="42" t="s">
        <v>476</v>
      </c>
    </row>
    <row r="65" spans="1:7" x14ac:dyDescent="0.35">
      <c r="A65" s="43" t="s">
        <v>477</v>
      </c>
      <c r="B65" s="44" t="s">
        <v>478</v>
      </c>
      <c r="C65" s="45" t="s">
        <v>479</v>
      </c>
      <c r="D65" s="44" t="s">
        <v>480</v>
      </c>
      <c r="E65" s="44" t="s">
        <v>307</v>
      </c>
      <c r="F65" s="44" t="s">
        <v>347</v>
      </c>
      <c r="G65" s="46" t="s">
        <v>481</v>
      </c>
    </row>
    <row r="66" spans="1:7" x14ac:dyDescent="0.35">
      <c r="A66" s="39" t="s">
        <v>482</v>
      </c>
      <c r="B66" s="40" t="s">
        <v>483</v>
      </c>
      <c r="C66" s="41" t="s">
        <v>484</v>
      </c>
      <c r="D66" s="40" t="s">
        <v>485</v>
      </c>
      <c r="E66" s="40" t="s">
        <v>433</v>
      </c>
      <c r="F66" s="40" t="s">
        <v>214</v>
      </c>
      <c r="G66" s="42" t="s">
        <v>486</v>
      </c>
    </row>
    <row r="67" spans="1:7" x14ac:dyDescent="0.35">
      <c r="A67" s="43" t="s">
        <v>487</v>
      </c>
      <c r="B67" s="44" t="s">
        <v>488</v>
      </c>
      <c r="C67" s="45" t="s">
        <v>489</v>
      </c>
      <c r="D67" s="44" t="s">
        <v>490</v>
      </c>
      <c r="E67" s="44" t="s">
        <v>491</v>
      </c>
      <c r="F67" s="44" t="s">
        <v>492</v>
      </c>
      <c r="G67" s="46" t="s">
        <v>493</v>
      </c>
    </row>
    <row r="68" spans="1:7" x14ac:dyDescent="0.35">
      <c r="A68" s="39" t="s">
        <v>494</v>
      </c>
      <c r="B68" s="40" t="s">
        <v>495</v>
      </c>
      <c r="C68" s="41" t="s">
        <v>496</v>
      </c>
      <c r="D68" s="40" t="s">
        <v>497</v>
      </c>
      <c r="E68" s="40" t="s">
        <v>267</v>
      </c>
      <c r="F68" s="40" t="s">
        <v>214</v>
      </c>
      <c r="G68" s="42" t="s">
        <v>498</v>
      </c>
    </row>
    <row r="69" spans="1:7" x14ac:dyDescent="0.35">
      <c r="A69" s="43" t="s">
        <v>499</v>
      </c>
      <c r="B69" s="44" t="s">
        <v>500</v>
      </c>
      <c r="C69" s="45" t="s">
        <v>501</v>
      </c>
      <c r="D69" s="44" t="s">
        <v>227</v>
      </c>
      <c r="E69" s="44" t="s">
        <v>502</v>
      </c>
      <c r="F69" s="44" t="s">
        <v>369</v>
      </c>
      <c r="G69" s="46" t="s">
        <v>503</v>
      </c>
    </row>
    <row r="70" spans="1:7" x14ac:dyDescent="0.35">
      <c r="A70" s="39" t="s">
        <v>504</v>
      </c>
      <c r="B70" s="40" t="s">
        <v>505</v>
      </c>
      <c r="C70" s="41" t="s">
        <v>506</v>
      </c>
      <c r="D70" s="40" t="s">
        <v>507</v>
      </c>
      <c r="E70" s="40" t="s">
        <v>508</v>
      </c>
      <c r="F70" s="40" t="s">
        <v>509</v>
      </c>
      <c r="G70" s="42" t="s">
        <v>510</v>
      </c>
    </row>
    <row r="71" spans="1:7" x14ac:dyDescent="0.35">
      <c r="A71" s="43" t="s">
        <v>511</v>
      </c>
      <c r="B71" s="44" t="s">
        <v>512</v>
      </c>
      <c r="C71" s="45" t="s">
        <v>513</v>
      </c>
      <c r="D71" s="44" t="s">
        <v>514</v>
      </c>
      <c r="E71" s="44" t="s">
        <v>226</v>
      </c>
      <c r="F71" s="44" t="s">
        <v>502</v>
      </c>
      <c r="G71" s="46" t="s">
        <v>515</v>
      </c>
    </row>
    <row r="72" spans="1:7" x14ac:dyDescent="0.35">
      <c r="A72" s="39" t="s">
        <v>516</v>
      </c>
      <c r="B72" s="40" t="s">
        <v>517</v>
      </c>
      <c r="C72" s="41" t="s">
        <v>518</v>
      </c>
      <c r="D72" s="40" t="s">
        <v>519</v>
      </c>
      <c r="E72" s="40" t="s">
        <v>280</v>
      </c>
      <c r="F72" s="40" t="s">
        <v>433</v>
      </c>
      <c r="G72" s="42" t="s">
        <v>520</v>
      </c>
    </row>
    <row r="73" spans="1:7" x14ac:dyDescent="0.35">
      <c r="A73" s="43" t="s">
        <v>521</v>
      </c>
      <c r="B73" s="44" t="s">
        <v>522</v>
      </c>
      <c r="C73" s="45" t="s">
        <v>523</v>
      </c>
      <c r="D73" s="44" t="s">
        <v>524</v>
      </c>
      <c r="E73" s="44" t="s">
        <v>400</v>
      </c>
      <c r="F73" s="44" t="s">
        <v>525</v>
      </c>
      <c r="G73" s="46" t="s">
        <v>526</v>
      </c>
    </row>
    <row r="74" spans="1:7" x14ac:dyDescent="0.35">
      <c r="A74" s="39" t="s">
        <v>527</v>
      </c>
      <c r="B74" s="40" t="s">
        <v>528</v>
      </c>
      <c r="C74" s="41" t="s">
        <v>529</v>
      </c>
      <c r="D74" s="40" t="s">
        <v>530</v>
      </c>
      <c r="E74" s="40" t="s">
        <v>531</v>
      </c>
      <c r="F74" s="40" t="s">
        <v>285</v>
      </c>
      <c r="G74" s="42" t="s">
        <v>532</v>
      </c>
    </row>
    <row r="75" spans="1:7" x14ac:dyDescent="0.35">
      <c r="A75" s="43" t="s">
        <v>533</v>
      </c>
      <c r="B75" s="44" t="s">
        <v>534</v>
      </c>
      <c r="C75" s="45" t="s">
        <v>535</v>
      </c>
      <c r="D75" s="44" t="s">
        <v>536</v>
      </c>
      <c r="E75" s="44" t="s">
        <v>296</v>
      </c>
      <c r="F75" s="44" t="s">
        <v>384</v>
      </c>
      <c r="G75" s="46" t="s">
        <v>537</v>
      </c>
    </row>
    <row r="76" spans="1:7" x14ac:dyDescent="0.35">
      <c r="A76" s="39" t="s">
        <v>538</v>
      </c>
      <c r="B76" s="40" t="s">
        <v>539</v>
      </c>
      <c r="C76" s="41" t="s">
        <v>540</v>
      </c>
      <c r="D76" s="40" t="s">
        <v>262</v>
      </c>
      <c r="E76" s="40" t="s">
        <v>369</v>
      </c>
      <c r="F76" s="40" t="s">
        <v>541</v>
      </c>
      <c r="G76" s="42" t="s">
        <v>542</v>
      </c>
    </row>
    <row r="77" spans="1:7" x14ac:dyDescent="0.35">
      <c r="A77" s="43" t="s">
        <v>543</v>
      </c>
      <c r="B77" s="44" t="s">
        <v>544</v>
      </c>
      <c r="C77" s="45" t="s">
        <v>545</v>
      </c>
      <c r="D77" s="44" t="s">
        <v>546</v>
      </c>
      <c r="E77" s="44" t="s">
        <v>296</v>
      </c>
      <c r="F77" s="44" t="s">
        <v>280</v>
      </c>
      <c r="G77" s="46" t="s">
        <v>547</v>
      </c>
    </row>
    <row r="78" spans="1:7" x14ac:dyDescent="0.35">
      <c r="A78" s="39" t="s">
        <v>548</v>
      </c>
      <c r="B78" s="40" t="s">
        <v>549</v>
      </c>
      <c r="C78" s="41" t="s">
        <v>550</v>
      </c>
      <c r="D78" s="40" t="s">
        <v>551</v>
      </c>
      <c r="E78" s="40" t="s">
        <v>463</v>
      </c>
      <c r="F78" s="40" t="s">
        <v>457</v>
      </c>
      <c r="G78" s="42" t="s">
        <v>552</v>
      </c>
    </row>
    <row r="79" spans="1:7" x14ac:dyDescent="0.35">
      <c r="A79" s="43" t="s">
        <v>553</v>
      </c>
      <c r="B79" s="44" t="s">
        <v>554</v>
      </c>
      <c r="C79" s="45" t="s">
        <v>555</v>
      </c>
      <c r="D79" s="44" t="s">
        <v>556</v>
      </c>
      <c r="E79" s="44" t="s">
        <v>551</v>
      </c>
      <c r="F79" s="44" t="s">
        <v>285</v>
      </c>
      <c r="G79" s="46" t="s">
        <v>557</v>
      </c>
    </row>
    <row r="80" spans="1:7" x14ac:dyDescent="0.35">
      <c r="A80" s="39" t="s">
        <v>558</v>
      </c>
      <c r="B80" s="40" t="s">
        <v>559</v>
      </c>
      <c r="C80" s="41" t="s">
        <v>560</v>
      </c>
      <c r="D80" s="40" t="s">
        <v>561</v>
      </c>
      <c r="E80" s="40" t="s">
        <v>433</v>
      </c>
      <c r="F80" s="40" t="s">
        <v>492</v>
      </c>
      <c r="G80" s="42" t="s">
        <v>562</v>
      </c>
    </row>
    <row r="81" spans="1:7" x14ac:dyDescent="0.35">
      <c r="A81" s="43" t="s">
        <v>563</v>
      </c>
      <c r="B81" s="44" t="s">
        <v>564</v>
      </c>
      <c r="C81" s="45" t="s">
        <v>565</v>
      </c>
      <c r="D81" s="44" t="s">
        <v>566</v>
      </c>
      <c r="E81" s="44" t="s">
        <v>369</v>
      </c>
      <c r="F81" s="44" t="s">
        <v>353</v>
      </c>
      <c r="G81" s="46" t="s">
        <v>567</v>
      </c>
    </row>
    <row r="82" spans="1:7" x14ac:dyDescent="0.35">
      <c r="A82" s="39" t="s">
        <v>568</v>
      </c>
      <c r="B82" s="40" t="s">
        <v>569</v>
      </c>
      <c r="C82" s="41" t="s">
        <v>570</v>
      </c>
      <c r="D82" s="40" t="s">
        <v>571</v>
      </c>
      <c r="E82" s="40" t="s">
        <v>551</v>
      </c>
      <c r="F82" s="40" t="s">
        <v>296</v>
      </c>
      <c r="G82" s="42" t="s">
        <v>572</v>
      </c>
    </row>
    <row r="83" spans="1:7" x14ac:dyDescent="0.35">
      <c r="A83" s="43" t="s">
        <v>573</v>
      </c>
      <c r="B83" s="44" t="s">
        <v>569</v>
      </c>
      <c r="C83" s="45" t="s">
        <v>570</v>
      </c>
      <c r="D83" s="44" t="s">
        <v>574</v>
      </c>
      <c r="E83" s="44" t="s">
        <v>551</v>
      </c>
      <c r="F83" s="44" t="s">
        <v>296</v>
      </c>
      <c r="G83" s="46" t="s">
        <v>575</v>
      </c>
    </row>
    <row r="84" spans="1:7" x14ac:dyDescent="0.35">
      <c r="A84" s="39" t="s">
        <v>576</v>
      </c>
      <c r="B84" s="40" t="s">
        <v>577</v>
      </c>
      <c r="C84" s="41" t="s">
        <v>578</v>
      </c>
      <c r="D84" s="40" t="s">
        <v>579</v>
      </c>
      <c r="E84" s="40" t="s">
        <v>389</v>
      </c>
      <c r="F84" s="40" t="s">
        <v>580</v>
      </c>
      <c r="G84" s="42" t="s">
        <v>581</v>
      </c>
    </row>
    <row r="85" spans="1:7" x14ac:dyDescent="0.35">
      <c r="A85" s="43" t="s">
        <v>582</v>
      </c>
      <c r="B85" s="44" t="s">
        <v>583</v>
      </c>
      <c r="C85" s="45" t="s">
        <v>584</v>
      </c>
      <c r="D85" s="44" t="s">
        <v>585</v>
      </c>
      <c r="E85" s="44" t="s">
        <v>307</v>
      </c>
      <c r="F85" s="44" t="s">
        <v>268</v>
      </c>
      <c r="G85" s="46" t="s">
        <v>586</v>
      </c>
    </row>
    <row r="86" spans="1:7" x14ac:dyDescent="0.35">
      <c r="A86" s="39" t="s">
        <v>587</v>
      </c>
      <c r="B86" s="40" t="s">
        <v>588</v>
      </c>
      <c r="C86" s="41" t="s">
        <v>589</v>
      </c>
      <c r="D86" s="40" t="s">
        <v>492</v>
      </c>
      <c r="E86" s="40" t="s">
        <v>551</v>
      </c>
      <c r="F86" s="40" t="s">
        <v>590</v>
      </c>
      <c r="G86" s="42" t="s">
        <v>591</v>
      </c>
    </row>
    <row r="87" spans="1:7" x14ac:dyDescent="0.35">
      <c r="A87" s="43" t="s">
        <v>592</v>
      </c>
      <c r="B87" s="44" t="s">
        <v>593</v>
      </c>
      <c r="C87" s="45" t="s">
        <v>594</v>
      </c>
      <c r="D87" s="44" t="s">
        <v>400</v>
      </c>
      <c r="E87" s="44" t="s">
        <v>433</v>
      </c>
      <c r="F87" s="44" t="s">
        <v>384</v>
      </c>
      <c r="G87" s="46" t="s">
        <v>595</v>
      </c>
    </row>
    <row r="88" spans="1:7" x14ac:dyDescent="0.35">
      <c r="A88" s="39" t="s">
        <v>596</v>
      </c>
      <c r="B88" s="40" t="s">
        <v>593</v>
      </c>
      <c r="C88" s="41" t="s">
        <v>594</v>
      </c>
      <c r="D88" s="40" t="s">
        <v>597</v>
      </c>
      <c r="E88" s="40" t="s">
        <v>433</v>
      </c>
      <c r="F88" s="40" t="s">
        <v>384</v>
      </c>
      <c r="G88" s="42" t="s">
        <v>598</v>
      </c>
    </row>
    <row r="89" spans="1:7" x14ac:dyDescent="0.35">
      <c r="A89" s="43" t="s">
        <v>599</v>
      </c>
      <c r="B89" s="44" t="s">
        <v>600</v>
      </c>
      <c r="C89" s="45" t="s">
        <v>601</v>
      </c>
      <c r="D89" s="44" t="s">
        <v>602</v>
      </c>
      <c r="E89" s="44" t="s">
        <v>389</v>
      </c>
      <c r="F89" s="44" t="s">
        <v>457</v>
      </c>
      <c r="G89" s="46" t="s">
        <v>603</v>
      </c>
    </row>
    <row r="90" spans="1:7" x14ac:dyDescent="0.35">
      <c r="A90" s="39" t="s">
        <v>604</v>
      </c>
      <c r="B90" s="40" t="s">
        <v>605</v>
      </c>
      <c r="C90" s="41" t="s">
        <v>606</v>
      </c>
      <c r="D90" s="40" t="s">
        <v>607</v>
      </c>
      <c r="E90" s="40" t="s">
        <v>268</v>
      </c>
      <c r="F90" s="40" t="s">
        <v>463</v>
      </c>
      <c r="G90" s="42" t="s">
        <v>608</v>
      </c>
    </row>
    <row r="91" spans="1:7" x14ac:dyDescent="0.35">
      <c r="A91" s="43" t="s">
        <v>609</v>
      </c>
      <c r="B91" s="44" t="s">
        <v>610</v>
      </c>
      <c r="C91" s="45" t="s">
        <v>611</v>
      </c>
      <c r="D91" s="44" t="s">
        <v>612</v>
      </c>
      <c r="E91" s="44" t="s">
        <v>353</v>
      </c>
      <c r="F91" s="44" t="s">
        <v>307</v>
      </c>
      <c r="G91" s="46" t="s">
        <v>613</v>
      </c>
    </row>
    <row r="92" spans="1:7" x14ac:dyDescent="0.35">
      <c r="A92" s="39" t="s">
        <v>614</v>
      </c>
      <c r="B92" s="40" t="s">
        <v>615</v>
      </c>
      <c r="C92" s="41" t="s">
        <v>616</v>
      </c>
      <c r="D92" s="40" t="s">
        <v>389</v>
      </c>
      <c r="E92" s="40" t="s">
        <v>226</v>
      </c>
      <c r="F92" s="40" t="s">
        <v>232</v>
      </c>
      <c r="G92" s="42" t="s">
        <v>617</v>
      </c>
    </row>
    <row r="93" spans="1:7" x14ac:dyDescent="0.35">
      <c r="A93" s="43" t="s">
        <v>618</v>
      </c>
      <c r="B93" s="44" t="s">
        <v>619</v>
      </c>
      <c r="C93" s="45" t="s">
        <v>620</v>
      </c>
      <c r="D93" s="44" t="s">
        <v>621</v>
      </c>
      <c r="E93" s="44" t="s">
        <v>296</v>
      </c>
      <c r="F93" s="44" t="s">
        <v>469</v>
      </c>
      <c r="G93" s="46" t="s">
        <v>622</v>
      </c>
    </row>
    <row r="94" spans="1:7" x14ac:dyDescent="0.35">
      <c r="A94" s="39" t="s">
        <v>623</v>
      </c>
      <c r="B94" s="40" t="s">
        <v>624</v>
      </c>
      <c r="C94" s="41" t="s">
        <v>625</v>
      </c>
      <c r="D94" s="40" t="s">
        <v>626</v>
      </c>
      <c r="E94" s="40" t="s">
        <v>214</v>
      </c>
      <c r="F94" s="40" t="s">
        <v>531</v>
      </c>
      <c r="G94" s="42" t="s">
        <v>627</v>
      </c>
    </row>
    <row r="95" spans="1:7" x14ac:dyDescent="0.35">
      <c r="A95" s="43" t="s">
        <v>628</v>
      </c>
      <c r="B95" s="44" t="s">
        <v>629</v>
      </c>
      <c r="C95" s="45" t="s">
        <v>630</v>
      </c>
      <c r="D95" s="44" t="s">
        <v>631</v>
      </c>
      <c r="E95" s="44" t="s">
        <v>307</v>
      </c>
      <c r="F95" s="44" t="s">
        <v>632</v>
      </c>
      <c r="G95" s="46" t="s">
        <v>633</v>
      </c>
    </row>
    <row r="96" spans="1:7" x14ac:dyDescent="0.35">
      <c r="A96" s="39" t="s">
        <v>634</v>
      </c>
      <c r="B96" s="40" t="s">
        <v>430</v>
      </c>
      <c r="C96" s="41" t="s">
        <v>635</v>
      </c>
      <c r="D96" s="40" t="s">
        <v>636</v>
      </c>
      <c r="E96" s="40" t="s">
        <v>531</v>
      </c>
      <c r="F96" s="40" t="s">
        <v>296</v>
      </c>
      <c r="G96" s="42" t="s">
        <v>637</v>
      </c>
    </row>
    <row r="97" spans="1:7" x14ac:dyDescent="0.35">
      <c r="A97" s="43" t="s">
        <v>638</v>
      </c>
      <c r="B97" s="44" t="s">
        <v>639</v>
      </c>
      <c r="C97" s="45" t="s">
        <v>640</v>
      </c>
      <c r="D97" s="44" t="s">
        <v>641</v>
      </c>
      <c r="E97" s="44" t="s">
        <v>642</v>
      </c>
      <c r="F97" s="44" t="s">
        <v>220</v>
      </c>
      <c r="G97" s="46" t="s">
        <v>643</v>
      </c>
    </row>
    <row r="98" spans="1:7" x14ac:dyDescent="0.35">
      <c r="A98" s="39" t="s">
        <v>644</v>
      </c>
      <c r="B98" s="40" t="s">
        <v>645</v>
      </c>
      <c r="C98" s="41" t="s">
        <v>646</v>
      </c>
      <c r="D98" s="40" t="s">
        <v>647</v>
      </c>
      <c r="E98" s="40" t="s">
        <v>502</v>
      </c>
      <c r="F98" s="40" t="s">
        <v>648</v>
      </c>
      <c r="G98" s="42" t="s">
        <v>649</v>
      </c>
    </row>
    <row r="99" spans="1:7" x14ac:dyDescent="0.35">
      <c r="A99" s="43" t="s">
        <v>650</v>
      </c>
      <c r="B99" s="44" t="s">
        <v>645</v>
      </c>
      <c r="C99" s="45" t="s">
        <v>646</v>
      </c>
      <c r="D99" s="44" t="s">
        <v>214</v>
      </c>
      <c r="E99" s="44" t="s">
        <v>502</v>
      </c>
      <c r="F99" s="44" t="s">
        <v>648</v>
      </c>
      <c r="G99" s="46" t="s">
        <v>651</v>
      </c>
    </row>
    <row r="100" spans="1:7" x14ac:dyDescent="0.35">
      <c r="A100" s="39" t="s">
        <v>652</v>
      </c>
      <c r="B100" s="40" t="s">
        <v>653</v>
      </c>
      <c r="C100" s="41" t="s">
        <v>654</v>
      </c>
      <c r="D100" s="40" t="s">
        <v>655</v>
      </c>
      <c r="E100" s="40" t="s">
        <v>433</v>
      </c>
      <c r="F100" s="40" t="s">
        <v>280</v>
      </c>
      <c r="G100" s="42" t="s">
        <v>656</v>
      </c>
    </row>
    <row r="101" spans="1:7" x14ac:dyDescent="0.35">
      <c r="A101" s="43" t="s">
        <v>657</v>
      </c>
      <c r="B101" s="44" t="s">
        <v>658</v>
      </c>
      <c r="C101" s="45" t="s">
        <v>659</v>
      </c>
      <c r="D101" s="44" t="s">
        <v>660</v>
      </c>
      <c r="E101" s="44" t="s">
        <v>469</v>
      </c>
      <c r="F101" s="44" t="s">
        <v>285</v>
      </c>
      <c r="G101" s="46" t="s">
        <v>661</v>
      </c>
    </row>
    <row r="102" spans="1:7" x14ac:dyDescent="0.35">
      <c r="A102" s="39" t="s">
        <v>662</v>
      </c>
      <c r="B102" s="40" t="s">
        <v>663</v>
      </c>
      <c r="C102" s="41" t="s">
        <v>664</v>
      </c>
      <c r="D102" s="40" t="s">
        <v>665</v>
      </c>
      <c r="E102" s="40" t="s">
        <v>648</v>
      </c>
      <c r="F102" s="40" t="s">
        <v>531</v>
      </c>
      <c r="G102" s="42" t="s">
        <v>666</v>
      </c>
    </row>
    <row r="103" spans="1:7" x14ac:dyDescent="0.35">
      <c r="A103" s="43" t="s">
        <v>667</v>
      </c>
      <c r="B103" s="44" t="s">
        <v>668</v>
      </c>
      <c r="C103" s="45" t="s">
        <v>669</v>
      </c>
      <c r="D103" s="44" t="s">
        <v>670</v>
      </c>
      <c r="E103" s="44" t="s">
        <v>307</v>
      </c>
      <c r="F103" s="44" t="s">
        <v>492</v>
      </c>
      <c r="G103" s="46" t="s">
        <v>671</v>
      </c>
    </row>
    <row r="104" spans="1:7" x14ac:dyDescent="0.35">
      <c r="A104" s="39" t="s">
        <v>672</v>
      </c>
      <c r="B104" s="40" t="s">
        <v>673</v>
      </c>
      <c r="C104" s="41" t="s">
        <v>674</v>
      </c>
      <c r="D104" s="40" t="s">
        <v>675</v>
      </c>
      <c r="E104" s="40" t="s">
        <v>632</v>
      </c>
      <c r="F104" s="40" t="s">
        <v>508</v>
      </c>
      <c r="G104" s="42" t="s">
        <v>676</v>
      </c>
    </row>
    <row r="105" spans="1:7" x14ac:dyDescent="0.35">
      <c r="A105" s="43" t="s">
        <v>677</v>
      </c>
      <c r="B105" s="44" t="s">
        <v>678</v>
      </c>
      <c r="C105" s="45" t="s">
        <v>679</v>
      </c>
      <c r="D105" s="44" t="s">
        <v>680</v>
      </c>
      <c r="E105" s="44" t="s">
        <v>221</v>
      </c>
      <c r="F105" s="44" t="s">
        <v>268</v>
      </c>
      <c r="G105" s="46" t="s">
        <v>681</v>
      </c>
    </row>
    <row r="106" spans="1:7" x14ac:dyDescent="0.35">
      <c r="A106" s="39" t="s">
        <v>682</v>
      </c>
      <c r="B106" s="40" t="s">
        <v>605</v>
      </c>
      <c r="C106" s="41" t="s">
        <v>683</v>
      </c>
      <c r="D106" s="40" t="s">
        <v>684</v>
      </c>
      <c r="E106" s="40" t="s">
        <v>384</v>
      </c>
      <c r="F106" s="40" t="s">
        <v>502</v>
      </c>
      <c r="G106" s="42" t="s">
        <v>685</v>
      </c>
    </row>
    <row r="107" spans="1:7" x14ac:dyDescent="0.35">
      <c r="A107" s="43" t="s">
        <v>686</v>
      </c>
      <c r="B107" s="44" t="s">
        <v>687</v>
      </c>
      <c r="C107" s="45" t="s">
        <v>688</v>
      </c>
      <c r="D107" s="44" t="s">
        <v>689</v>
      </c>
      <c r="E107" s="44" t="s">
        <v>551</v>
      </c>
      <c r="F107" s="44" t="s">
        <v>433</v>
      </c>
      <c r="G107" s="46" t="s">
        <v>690</v>
      </c>
    </row>
    <row r="108" spans="1:7" x14ac:dyDescent="0.35">
      <c r="A108" s="39" t="s">
        <v>691</v>
      </c>
      <c r="B108" s="40" t="s">
        <v>692</v>
      </c>
      <c r="C108" s="41" t="s">
        <v>693</v>
      </c>
      <c r="D108" s="40" t="s">
        <v>694</v>
      </c>
      <c r="E108" s="40" t="s">
        <v>695</v>
      </c>
      <c r="F108" s="40" t="s">
        <v>696</v>
      </c>
      <c r="G108" s="42" t="s">
        <v>697</v>
      </c>
    </row>
    <row r="109" spans="1:7" x14ac:dyDescent="0.35">
      <c r="A109" s="43" t="s">
        <v>698</v>
      </c>
      <c r="B109" s="44" t="s">
        <v>699</v>
      </c>
      <c r="C109" s="45" t="s">
        <v>700</v>
      </c>
      <c r="D109" s="44" t="s">
        <v>701</v>
      </c>
      <c r="E109" s="44" t="s">
        <v>364</v>
      </c>
      <c r="F109" s="44" t="s">
        <v>296</v>
      </c>
      <c r="G109" s="46" t="s">
        <v>702</v>
      </c>
    </row>
    <row r="110" spans="1:7" x14ac:dyDescent="0.35">
      <c r="A110" s="39" t="s">
        <v>703</v>
      </c>
      <c r="B110" s="40" t="s">
        <v>699</v>
      </c>
      <c r="C110" s="41" t="s">
        <v>700</v>
      </c>
      <c r="D110" s="40" t="s">
        <v>704</v>
      </c>
      <c r="E110" s="40" t="s">
        <v>364</v>
      </c>
      <c r="F110" s="40" t="s">
        <v>296</v>
      </c>
      <c r="G110" s="42" t="s">
        <v>705</v>
      </c>
    </row>
    <row r="111" spans="1:7" x14ac:dyDescent="0.35">
      <c r="A111" s="43" t="s">
        <v>706</v>
      </c>
      <c r="B111" s="44" t="s">
        <v>699</v>
      </c>
      <c r="C111" s="45" t="s">
        <v>700</v>
      </c>
      <c r="D111" s="44" t="s">
        <v>707</v>
      </c>
      <c r="E111" s="44" t="s">
        <v>364</v>
      </c>
      <c r="F111" s="44" t="s">
        <v>296</v>
      </c>
      <c r="G111" s="46" t="s">
        <v>708</v>
      </c>
    </row>
    <row r="112" spans="1:7" x14ac:dyDescent="0.35">
      <c r="A112" s="39" t="s">
        <v>709</v>
      </c>
      <c r="B112" s="40" t="s">
        <v>699</v>
      </c>
      <c r="C112" s="41" t="s">
        <v>700</v>
      </c>
      <c r="D112" s="40" t="s">
        <v>710</v>
      </c>
      <c r="E112" s="40" t="s">
        <v>364</v>
      </c>
      <c r="F112" s="40" t="s">
        <v>296</v>
      </c>
      <c r="G112" s="42" t="s">
        <v>711</v>
      </c>
    </row>
    <row r="113" spans="1:7" x14ac:dyDescent="0.35">
      <c r="A113" s="43" t="s">
        <v>712</v>
      </c>
      <c r="B113" s="44" t="s">
        <v>713</v>
      </c>
      <c r="C113" s="45" t="s">
        <v>714</v>
      </c>
      <c r="D113" s="44" t="s">
        <v>715</v>
      </c>
      <c r="E113" s="44" t="s">
        <v>433</v>
      </c>
      <c r="F113" s="44" t="s">
        <v>353</v>
      </c>
      <c r="G113" s="46" t="s">
        <v>716</v>
      </c>
    </row>
    <row r="114" spans="1:7" x14ac:dyDescent="0.35">
      <c r="A114" s="39" t="s">
        <v>717</v>
      </c>
      <c r="B114" s="40" t="s">
        <v>718</v>
      </c>
      <c r="C114" s="41" t="s">
        <v>719</v>
      </c>
      <c r="D114" s="40" t="s">
        <v>720</v>
      </c>
      <c r="E114" s="40" t="s">
        <v>551</v>
      </c>
      <c r="F114" s="40" t="s">
        <v>369</v>
      </c>
      <c r="G114" s="42" t="s">
        <v>721</v>
      </c>
    </row>
    <row r="115" spans="1:7" x14ac:dyDescent="0.35">
      <c r="A115" s="43" t="s">
        <v>722</v>
      </c>
      <c r="B115" s="44" t="s">
        <v>639</v>
      </c>
      <c r="C115" s="45" t="s">
        <v>723</v>
      </c>
      <c r="D115" s="44" t="s">
        <v>353</v>
      </c>
      <c r="E115" s="44" t="s">
        <v>531</v>
      </c>
      <c r="F115" s="44" t="s">
        <v>580</v>
      </c>
      <c r="G115" s="46" t="s">
        <v>724</v>
      </c>
    </row>
    <row r="116" spans="1:7" x14ac:dyDescent="0.35">
      <c r="A116" s="39" t="s">
        <v>725</v>
      </c>
      <c r="B116" s="40" t="s">
        <v>639</v>
      </c>
      <c r="C116" s="41" t="s">
        <v>723</v>
      </c>
      <c r="D116" s="40" t="s">
        <v>726</v>
      </c>
      <c r="E116" s="40" t="s">
        <v>531</v>
      </c>
      <c r="F116" s="40" t="s">
        <v>580</v>
      </c>
      <c r="G116" s="42" t="s">
        <v>727</v>
      </c>
    </row>
    <row r="117" spans="1:7" x14ac:dyDescent="0.35">
      <c r="A117" s="43" t="s">
        <v>728</v>
      </c>
      <c r="B117" s="44" t="s">
        <v>729</v>
      </c>
      <c r="C117" s="45" t="s">
        <v>730</v>
      </c>
      <c r="D117" s="44" t="s">
        <v>731</v>
      </c>
      <c r="E117" s="44" t="s">
        <v>509</v>
      </c>
      <c r="F117" s="44" t="s">
        <v>279</v>
      </c>
      <c r="G117" s="46" t="s">
        <v>732</v>
      </c>
    </row>
    <row r="118" spans="1:7" x14ac:dyDescent="0.35">
      <c r="A118" s="39" t="s">
        <v>733</v>
      </c>
      <c r="B118" s="40" t="s">
        <v>734</v>
      </c>
      <c r="C118" s="41" t="s">
        <v>735</v>
      </c>
      <c r="D118" s="40" t="s">
        <v>736</v>
      </c>
      <c r="E118" s="40" t="s">
        <v>307</v>
      </c>
      <c r="F118" s="40" t="s">
        <v>384</v>
      </c>
      <c r="G118" s="42" t="s">
        <v>737</v>
      </c>
    </row>
    <row r="119" spans="1:7" x14ac:dyDescent="0.35">
      <c r="A119" s="43" t="s">
        <v>738</v>
      </c>
      <c r="B119" s="44" t="s">
        <v>734</v>
      </c>
      <c r="C119" s="45" t="s">
        <v>735</v>
      </c>
      <c r="D119" s="44" t="s">
        <v>739</v>
      </c>
      <c r="E119" s="44" t="s">
        <v>307</v>
      </c>
      <c r="F119" s="44" t="s">
        <v>384</v>
      </c>
      <c r="G119" s="46" t="s">
        <v>740</v>
      </c>
    </row>
    <row r="120" spans="1:7" x14ac:dyDescent="0.35">
      <c r="A120" s="39" t="s">
        <v>741</v>
      </c>
      <c r="B120" s="40" t="s">
        <v>742</v>
      </c>
      <c r="C120" s="41" t="s">
        <v>743</v>
      </c>
      <c r="D120" s="40" t="s">
        <v>744</v>
      </c>
      <c r="E120" s="40" t="s">
        <v>389</v>
      </c>
      <c r="F120" s="40" t="s">
        <v>696</v>
      </c>
      <c r="G120" s="42" t="s">
        <v>745</v>
      </c>
    </row>
    <row r="121" spans="1:7" x14ac:dyDescent="0.35">
      <c r="A121" s="43" t="s">
        <v>746</v>
      </c>
      <c r="B121" s="44" t="s">
        <v>747</v>
      </c>
      <c r="C121" s="45" t="s">
        <v>748</v>
      </c>
      <c r="D121" s="44" t="s">
        <v>642</v>
      </c>
      <c r="E121" s="44" t="s">
        <v>463</v>
      </c>
      <c r="F121" s="44" t="s">
        <v>648</v>
      </c>
      <c r="G121" s="46" t="s">
        <v>749</v>
      </c>
    </row>
    <row r="122" spans="1:7" x14ac:dyDescent="0.35">
      <c r="A122" s="39" t="s">
        <v>750</v>
      </c>
      <c r="B122" s="40" t="s">
        <v>751</v>
      </c>
      <c r="C122" s="41" t="s">
        <v>752</v>
      </c>
      <c r="D122" s="40" t="s">
        <v>753</v>
      </c>
      <c r="E122" s="40" t="s">
        <v>296</v>
      </c>
      <c r="F122" s="40" t="s">
        <v>551</v>
      </c>
      <c r="G122" s="42" t="s">
        <v>754</v>
      </c>
    </row>
    <row r="123" spans="1:7" x14ac:dyDescent="0.35">
      <c r="A123" s="43" t="s">
        <v>755</v>
      </c>
      <c r="B123" s="44" t="s">
        <v>751</v>
      </c>
      <c r="C123" s="45" t="s">
        <v>752</v>
      </c>
      <c r="D123" s="44" t="s">
        <v>756</v>
      </c>
      <c r="E123" s="44" t="s">
        <v>296</v>
      </c>
      <c r="F123" s="44" t="s">
        <v>551</v>
      </c>
      <c r="G123" s="46" t="s">
        <v>757</v>
      </c>
    </row>
    <row r="124" spans="1:7" x14ac:dyDescent="0.35">
      <c r="A124" s="39" t="s">
        <v>758</v>
      </c>
      <c r="B124" s="40" t="s">
        <v>751</v>
      </c>
      <c r="C124" s="41" t="s">
        <v>752</v>
      </c>
      <c r="D124" s="40" t="s">
        <v>759</v>
      </c>
      <c r="E124" s="40" t="s">
        <v>296</v>
      </c>
      <c r="F124" s="40" t="s">
        <v>551</v>
      </c>
      <c r="G124" s="42" t="s">
        <v>760</v>
      </c>
    </row>
    <row r="125" spans="1:7" x14ac:dyDescent="0.35">
      <c r="A125" s="43" t="s">
        <v>761</v>
      </c>
      <c r="B125" s="44" t="s">
        <v>751</v>
      </c>
      <c r="C125" s="45" t="s">
        <v>752</v>
      </c>
      <c r="D125" s="44" t="s">
        <v>457</v>
      </c>
      <c r="E125" s="44" t="s">
        <v>296</v>
      </c>
      <c r="F125" s="44" t="s">
        <v>551</v>
      </c>
      <c r="G125" s="46" t="s">
        <v>762</v>
      </c>
    </row>
    <row r="126" spans="1:7" x14ac:dyDescent="0.35">
      <c r="A126" s="39" t="s">
        <v>763</v>
      </c>
      <c r="B126" s="40" t="s">
        <v>764</v>
      </c>
      <c r="C126" s="41" t="s">
        <v>765</v>
      </c>
      <c r="D126" s="40" t="s">
        <v>766</v>
      </c>
      <c r="E126" s="40" t="s">
        <v>632</v>
      </c>
      <c r="F126" s="40" t="s">
        <v>389</v>
      </c>
      <c r="G126" s="42" t="s">
        <v>767</v>
      </c>
    </row>
    <row r="127" spans="1:7" x14ac:dyDescent="0.35">
      <c r="A127" s="43" t="s">
        <v>768</v>
      </c>
      <c r="B127" s="44" t="s">
        <v>769</v>
      </c>
      <c r="C127" s="45" t="s">
        <v>770</v>
      </c>
      <c r="D127" s="44" t="s">
        <v>771</v>
      </c>
      <c r="E127" s="44" t="s">
        <v>280</v>
      </c>
      <c r="F127" s="44" t="s">
        <v>502</v>
      </c>
      <c r="G127" s="46" t="s">
        <v>772</v>
      </c>
    </row>
    <row r="128" spans="1:7" x14ac:dyDescent="0.35">
      <c r="A128" s="39" t="s">
        <v>773</v>
      </c>
      <c r="B128" s="40" t="s">
        <v>774</v>
      </c>
      <c r="C128" s="41" t="s">
        <v>775</v>
      </c>
      <c r="D128" s="40" t="s">
        <v>776</v>
      </c>
      <c r="E128" s="40" t="s">
        <v>580</v>
      </c>
      <c r="F128" s="40" t="s">
        <v>384</v>
      </c>
      <c r="G128" s="42" t="s">
        <v>777</v>
      </c>
    </row>
    <row r="129" spans="1:7" x14ac:dyDescent="0.35">
      <c r="A129" s="43" t="s">
        <v>778</v>
      </c>
      <c r="B129" s="44" t="s">
        <v>774</v>
      </c>
      <c r="C129" s="45" t="s">
        <v>775</v>
      </c>
      <c r="D129" s="44" t="s">
        <v>696</v>
      </c>
      <c r="E129" s="44" t="s">
        <v>580</v>
      </c>
      <c r="F129" s="44" t="s">
        <v>384</v>
      </c>
      <c r="G129" s="46" t="s">
        <v>779</v>
      </c>
    </row>
    <row r="130" spans="1:7" x14ac:dyDescent="0.35">
      <c r="A130" s="39" t="s">
        <v>780</v>
      </c>
      <c r="B130" s="40" t="s">
        <v>583</v>
      </c>
      <c r="C130" s="41" t="s">
        <v>781</v>
      </c>
      <c r="D130" s="40" t="s">
        <v>782</v>
      </c>
      <c r="E130" s="40" t="s">
        <v>433</v>
      </c>
      <c r="F130" s="40" t="s">
        <v>469</v>
      </c>
      <c r="G130" s="42" t="s">
        <v>783</v>
      </c>
    </row>
    <row r="131" spans="1:7" x14ac:dyDescent="0.35">
      <c r="A131" s="43" t="s">
        <v>784</v>
      </c>
      <c r="B131" s="44" t="s">
        <v>583</v>
      </c>
      <c r="C131" s="45" t="s">
        <v>781</v>
      </c>
      <c r="D131" s="44" t="s">
        <v>695</v>
      </c>
      <c r="E131" s="44" t="s">
        <v>433</v>
      </c>
      <c r="F131" s="44" t="s">
        <v>469</v>
      </c>
      <c r="G131" s="46" t="s">
        <v>785</v>
      </c>
    </row>
    <row r="132" spans="1:7" x14ac:dyDescent="0.35">
      <c r="A132" s="39" t="s">
        <v>786</v>
      </c>
      <c r="B132" s="40" t="s">
        <v>583</v>
      </c>
      <c r="C132" s="41" t="s">
        <v>781</v>
      </c>
      <c r="D132" s="40" t="s">
        <v>787</v>
      </c>
      <c r="E132" s="40" t="s">
        <v>433</v>
      </c>
      <c r="F132" s="40" t="s">
        <v>469</v>
      </c>
      <c r="G132" s="42" t="s">
        <v>788</v>
      </c>
    </row>
    <row r="133" spans="1:7" x14ac:dyDescent="0.35">
      <c r="A133" s="43" t="s">
        <v>789</v>
      </c>
      <c r="B133" s="44" t="s">
        <v>639</v>
      </c>
      <c r="C133" s="45" t="s">
        <v>790</v>
      </c>
      <c r="D133" s="44" t="s">
        <v>791</v>
      </c>
      <c r="E133" s="44" t="s">
        <v>364</v>
      </c>
      <c r="F133" s="44" t="s">
        <v>792</v>
      </c>
      <c r="G133" s="46" t="s">
        <v>793</v>
      </c>
    </row>
    <row r="134" spans="1:7" x14ac:dyDescent="0.35">
      <c r="A134" s="39" t="s">
        <v>794</v>
      </c>
      <c r="B134" s="40" t="s">
        <v>795</v>
      </c>
      <c r="C134" s="41" t="s">
        <v>796</v>
      </c>
      <c r="D134" s="40" t="s">
        <v>797</v>
      </c>
      <c r="E134" s="40" t="s">
        <v>469</v>
      </c>
      <c r="F134" s="40" t="s">
        <v>238</v>
      </c>
      <c r="G134" s="42" t="s">
        <v>798</v>
      </c>
    </row>
    <row r="135" spans="1:7" x14ac:dyDescent="0.35">
      <c r="A135" s="43" t="s">
        <v>799</v>
      </c>
      <c r="B135" s="44" t="s">
        <v>488</v>
      </c>
      <c r="C135" s="45" t="s">
        <v>800</v>
      </c>
      <c r="D135" s="44" t="s">
        <v>801</v>
      </c>
      <c r="E135" s="44" t="s">
        <v>384</v>
      </c>
      <c r="F135" s="44" t="s">
        <v>463</v>
      </c>
      <c r="G135" s="46" t="s">
        <v>802</v>
      </c>
    </row>
    <row r="136" spans="1:7" x14ac:dyDescent="0.35">
      <c r="A136" s="39" t="s">
        <v>803</v>
      </c>
      <c r="B136" s="40" t="s">
        <v>804</v>
      </c>
      <c r="C136" s="41" t="s">
        <v>805</v>
      </c>
      <c r="D136" s="40" t="s">
        <v>806</v>
      </c>
      <c r="E136" s="40" t="s">
        <v>389</v>
      </c>
      <c r="F136" s="40" t="s">
        <v>214</v>
      </c>
      <c r="G136" s="42" t="s">
        <v>807</v>
      </c>
    </row>
    <row r="137" spans="1:7" x14ac:dyDescent="0.35">
      <c r="A137" s="43" t="s">
        <v>808</v>
      </c>
      <c r="B137" s="44" t="s">
        <v>804</v>
      </c>
      <c r="C137" s="45" t="s">
        <v>805</v>
      </c>
      <c r="D137" s="44" t="s">
        <v>809</v>
      </c>
      <c r="E137" s="44" t="s">
        <v>389</v>
      </c>
      <c r="F137" s="44" t="s">
        <v>214</v>
      </c>
      <c r="G137" s="46" t="s">
        <v>810</v>
      </c>
    </row>
    <row r="138" spans="1:7" x14ac:dyDescent="0.35">
      <c r="A138" s="39" t="s">
        <v>811</v>
      </c>
      <c r="B138" s="40" t="s">
        <v>812</v>
      </c>
      <c r="C138" s="41" t="s">
        <v>813</v>
      </c>
      <c r="D138" s="40" t="s">
        <v>383</v>
      </c>
      <c r="E138" s="40" t="s">
        <v>509</v>
      </c>
      <c r="F138" s="40" t="s">
        <v>531</v>
      </c>
      <c r="G138" s="42" t="s">
        <v>814</v>
      </c>
    </row>
    <row r="139" spans="1:7" x14ac:dyDescent="0.35">
      <c r="A139" s="43" t="s">
        <v>815</v>
      </c>
      <c r="B139" s="44" t="s">
        <v>605</v>
      </c>
      <c r="C139" s="45" t="s">
        <v>816</v>
      </c>
      <c r="D139" s="44" t="s">
        <v>817</v>
      </c>
      <c r="E139" s="44" t="s">
        <v>469</v>
      </c>
      <c r="F139" s="44" t="s">
        <v>221</v>
      </c>
      <c r="G139" s="46" t="s">
        <v>818</v>
      </c>
    </row>
    <row r="140" spans="1:7" x14ac:dyDescent="0.35">
      <c r="A140" s="39" t="s">
        <v>819</v>
      </c>
      <c r="B140" s="40" t="s">
        <v>517</v>
      </c>
      <c r="C140" s="41" t="s">
        <v>820</v>
      </c>
      <c r="D140" s="40" t="s">
        <v>821</v>
      </c>
      <c r="E140" s="40" t="s">
        <v>389</v>
      </c>
      <c r="F140" s="40" t="s">
        <v>296</v>
      </c>
      <c r="G140" s="42" t="s">
        <v>822</v>
      </c>
    </row>
    <row r="141" spans="1:7" x14ac:dyDescent="0.35">
      <c r="A141" s="43" t="s">
        <v>823</v>
      </c>
      <c r="B141" s="44" t="s">
        <v>517</v>
      </c>
      <c r="C141" s="45" t="s">
        <v>820</v>
      </c>
      <c r="D141" s="44" t="s">
        <v>824</v>
      </c>
      <c r="E141" s="44" t="s">
        <v>389</v>
      </c>
      <c r="F141" s="44" t="s">
        <v>296</v>
      </c>
      <c r="G141" s="46" t="s">
        <v>825</v>
      </c>
    </row>
    <row r="142" spans="1:7" x14ac:dyDescent="0.35">
      <c r="A142" s="39" t="s">
        <v>826</v>
      </c>
      <c r="B142" s="40" t="s">
        <v>517</v>
      </c>
      <c r="C142" s="41" t="s">
        <v>820</v>
      </c>
      <c r="D142" s="40" t="s">
        <v>827</v>
      </c>
      <c r="E142" s="40" t="s">
        <v>389</v>
      </c>
      <c r="F142" s="40" t="s">
        <v>296</v>
      </c>
      <c r="G142" s="42" t="s">
        <v>828</v>
      </c>
    </row>
    <row r="143" spans="1:7" x14ac:dyDescent="0.35">
      <c r="A143" s="43" t="s">
        <v>829</v>
      </c>
      <c r="B143" s="44" t="s">
        <v>517</v>
      </c>
      <c r="C143" s="45" t="s">
        <v>820</v>
      </c>
      <c r="D143" s="44" t="s">
        <v>830</v>
      </c>
      <c r="E143" s="44" t="s">
        <v>389</v>
      </c>
      <c r="F143" s="44" t="s">
        <v>296</v>
      </c>
      <c r="G143" s="46" t="s">
        <v>831</v>
      </c>
    </row>
    <row r="144" spans="1:7" x14ac:dyDescent="0.35">
      <c r="A144" s="39" t="s">
        <v>832</v>
      </c>
      <c r="B144" s="40" t="s">
        <v>833</v>
      </c>
      <c r="C144" s="41" t="s">
        <v>834</v>
      </c>
      <c r="D144" s="40" t="s">
        <v>835</v>
      </c>
      <c r="E144" s="40" t="s">
        <v>457</v>
      </c>
      <c r="F144" s="40" t="s">
        <v>384</v>
      </c>
      <c r="G144" s="42" t="s">
        <v>836</v>
      </c>
    </row>
    <row r="145" spans="1:7" x14ac:dyDescent="0.35">
      <c r="A145" s="43" t="s">
        <v>837</v>
      </c>
      <c r="B145" s="44" t="s">
        <v>838</v>
      </c>
      <c r="C145" s="45" t="s">
        <v>839</v>
      </c>
      <c r="D145" s="44" t="s">
        <v>840</v>
      </c>
      <c r="E145" s="44" t="s">
        <v>296</v>
      </c>
      <c r="F145" s="44" t="s">
        <v>531</v>
      </c>
      <c r="G145" s="46" t="s">
        <v>841</v>
      </c>
    </row>
    <row r="146" spans="1:7" x14ac:dyDescent="0.35">
      <c r="A146" s="39" t="s">
        <v>842</v>
      </c>
      <c r="B146" s="40" t="s">
        <v>838</v>
      </c>
      <c r="C146" s="41" t="s">
        <v>839</v>
      </c>
      <c r="D146" s="40" t="s">
        <v>843</v>
      </c>
      <c r="E146" s="40" t="s">
        <v>296</v>
      </c>
      <c r="F146" s="40" t="s">
        <v>531</v>
      </c>
      <c r="G146" s="42" t="s">
        <v>844</v>
      </c>
    </row>
    <row r="147" spans="1:7" x14ac:dyDescent="0.35">
      <c r="A147" s="43" t="s">
        <v>845</v>
      </c>
      <c r="B147" s="44" t="s">
        <v>838</v>
      </c>
      <c r="C147" s="45" t="s">
        <v>839</v>
      </c>
      <c r="D147" s="44" t="s">
        <v>302</v>
      </c>
      <c r="E147" s="44" t="s">
        <v>296</v>
      </c>
      <c r="F147" s="44" t="s">
        <v>531</v>
      </c>
      <c r="G147" s="46" t="s">
        <v>846</v>
      </c>
    </row>
    <row r="148" spans="1:7" x14ac:dyDescent="0.35">
      <c r="A148" s="39" t="s">
        <v>847</v>
      </c>
      <c r="B148" s="40" t="s">
        <v>848</v>
      </c>
      <c r="C148" s="41" t="s">
        <v>849</v>
      </c>
      <c r="D148" s="40" t="s">
        <v>850</v>
      </c>
      <c r="E148" s="40" t="s">
        <v>469</v>
      </c>
      <c r="F148" s="40" t="s">
        <v>295</v>
      </c>
      <c r="G148" s="42" t="s">
        <v>851</v>
      </c>
    </row>
    <row r="149" spans="1:7" x14ac:dyDescent="0.35">
      <c r="A149" s="43" t="s">
        <v>852</v>
      </c>
      <c r="B149" s="44" t="s">
        <v>639</v>
      </c>
      <c r="C149" s="45" t="s">
        <v>853</v>
      </c>
      <c r="D149" s="44" t="s">
        <v>854</v>
      </c>
      <c r="E149" s="44" t="s">
        <v>389</v>
      </c>
      <c r="F149" s="44" t="s">
        <v>648</v>
      </c>
      <c r="G149" s="46" t="s">
        <v>855</v>
      </c>
    </row>
    <row r="150" spans="1:7" x14ac:dyDescent="0.35">
      <c r="A150" s="39" t="s">
        <v>856</v>
      </c>
      <c r="B150" s="40" t="s">
        <v>857</v>
      </c>
      <c r="C150" s="41" t="s">
        <v>858</v>
      </c>
      <c r="D150" s="40" t="s">
        <v>531</v>
      </c>
      <c r="E150" s="40" t="s">
        <v>642</v>
      </c>
      <c r="F150" s="40" t="s">
        <v>859</v>
      </c>
      <c r="G150" s="42" t="s">
        <v>860</v>
      </c>
    </row>
    <row r="151" spans="1:7" x14ac:dyDescent="0.35">
      <c r="A151" s="43" t="s">
        <v>861</v>
      </c>
      <c r="B151" s="44" t="s">
        <v>862</v>
      </c>
      <c r="C151" s="45" t="s">
        <v>863</v>
      </c>
      <c r="D151" s="44" t="s">
        <v>864</v>
      </c>
      <c r="E151" s="44" t="s">
        <v>551</v>
      </c>
      <c r="F151" s="44" t="s">
        <v>457</v>
      </c>
      <c r="G151" s="46" t="s">
        <v>865</v>
      </c>
    </row>
    <row r="152" spans="1:7" x14ac:dyDescent="0.35">
      <c r="A152" s="39" t="s">
        <v>866</v>
      </c>
      <c r="B152" s="40" t="s">
        <v>554</v>
      </c>
      <c r="C152" s="41" t="s">
        <v>867</v>
      </c>
      <c r="D152" s="40" t="s">
        <v>868</v>
      </c>
      <c r="E152" s="40" t="s">
        <v>502</v>
      </c>
      <c r="F152" s="40" t="s">
        <v>632</v>
      </c>
      <c r="G152" s="42" t="s">
        <v>869</v>
      </c>
    </row>
    <row r="153" spans="1:7" x14ac:dyDescent="0.35">
      <c r="A153" s="43" t="s">
        <v>870</v>
      </c>
      <c r="B153" s="44" t="s">
        <v>554</v>
      </c>
      <c r="C153" s="45" t="s">
        <v>867</v>
      </c>
      <c r="D153" s="44" t="s">
        <v>871</v>
      </c>
      <c r="E153" s="44" t="s">
        <v>502</v>
      </c>
      <c r="F153" s="44" t="s">
        <v>632</v>
      </c>
      <c r="G153" s="46" t="s">
        <v>872</v>
      </c>
    </row>
    <row r="154" spans="1:7" x14ac:dyDescent="0.35">
      <c r="A154" s="39" t="s">
        <v>873</v>
      </c>
      <c r="B154" s="40" t="s">
        <v>549</v>
      </c>
      <c r="C154" s="41" t="s">
        <v>874</v>
      </c>
      <c r="D154" s="40" t="s">
        <v>875</v>
      </c>
      <c r="E154" s="40" t="s">
        <v>307</v>
      </c>
      <c r="F154" s="40" t="s">
        <v>353</v>
      </c>
      <c r="G154" s="42" t="s">
        <v>876</v>
      </c>
    </row>
    <row r="155" spans="1:7" x14ac:dyDescent="0.35">
      <c r="A155" s="43" t="s">
        <v>877</v>
      </c>
      <c r="B155" s="44" t="s">
        <v>549</v>
      </c>
      <c r="C155" s="45" t="s">
        <v>874</v>
      </c>
      <c r="D155" s="44" t="s">
        <v>878</v>
      </c>
      <c r="E155" s="44" t="s">
        <v>307</v>
      </c>
      <c r="F155" s="44" t="s">
        <v>353</v>
      </c>
      <c r="G155" s="46" t="s">
        <v>879</v>
      </c>
    </row>
    <row r="156" spans="1:7" x14ac:dyDescent="0.35">
      <c r="A156" s="39" t="s">
        <v>880</v>
      </c>
      <c r="B156" s="40" t="s">
        <v>881</v>
      </c>
      <c r="C156" s="41" t="s">
        <v>882</v>
      </c>
      <c r="D156" s="40" t="s">
        <v>883</v>
      </c>
      <c r="E156" s="40" t="s">
        <v>221</v>
      </c>
      <c r="F156" s="40" t="s">
        <v>384</v>
      </c>
      <c r="G156" s="42" t="s">
        <v>884</v>
      </c>
    </row>
    <row r="157" spans="1:7" x14ac:dyDescent="0.35">
      <c r="A157" s="43" t="s">
        <v>885</v>
      </c>
      <c r="B157" s="44" t="s">
        <v>512</v>
      </c>
      <c r="C157" s="45" t="s">
        <v>886</v>
      </c>
      <c r="D157" s="44" t="s">
        <v>887</v>
      </c>
      <c r="E157" s="44" t="s">
        <v>364</v>
      </c>
      <c r="F157" s="44" t="s">
        <v>433</v>
      </c>
      <c r="G157" s="46" t="s">
        <v>888</v>
      </c>
    </row>
    <row r="158" spans="1:7" x14ac:dyDescent="0.35">
      <c r="A158" s="39" t="s">
        <v>889</v>
      </c>
      <c r="B158" s="40" t="s">
        <v>512</v>
      </c>
      <c r="C158" s="41" t="s">
        <v>886</v>
      </c>
      <c r="D158" s="40" t="s">
        <v>890</v>
      </c>
      <c r="E158" s="40" t="s">
        <v>364</v>
      </c>
      <c r="F158" s="40" t="s">
        <v>433</v>
      </c>
      <c r="G158" s="42" t="s">
        <v>891</v>
      </c>
    </row>
    <row r="159" spans="1:7" x14ac:dyDescent="0.35">
      <c r="A159" s="43" t="s">
        <v>892</v>
      </c>
      <c r="B159" s="44" t="s">
        <v>893</v>
      </c>
      <c r="C159" s="45" t="s">
        <v>894</v>
      </c>
      <c r="D159" s="44" t="s">
        <v>895</v>
      </c>
      <c r="E159" s="44" t="s">
        <v>384</v>
      </c>
      <c r="F159" s="44" t="s">
        <v>389</v>
      </c>
      <c r="G159" s="46" t="s">
        <v>896</v>
      </c>
    </row>
    <row r="160" spans="1:7" x14ac:dyDescent="0.35">
      <c r="A160" s="39" t="s">
        <v>897</v>
      </c>
      <c r="B160" s="40" t="s">
        <v>898</v>
      </c>
      <c r="C160" s="41" t="s">
        <v>899</v>
      </c>
      <c r="D160" s="40" t="s">
        <v>900</v>
      </c>
      <c r="E160" s="40" t="s">
        <v>463</v>
      </c>
      <c r="F160" s="40" t="s">
        <v>296</v>
      </c>
      <c r="G160" s="42" t="s">
        <v>901</v>
      </c>
    </row>
    <row r="161" spans="1:7" x14ac:dyDescent="0.35">
      <c r="A161" s="43" t="s">
        <v>902</v>
      </c>
      <c r="B161" s="44" t="s">
        <v>559</v>
      </c>
      <c r="C161" s="45" t="s">
        <v>903</v>
      </c>
      <c r="D161" s="44" t="s">
        <v>904</v>
      </c>
      <c r="E161" s="44" t="s">
        <v>296</v>
      </c>
      <c r="F161" s="44" t="s">
        <v>364</v>
      </c>
      <c r="G161" s="46" t="s">
        <v>905</v>
      </c>
    </row>
    <row r="162" spans="1:7" x14ac:dyDescent="0.35">
      <c r="A162" s="39" t="s">
        <v>906</v>
      </c>
      <c r="B162" s="40" t="s">
        <v>559</v>
      </c>
      <c r="C162" s="41" t="s">
        <v>903</v>
      </c>
      <c r="D162" s="40" t="s">
        <v>907</v>
      </c>
      <c r="E162" s="40" t="s">
        <v>296</v>
      </c>
      <c r="F162" s="40" t="s">
        <v>364</v>
      </c>
      <c r="G162" s="42" t="s">
        <v>908</v>
      </c>
    </row>
    <row r="163" spans="1:7" x14ac:dyDescent="0.35">
      <c r="A163" s="43" t="s">
        <v>909</v>
      </c>
      <c r="B163" s="44" t="s">
        <v>559</v>
      </c>
      <c r="C163" s="45" t="s">
        <v>903</v>
      </c>
      <c r="D163" s="44" t="s">
        <v>910</v>
      </c>
      <c r="E163" s="44" t="s">
        <v>296</v>
      </c>
      <c r="F163" s="44" t="s">
        <v>364</v>
      </c>
      <c r="G163" s="46" t="s">
        <v>911</v>
      </c>
    </row>
    <row r="164" spans="1:7" x14ac:dyDescent="0.35">
      <c r="A164" s="39" t="s">
        <v>912</v>
      </c>
      <c r="B164" s="40" t="s">
        <v>559</v>
      </c>
      <c r="C164" s="41" t="s">
        <v>903</v>
      </c>
      <c r="D164" s="40" t="s">
        <v>913</v>
      </c>
      <c r="E164" s="40" t="s">
        <v>296</v>
      </c>
      <c r="F164" s="40" t="s">
        <v>364</v>
      </c>
      <c r="G164" s="42" t="s">
        <v>914</v>
      </c>
    </row>
    <row r="165" spans="1:7" x14ac:dyDescent="0.35">
      <c r="A165" s="43" t="s">
        <v>915</v>
      </c>
      <c r="B165" s="44" t="s">
        <v>559</v>
      </c>
      <c r="C165" s="45" t="s">
        <v>903</v>
      </c>
      <c r="D165" s="44" t="s">
        <v>916</v>
      </c>
      <c r="E165" s="44" t="s">
        <v>296</v>
      </c>
      <c r="F165" s="44" t="s">
        <v>364</v>
      </c>
      <c r="G165" s="46" t="s">
        <v>917</v>
      </c>
    </row>
    <row r="166" spans="1:7" x14ac:dyDescent="0.35">
      <c r="A166" s="39" t="s">
        <v>918</v>
      </c>
      <c r="B166" s="40" t="s">
        <v>639</v>
      </c>
      <c r="C166" s="41" t="s">
        <v>919</v>
      </c>
      <c r="D166" s="40" t="s">
        <v>920</v>
      </c>
      <c r="E166" s="40" t="s">
        <v>463</v>
      </c>
      <c r="F166" s="40" t="s">
        <v>268</v>
      </c>
      <c r="G166" s="42" t="s">
        <v>921</v>
      </c>
    </row>
    <row r="167" spans="1:7" x14ac:dyDescent="0.35">
      <c r="A167" s="43" t="s">
        <v>922</v>
      </c>
      <c r="B167" s="44" t="s">
        <v>639</v>
      </c>
      <c r="C167" s="45" t="s">
        <v>919</v>
      </c>
      <c r="D167" s="44" t="s">
        <v>923</v>
      </c>
      <c r="E167" s="44" t="s">
        <v>463</v>
      </c>
      <c r="F167" s="44" t="s">
        <v>268</v>
      </c>
      <c r="G167" s="46" t="s">
        <v>924</v>
      </c>
    </row>
    <row r="168" spans="1:7" x14ac:dyDescent="0.35">
      <c r="A168" s="39" t="s">
        <v>925</v>
      </c>
      <c r="B168" s="40" t="s">
        <v>605</v>
      </c>
      <c r="C168" s="41" t="s">
        <v>926</v>
      </c>
      <c r="D168" s="40" t="s">
        <v>927</v>
      </c>
      <c r="E168" s="40" t="s">
        <v>531</v>
      </c>
      <c r="F168" s="40" t="s">
        <v>307</v>
      </c>
      <c r="G168" s="42" t="s">
        <v>928</v>
      </c>
    </row>
    <row r="169" spans="1:7" x14ac:dyDescent="0.35">
      <c r="A169" s="43" t="s">
        <v>929</v>
      </c>
      <c r="B169" s="44" t="s">
        <v>734</v>
      </c>
      <c r="C169" s="45" t="s">
        <v>930</v>
      </c>
      <c r="D169" s="44" t="s">
        <v>931</v>
      </c>
      <c r="E169" s="44" t="s">
        <v>433</v>
      </c>
      <c r="F169" s="44" t="s">
        <v>551</v>
      </c>
      <c r="G169" s="46" t="s">
        <v>932</v>
      </c>
    </row>
    <row r="170" spans="1:7" x14ac:dyDescent="0.35">
      <c r="A170" s="39" t="s">
        <v>933</v>
      </c>
      <c r="B170" s="40" t="s">
        <v>734</v>
      </c>
      <c r="C170" s="41" t="s">
        <v>930</v>
      </c>
      <c r="D170" s="40" t="s">
        <v>934</v>
      </c>
      <c r="E170" s="40" t="s">
        <v>433</v>
      </c>
      <c r="F170" s="40" t="s">
        <v>551</v>
      </c>
      <c r="G170" s="42" t="s">
        <v>935</v>
      </c>
    </row>
    <row r="171" spans="1:7" x14ac:dyDescent="0.35">
      <c r="A171" s="43" t="s">
        <v>936</v>
      </c>
      <c r="B171" s="44" t="s">
        <v>734</v>
      </c>
      <c r="C171" s="45" t="s">
        <v>930</v>
      </c>
      <c r="D171" s="44" t="s">
        <v>937</v>
      </c>
      <c r="E171" s="44" t="s">
        <v>433</v>
      </c>
      <c r="F171" s="44" t="s">
        <v>551</v>
      </c>
      <c r="G171" s="46" t="s">
        <v>938</v>
      </c>
    </row>
    <row r="172" spans="1:7" x14ac:dyDescent="0.35">
      <c r="A172" s="39" t="s">
        <v>939</v>
      </c>
      <c r="B172" s="40" t="s">
        <v>747</v>
      </c>
      <c r="C172" s="41" t="s">
        <v>940</v>
      </c>
      <c r="D172" s="40" t="s">
        <v>941</v>
      </c>
      <c r="E172" s="40" t="s">
        <v>221</v>
      </c>
      <c r="F172" s="40" t="s">
        <v>280</v>
      </c>
      <c r="G172" s="42" t="s">
        <v>942</v>
      </c>
    </row>
    <row r="173" spans="1:7" x14ac:dyDescent="0.35">
      <c r="A173" s="43" t="s">
        <v>943</v>
      </c>
      <c r="B173" s="44" t="s">
        <v>224</v>
      </c>
      <c r="C173" s="45" t="s">
        <v>944</v>
      </c>
      <c r="D173" s="44" t="s">
        <v>945</v>
      </c>
      <c r="E173" s="44" t="s">
        <v>307</v>
      </c>
      <c r="F173" s="44" t="s">
        <v>469</v>
      </c>
      <c r="G173" s="46" t="s">
        <v>946</v>
      </c>
    </row>
    <row r="174" spans="1:7" x14ac:dyDescent="0.35">
      <c r="A174" s="39" t="s">
        <v>947</v>
      </c>
      <c r="B174" s="40" t="s">
        <v>224</v>
      </c>
      <c r="C174" s="41" t="s">
        <v>944</v>
      </c>
      <c r="D174" s="40" t="s">
        <v>948</v>
      </c>
      <c r="E174" s="40" t="s">
        <v>307</v>
      </c>
      <c r="F174" s="40" t="s">
        <v>469</v>
      </c>
      <c r="G174" s="42" t="s">
        <v>949</v>
      </c>
    </row>
    <row r="175" spans="1:7" x14ac:dyDescent="0.35">
      <c r="A175" s="43" t="s">
        <v>950</v>
      </c>
      <c r="B175" s="44" t="s">
        <v>224</v>
      </c>
      <c r="C175" s="45" t="s">
        <v>944</v>
      </c>
      <c r="D175" s="44" t="s">
        <v>951</v>
      </c>
      <c r="E175" s="44" t="s">
        <v>307</v>
      </c>
      <c r="F175" s="44" t="s">
        <v>469</v>
      </c>
      <c r="G175" s="46" t="s">
        <v>952</v>
      </c>
    </row>
    <row r="176" spans="1:7" x14ac:dyDescent="0.35">
      <c r="A176" s="39" t="s">
        <v>953</v>
      </c>
      <c r="B176" s="40" t="s">
        <v>488</v>
      </c>
      <c r="C176" s="41" t="s">
        <v>954</v>
      </c>
      <c r="D176" s="40" t="s">
        <v>433</v>
      </c>
      <c r="E176" s="40" t="s">
        <v>551</v>
      </c>
      <c r="F176" s="40" t="s">
        <v>221</v>
      </c>
      <c r="G176" s="42" t="s">
        <v>955</v>
      </c>
    </row>
    <row r="177" spans="1:7" x14ac:dyDescent="0.35">
      <c r="A177" s="43" t="s">
        <v>956</v>
      </c>
      <c r="B177" s="44" t="s">
        <v>488</v>
      </c>
      <c r="C177" s="45" t="s">
        <v>954</v>
      </c>
      <c r="D177" s="44" t="s">
        <v>957</v>
      </c>
      <c r="E177" s="44" t="s">
        <v>551</v>
      </c>
      <c r="F177" s="44" t="s">
        <v>221</v>
      </c>
      <c r="G177" s="46" t="s">
        <v>958</v>
      </c>
    </row>
    <row r="178" spans="1:7" x14ac:dyDescent="0.35">
      <c r="A178" s="39" t="s">
        <v>959</v>
      </c>
      <c r="B178" s="40" t="s">
        <v>960</v>
      </c>
      <c r="C178" s="41" t="s">
        <v>961</v>
      </c>
      <c r="D178" s="40" t="s">
        <v>962</v>
      </c>
      <c r="E178" s="40" t="s">
        <v>389</v>
      </c>
      <c r="F178" s="40" t="s">
        <v>433</v>
      </c>
      <c r="G178" s="42" t="s">
        <v>963</v>
      </c>
    </row>
    <row r="179" spans="1:7" x14ac:dyDescent="0.35">
      <c r="A179" s="43" t="s">
        <v>964</v>
      </c>
      <c r="B179" s="44" t="s">
        <v>658</v>
      </c>
      <c r="C179" s="45" t="s">
        <v>965</v>
      </c>
      <c r="D179" s="44" t="s">
        <v>341</v>
      </c>
      <c r="E179" s="44" t="s">
        <v>463</v>
      </c>
      <c r="F179" s="44" t="s">
        <v>632</v>
      </c>
      <c r="G179" s="46" t="s">
        <v>966</v>
      </c>
    </row>
    <row r="180" spans="1:7" x14ac:dyDescent="0.35">
      <c r="A180" s="39" t="s">
        <v>967</v>
      </c>
      <c r="B180" s="40" t="s">
        <v>658</v>
      </c>
      <c r="C180" s="41" t="s">
        <v>965</v>
      </c>
      <c r="D180" s="40" t="s">
        <v>968</v>
      </c>
      <c r="E180" s="40" t="s">
        <v>463</v>
      </c>
      <c r="F180" s="40" t="s">
        <v>632</v>
      </c>
      <c r="G180" s="42" t="s">
        <v>969</v>
      </c>
    </row>
    <row r="181" spans="1:7" x14ac:dyDescent="0.35">
      <c r="A181" s="43" t="s">
        <v>970</v>
      </c>
      <c r="B181" s="44" t="s">
        <v>639</v>
      </c>
      <c r="C181" s="45" t="s">
        <v>971</v>
      </c>
      <c r="D181" s="44" t="s">
        <v>972</v>
      </c>
      <c r="E181" s="44" t="s">
        <v>502</v>
      </c>
      <c r="F181" s="44" t="s">
        <v>384</v>
      </c>
      <c r="G181" s="46" t="s">
        <v>973</v>
      </c>
    </row>
    <row r="182" spans="1:7" x14ac:dyDescent="0.35">
      <c r="A182" s="39" t="s">
        <v>974</v>
      </c>
      <c r="B182" s="40" t="s">
        <v>247</v>
      </c>
      <c r="C182" s="41" t="s">
        <v>975</v>
      </c>
      <c r="D182" s="40" t="s">
        <v>976</v>
      </c>
      <c r="E182" s="40" t="s">
        <v>642</v>
      </c>
      <c r="F182" s="40" t="s">
        <v>502</v>
      </c>
      <c r="G182" s="42" t="s">
        <v>977</v>
      </c>
    </row>
    <row r="183" spans="1:7" x14ac:dyDescent="0.35">
      <c r="A183" s="43" t="s">
        <v>978</v>
      </c>
      <c r="B183" s="44" t="s">
        <v>653</v>
      </c>
      <c r="C183" s="45" t="s">
        <v>979</v>
      </c>
      <c r="D183" s="44" t="s">
        <v>859</v>
      </c>
      <c r="E183" s="44" t="s">
        <v>296</v>
      </c>
      <c r="F183" s="44" t="s">
        <v>389</v>
      </c>
      <c r="G183" s="46" t="s">
        <v>980</v>
      </c>
    </row>
    <row r="184" spans="1:7" x14ac:dyDescent="0.35">
      <c r="A184" s="39" t="s">
        <v>981</v>
      </c>
      <c r="B184" s="40" t="s">
        <v>653</v>
      </c>
      <c r="C184" s="41" t="s">
        <v>979</v>
      </c>
      <c r="D184" s="40" t="s">
        <v>982</v>
      </c>
      <c r="E184" s="40" t="s">
        <v>296</v>
      </c>
      <c r="F184" s="40" t="s">
        <v>389</v>
      </c>
      <c r="G184" s="42" t="s">
        <v>983</v>
      </c>
    </row>
    <row r="185" spans="1:7" x14ac:dyDescent="0.35">
      <c r="A185" s="43" t="s">
        <v>984</v>
      </c>
      <c r="B185" s="44" t="s">
        <v>653</v>
      </c>
      <c r="C185" s="45" t="s">
        <v>979</v>
      </c>
      <c r="D185" s="44" t="s">
        <v>985</v>
      </c>
      <c r="E185" s="44" t="s">
        <v>296</v>
      </c>
      <c r="F185" s="44" t="s">
        <v>389</v>
      </c>
      <c r="G185" s="46" t="s">
        <v>986</v>
      </c>
    </row>
    <row r="186" spans="1:7" x14ac:dyDescent="0.35">
      <c r="A186" s="39" t="s">
        <v>987</v>
      </c>
      <c r="B186" s="40" t="s">
        <v>653</v>
      </c>
      <c r="C186" s="41" t="s">
        <v>979</v>
      </c>
      <c r="D186" s="40" t="s">
        <v>988</v>
      </c>
      <c r="E186" s="40" t="s">
        <v>296</v>
      </c>
      <c r="F186" s="40" t="s">
        <v>389</v>
      </c>
      <c r="G186" s="42" t="s">
        <v>989</v>
      </c>
    </row>
    <row r="187" spans="1:7" x14ac:dyDescent="0.35">
      <c r="A187" s="43" t="s">
        <v>990</v>
      </c>
      <c r="B187" s="44" t="s">
        <v>653</v>
      </c>
      <c r="C187" s="45" t="s">
        <v>979</v>
      </c>
      <c r="D187" s="44" t="s">
        <v>991</v>
      </c>
      <c r="E187" s="44" t="s">
        <v>296</v>
      </c>
      <c r="F187" s="44" t="s">
        <v>389</v>
      </c>
      <c r="G187" s="46" t="s">
        <v>992</v>
      </c>
    </row>
    <row r="188" spans="1:7" x14ac:dyDescent="0.35">
      <c r="A188" s="39" t="s">
        <v>993</v>
      </c>
      <c r="B188" s="40" t="s">
        <v>653</v>
      </c>
      <c r="C188" s="41" t="s">
        <v>979</v>
      </c>
      <c r="D188" s="40" t="s">
        <v>994</v>
      </c>
      <c r="E188" s="40" t="s">
        <v>296</v>
      </c>
      <c r="F188" s="40" t="s">
        <v>389</v>
      </c>
      <c r="G188" s="42" t="s">
        <v>995</v>
      </c>
    </row>
    <row r="189" spans="1:7" x14ac:dyDescent="0.35">
      <c r="A189" s="43" t="s">
        <v>996</v>
      </c>
      <c r="B189" s="44" t="s">
        <v>997</v>
      </c>
      <c r="C189" s="45" t="s">
        <v>998</v>
      </c>
      <c r="D189" s="44" t="s">
        <v>999</v>
      </c>
      <c r="E189" s="44" t="s">
        <v>221</v>
      </c>
      <c r="F189" s="44" t="s">
        <v>353</v>
      </c>
      <c r="G189" s="46" t="s">
        <v>1000</v>
      </c>
    </row>
    <row r="190" spans="1:7" x14ac:dyDescent="0.35">
      <c r="A190" s="39" t="s">
        <v>1001</v>
      </c>
      <c r="B190" s="40" t="s">
        <v>678</v>
      </c>
      <c r="C190" s="41" t="s">
        <v>1002</v>
      </c>
      <c r="D190" s="40" t="s">
        <v>1003</v>
      </c>
      <c r="E190" s="40" t="s">
        <v>433</v>
      </c>
      <c r="F190" s="40" t="s">
        <v>531</v>
      </c>
      <c r="G190" s="42" t="s">
        <v>1004</v>
      </c>
    </row>
    <row r="191" spans="1:7" x14ac:dyDescent="0.35">
      <c r="A191" s="43" t="s">
        <v>1005</v>
      </c>
      <c r="B191" s="44" t="s">
        <v>678</v>
      </c>
      <c r="C191" s="45" t="s">
        <v>1002</v>
      </c>
      <c r="D191" s="44" t="s">
        <v>1006</v>
      </c>
      <c r="E191" s="44" t="s">
        <v>433</v>
      </c>
      <c r="F191" s="44" t="s">
        <v>531</v>
      </c>
      <c r="G191" s="46" t="s">
        <v>1007</v>
      </c>
    </row>
    <row r="192" spans="1:7" x14ac:dyDescent="0.35">
      <c r="A192" s="39" t="s">
        <v>1008</v>
      </c>
      <c r="B192" s="40" t="s">
        <v>678</v>
      </c>
      <c r="C192" s="41" t="s">
        <v>1002</v>
      </c>
      <c r="D192" s="40" t="s">
        <v>1009</v>
      </c>
      <c r="E192" s="40" t="s">
        <v>433</v>
      </c>
      <c r="F192" s="40" t="s">
        <v>531</v>
      </c>
      <c r="G192" s="42" t="s">
        <v>1010</v>
      </c>
    </row>
    <row r="193" spans="1:7" x14ac:dyDescent="0.35">
      <c r="A193" s="43" t="s">
        <v>1011</v>
      </c>
      <c r="B193" s="44" t="s">
        <v>678</v>
      </c>
      <c r="C193" s="45" t="s">
        <v>1002</v>
      </c>
      <c r="D193" s="44" t="s">
        <v>243</v>
      </c>
      <c r="E193" s="44" t="s">
        <v>433</v>
      </c>
      <c r="F193" s="44" t="s">
        <v>531</v>
      </c>
      <c r="G193" s="46" t="s">
        <v>1012</v>
      </c>
    </row>
    <row r="194" spans="1:7" x14ac:dyDescent="0.35">
      <c r="A194" s="39" t="s">
        <v>1013</v>
      </c>
      <c r="B194" s="40" t="s">
        <v>678</v>
      </c>
      <c r="C194" s="41" t="s">
        <v>1002</v>
      </c>
      <c r="D194" s="40" t="s">
        <v>352</v>
      </c>
      <c r="E194" s="40" t="s">
        <v>433</v>
      </c>
      <c r="F194" s="40" t="s">
        <v>531</v>
      </c>
      <c r="G194" s="42" t="s">
        <v>1014</v>
      </c>
    </row>
    <row r="195" spans="1:7" x14ac:dyDescent="0.35">
      <c r="A195" s="43" t="s">
        <v>1015</v>
      </c>
      <c r="B195" s="44" t="s">
        <v>678</v>
      </c>
      <c r="C195" s="45" t="s">
        <v>1002</v>
      </c>
      <c r="D195" s="44" t="s">
        <v>1016</v>
      </c>
      <c r="E195" s="44" t="s">
        <v>433</v>
      </c>
      <c r="F195" s="44" t="s">
        <v>531</v>
      </c>
      <c r="G195" s="46" t="s">
        <v>1017</v>
      </c>
    </row>
    <row r="196" spans="1:7" x14ac:dyDescent="0.35">
      <c r="A196" s="39" t="s">
        <v>1018</v>
      </c>
      <c r="B196" s="40" t="s">
        <v>678</v>
      </c>
      <c r="C196" s="41" t="s">
        <v>1002</v>
      </c>
      <c r="D196" s="40" t="s">
        <v>1019</v>
      </c>
      <c r="E196" s="40" t="s">
        <v>433</v>
      </c>
      <c r="F196" s="40" t="s">
        <v>531</v>
      </c>
      <c r="G196" s="42" t="s">
        <v>1020</v>
      </c>
    </row>
    <row r="197" spans="1:7" x14ac:dyDescent="0.35">
      <c r="A197" s="43" t="s">
        <v>1021</v>
      </c>
      <c r="B197" s="44" t="s">
        <v>678</v>
      </c>
      <c r="C197" s="45" t="s">
        <v>1002</v>
      </c>
      <c r="D197" s="44" t="s">
        <v>1022</v>
      </c>
      <c r="E197" s="44" t="s">
        <v>433</v>
      </c>
      <c r="F197" s="44" t="s">
        <v>531</v>
      </c>
      <c r="G197" s="46" t="s">
        <v>1023</v>
      </c>
    </row>
    <row r="198" spans="1:7" x14ac:dyDescent="0.35">
      <c r="A198" s="39" t="s">
        <v>1024</v>
      </c>
      <c r="B198" s="40" t="s">
        <v>1025</v>
      </c>
      <c r="C198" s="41" t="s">
        <v>1026</v>
      </c>
      <c r="D198" s="40" t="s">
        <v>1027</v>
      </c>
      <c r="E198" s="40" t="s">
        <v>1028</v>
      </c>
      <c r="F198" s="40" t="s">
        <v>421</v>
      </c>
      <c r="G198" s="42" t="s">
        <v>1029</v>
      </c>
    </row>
    <row r="199" spans="1:7" x14ac:dyDescent="0.35">
      <c r="A199" s="43" t="s">
        <v>1030</v>
      </c>
      <c r="B199" s="44" t="s">
        <v>1031</v>
      </c>
      <c r="C199" s="45" t="s">
        <v>1026</v>
      </c>
      <c r="D199" s="44" t="s">
        <v>1032</v>
      </c>
      <c r="E199" s="44" t="s">
        <v>1033</v>
      </c>
      <c r="F199" s="44" t="s">
        <v>900</v>
      </c>
      <c r="G199" s="46" t="s">
        <v>1034</v>
      </c>
    </row>
    <row r="200" spans="1:7" x14ac:dyDescent="0.35">
      <c r="A200" s="39" t="s">
        <v>1035</v>
      </c>
      <c r="B200" s="40" t="s">
        <v>183</v>
      </c>
      <c r="C200" s="41" t="s">
        <v>183</v>
      </c>
      <c r="D200" s="40" t="s">
        <v>183</v>
      </c>
      <c r="E200" s="40" t="s">
        <v>183</v>
      </c>
      <c r="F200" s="40" t="s">
        <v>183</v>
      </c>
      <c r="G200" s="42" t="s">
        <v>183</v>
      </c>
    </row>
    <row r="201" spans="1:7" x14ac:dyDescent="0.35">
      <c r="A201" s="43" t="s">
        <v>1036</v>
      </c>
      <c r="B201" s="44" t="s">
        <v>183</v>
      </c>
      <c r="C201" s="45" t="s">
        <v>183</v>
      </c>
      <c r="D201" s="44" t="s">
        <v>183</v>
      </c>
      <c r="E201" s="44" t="s">
        <v>183</v>
      </c>
      <c r="F201" s="44" t="s">
        <v>183</v>
      </c>
      <c r="G201" s="46" t="s">
        <v>183</v>
      </c>
    </row>
    <row r="202" spans="1:7" x14ac:dyDescent="0.35">
      <c r="A202" s="39" t="s">
        <v>1037</v>
      </c>
      <c r="B202" s="40" t="s">
        <v>1038</v>
      </c>
      <c r="C202" s="41" t="s">
        <v>1039</v>
      </c>
      <c r="D202" s="40" t="s">
        <v>1040</v>
      </c>
      <c r="E202" s="40" t="s">
        <v>502</v>
      </c>
      <c r="F202" s="40" t="s">
        <v>280</v>
      </c>
      <c r="G202" s="42" t="s">
        <v>1041</v>
      </c>
    </row>
    <row r="203" spans="1:7" x14ac:dyDescent="0.35">
      <c r="A203" s="43" t="s">
        <v>1042</v>
      </c>
      <c r="B203" s="44" t="s">
        <v>639</v>
      </c>
      <c r="C203" s="45" t="s">
        <v>1043</v>
      </c>
      <c r="D203" s="44" t="s">
        <v>1044</v>
      </c>
      <c r="E203" s="44" t="s">
        <v>221</v>
      </c>
      <c r="F203" s="44" t="s">
        <v>469</v>
      </c>
      <c r="G203" s="46" t="s">
        <v>1045</v>
      </c>
    </row>
    <row r="204" spans="1:7" x14ac:dyDescent="0.35">
      <c r="A204" s="39" t="s">
        <v>1046</v>
      </c>
      <c r="B204" s="40" t="s">
        <v>639</v>
      </c>
      <c r="C204" s="41" t="s">
        <v>1043</v>
      </c>
      <c r="D204" s="40" t="s">
        <v>1047</v>
      </c>
      <c r="E204" s="40" t="s">
        <v>221</v>
      </c>
      <c r="F204" s="40" t="s">
        <v>469</v>
      </c>
      <c r="G204" s="42" t="s">
        <v>1048</v>
      </c>
    </row>
    <row r="205" spans="1:7" x14ac:dyDescent="0.35">
      <c r="A205" s="43" t="s">
        <v>1049</v>
      </c>
      <c r="B205" s="44" t="s">
        <v>605</v>
      </c>
      <c r="C205" s="45" t="s">
        <v>1050</v>
      </c>
      <c r="D205" s="44" t="s">
        <v>1051</v>
      </c>
      <c r="E205" s="44" t="s">
        <v>463</v>
      </c>
      <c r="F205" s="44" t="s">
        <v>433</v>
      </c>
      <c r="G205" s="46" t="s">
        <v>1052</v>
      </c>
    </row>
    <row r="206" spans="1:7" x14ac:dyDescent="0.35">
      <c r="A206" s="39" t="s">
        <v>1053</v>
      </c>
      <c r="B206" s="40" t="s">
        <v>605</v>
      </c>
      <c r="C206" s="41" t="s">
        <v>1050</v>
      </c>
      <c r="D206" s="40" t="s">
        <v>1054</v>
      </c>
      <c r="E206" s="40" t="s">
        <v>463</v>
      </c>
      <c r="F206" s="40" t="s">
        <v>433</v>
      </c>
      <c r="G206" s="42" t="s">
        <v>1055</v>
      </c>
    </row>
    <row r="207" spans="1:7" x14ac:dyDescent="0.35">
      <c r="A207" s="43" t="s">
        <v>1056</v>
      </c>
      <c r="B207" s="44" t="s">
        <v>605</v>
      </c>
      <c r="C207" s="45" t="s">
        <v>1050</v>
      </c>
      <c r="D207" s="44" t="s">
        <v>1057</v>
      </c>
      <c r="E207" s="44" t="s">
        <v>463</v>
      </c>
      <c r="F207" s="44" t="s">
        <v>433</v>
      </c>
      <c r="G207" s="46" t="s">
        <v>1058</v>
      </c>
    </row>
    <row r="208" spans="1:7" x14ac:dyDescent="0.35">
      <c r="A208" s="39" t="s">
        <v>1059</v>
      </c>
      <c r="B208" s="40" t="s">
        <v>1060</v>
      </c>
      <c r="C208" s="41" t="s">
        <v>1061</v>
      </c>
      <c r="D208" s="40" t="s">
        <v>1062</v>
      </c>
      <c r="E208" s="40" t="s">
        <v>551</v>
      </c>
      <c r="F208" s="40" t="s">
        <v>502</v>
      </c>
      <c r="G208" s="42" t="s">
        <v>1063</v>
      </c>
    </row>
    <row r="209" spans="1:7" x14ac:dyDescent="0.35">
      <c r="A209" s="43" t="s">
        <v>1064</v>
      </c>
      <c r="B209" s="44" t="s">
        <v>1065</v>
      </c>
      <c r="C209" s="45" t="s">
        <v>1066</v>
      </c>
      <c r="D209" s="44" t="s">
        <v>378</v>
      </c>
      <c r="E209" s="44" t="s">
        <v>307</v>
      </c>
      <c r="F209" s="44" t="s">
        <v>551</v>
      </c>
      <c r="G209" s="46" t="s">
        <v>1067</v>
      </c>
    </row>
    <row r="210" spans="1:7" x14ac:dyDescent="0.35">
      <c r="A210" s="39" t="s">
        <v>1068</v>
      </c>
      <c r="B210" s="40" t="s">
        <v>1065</v>
      </c>
      <c r="C210" s="41" t="s">
        <v>1066</v>
      </c>
      <c r="D210" s="40" t="s">
        <v>1069</v>
      </c>
      <c r="E210" s="40" t="s">
        <v>307</v>
      </c>
      <c r="F210" s="40" t="s">
        <v>551</v>
      </c>
      <c r="G210" s="42" t="s">
        <v>1070</v>
      </c>
    </row>
    <row r="211" spans="1:7" x14ac:dyDescent="0.35">
      <c r="A211" s="43" t="s">
        <v>1071</v>
      </c>
      <c r="B211" s="44" t="s">
        <v>1065</v>
      </c>
      <c r="C211" s="45" t="s">
        <v>1066</v>
      </c>
      <c r="D211" s="44" t="s">
        <v>1072</v>
      </c>
      <c r="E211" s="44" t="s">
        <v>307</v>
      </c>
      <c r="F211" s="44" t="s">
        <v>551</v>
      </c>
      <c r="G211" s="46" t="s">
        <v>1073</v>
      </c>
    </row>
    <row r="212" spans="1:7" x14ac:dyDescent="0.35">
      <c r="A212" s="39" t="s">
        <v>1074</v>
      </c>
      <c r="B212" s="40" t="s">
        <v>1065</v>
      </c>
      <c r="C212" s="41" t="s">
        <v>1066</v>
      </c>
      <c r="D212" s="40" t="s">
        <v>1075</v>
      </c>
      <c r="E212" s="40" t="s">
        <v>307</v>
      </c>
      <c r="F212" s="40" t="s">
        <v>551</v>
      </c>
      <c r="G212" s="42" t="s">
        <v>1076</v>
      </c>
    </row>
    <row r="213" spans="1:7" x14ac:dyDescent="0.35">
      <c r="A213" s="43" t="s">
        <v>1077</v>
      </c>
      <c r="B213" s="44" t="s">
        <v>1065</v>
      </c>
      <c r="C213" s="45" t="s">
        <v>1066</v>
      </c>
      <c r="D213" s="44" t="s">
        <v>1078</v>
      </c>
      <c r="E213" s="44" t="s">
        <v>307</v>
      </c>
      <c r="F213" s="44" t="s">
        <v>551</v>
      </c>
      <c r="G213" s="46" t="s">
        <v>1079</v>
      </c>
    </row>
    <row r="214" spans="1:7" x14ac:dyDescent="0.35">
      <c r="A214" s="39" t="s">
        <v>1080</v>
      </c>
      <c r="B214" s="40" t="s">
        <v>583</v>
      </c>
      <c r="C214" s="41" t="s">
        <v>1081</v>
      </c>
      <c r="D214" s="40" t="s">
        <v>1082</v>
      </c>
      <c r="E214" s="40" t="s">
        <v>296</v>
      </c>
      <c r="F214" s="40" t="s">
        <v>463</v>
      </c>
      <c r="G214" s="42" t="s">
        <v>1083</v>
      </c>
    </row>
    <row r="215" spans="1:7" x14ac:dyDescent="0.35">
      <c r="A215" s="43" t="s">
        <v>1084</v>
      </c>
      <c r="B215" s="44" t="s">
        <v>583</v>
      </c>
      <c r="C215" s="45" t="s">
        <v>1081</v>
      </c>
      <c r="D215" s="44" t="s">
        <v>1085</v>
      </c>
      <c r="E215" s="44" t="s">
        <v>296</v>
      </c>
      <c r="F215" s="44" t="s">
        <v>463</v>
      </c>
      <c r="G215" s="46" t="s">
        <v>1086</v>
      </c>
    </row>
    <row r="216" spans="1:7" x14ac:dyDescent="0.35">
      <c r="A216" s="39" t="s">
        <v>1087</v>
      </c>
      <c r="B216" s="40" t="s">
        <v>583</v>
      </c>
      <c r="C216" s="41" t="s">
        <v>1081</v>
      </c>
      <c r="D216" s="40" t="s">
        <v>1088</v>
      </c>
      <c r="E216" s="40" t="s">
        <v>296</v>
      </c>
      <c r="F216" s="40" t="s">
        <v>463</v>
      </c>
      <c r="G216" s="42" t="s">
        <v>1089</v>
      </c>
    </row>
    <row r="217" spans="1:7" x14ac:dyDescent="0.35">
      <c r="A217" s="43" t="s">
        <v>1090</v>
      </c>
      <c r="B217" s="44" t="s">
        <v>583</v>
      </c>
      <c r="C217" s="45" t="s">
        <v>1081</v>
      </c>
      <c r="D217" s="44" t="s">
        <v>1091</v>
      </c>
      <c r="E217" s="44" t="s">
        <v>296</v>
      </c>
      <c r="F217" s="44" t="s">
        <v>463</v>
      </c>
      <c r="G217" s="46" t="s">
        <v>1092</v>
      </c>
    </row>
    <row r="218" spans="1:7" x14ac:dyDescent="0.35">
      <c r="A218" s="39" t="s">
        <v>1093</v>
      </c>
      <c r="B218" s="40" t="s">
        <v>583</v>
      </c>
      <c r="C218" s="41" t="s">
        <v>1081</v>
      </c>
      <c r="D218" s="40" t="s">
        <v>1094</v>
      </c>
      <c r="E218" s="40" t="s">
        <v>296</v>
      </c>
      <c r="F218" s="40" t="s">
        <v>463</v>
      </c>
      <c r="G218" s="42" t="s">
        <v>1095</v>
      </c>
    </row>
    <row r="219" spans="1:7" x14ac:dyDescent="0.35">
      <c r="A219" s="43" t="s">
        <v>1096</v>
      </c>
      <c r="B219" s="44" t="s">
        <v>583</v>
      </c>
      <c r="C219" s="45" t="s">
        <v>1081</v>
      </c>
      <c r="D219" s="44" t="s">
        <v>1097</v>
      </c>
      <c r="E219" s="44" t="s">
        <v>296</v>
      </c>
      <c r="F219" s="44" t="s">
        <v>463</v>
      </c>
      <c r="G219" s="46" t="s">
        <v>1098</v>
      </c>
    </row>
    <row r="220" spans="1:7" x14ac:dyDescent="0.35">
      <c r="A220" s="39" t="s">
        <v>1099</v>
      </c>
      <c r="B220" s="40" t="s">
        <v>583</v>
      </c>
      <c r="C220" s="41" t="s">
        <v>1081</v>
      </c>
      <c r="D220" s="40" t="s">
        <v>1100</v>
      </c>
      <c r="E220" s="40" t="s">
        <v>296</v>
      </c>
      <c r="F220" s="40" t="s">
        <v>463</v>
      </c>
      <c r="G220" s="42" t="s">
        <v>1101</v>
      </c>
    </row>
    <row r="221" spans="1:7" x14ac:dyDescent="0.35">
      <c r="A221" s="43" t="s">
        <v>1102</v>
      </c>
      <c r="B221" s="44" t="s">
        <v>583</v>
      </c>
      <c r="C221" s="45" t="s">
        <v>1081</v>
      </c>
      <c r="D221" s="44" t="s">
        <v>1103</v>
      </c>
      <c r="E221" s="44" t="s">
        <v>296</v>
      </c>
      <c r="F221" s="44" t="s">
        <v>463</v>
      </c>
      <c r="G221" s="46" t="s">
        <v>1104</v>
      </c>
    </row>
    <row r="222" spans="1:7" x14ac:dyDescent="0.35">
      <c r="A222" s="39" t="s">
        <v>1105</v>
      </c>
      <c r="B222" s="40" t="s">
        <v>583</v>
      </c>
      <c r="C222" s="41" t="s">
        <v>1081</v>
      </c>
      <c r="D222" s="40" t="s">
        <v>1106</v>
      </c>
      <c r="E222" s="40" t="s">
        <v>296</v>
      </c>
      <c r="F222" s="40" t="s">
        <v>463</v>
      </c>
      <c r="G222" s="42" t="s">
        <v>1107</v>
      </c>
    </row>
    <row r="223" spans="1:7" x14ac:dyDescent="0.35">
      <c r="A223" s="43" t="s">
        <v>1108</v>
      </c>
      <c r="B223" s="44" t="s">
        <v>583</v>
      </c>
      <c r="C223" s="45" t="s">
        <v>1081</v>
      </c>
      <c r="D223" s="44" t="s">
        <v>1109</v>
      </c>
      <c r="E223" s="44" t="s">
        <v>296</v>
      </c>
      <c r="F223" s="44" t="s">
        <v>463</v>
      </c>
      <c r="G223" s="46" t="s">
        <v>1110</v>
      </c>
    </row>
    <row r="224" spans="1:7" x14ac:dyDescent="0.35">
      <c r="A224" s="39" t="s">
        <v>1111</v>
      </c>
      <c r="B224" s="40" t="s">
        <v>583</v>
      </c>
      <c r="C224" s="41" t="s">
        <v>1081</v>
      </c>
      <c r="D224" s="40" t="s">
        <v>1112</v>
      </c>
      <c r="E224" s="40" t="s">
        <v>296</v>
      </c>
      <c r="F224" s="40" t="s">
        <v>463</v>
      </c>
      <c r="G224" s="42" t="s">
        <v>1113</v>
      </c>
    </row>
    <row r="225" spans="1:7" x14ac:dyDescent="0.35">
      <c r="A225" s="43" t="s">
        <v>1114</v>
      </c>
      <c r="B225" s="44" t="s">
        <v>224</v>
      </c>
      <c r="C225" s="45" t="s">
        <v>1115</v>
      </c>
      <c r="D225" s="44" t="s">
        <v>1116</v>
      </c>
      <c r="E225" s="44" t="s">
        <v>433</v>
      </c>
      <c r="F225" s="44" t="s">
        <v>364</v>
      </c>
      <c r="G225" s="46" t="s">
        <v>1117</v>
      </c>
    </row>
    <row r="226" spans="1:7" x14ac:dyDescent="0.35">
      <c r="A226" s="39" t="s">
        <v>1118</v>
      </c>
      <c r="B226" s="40" t="s">
        <v>224</v>
      </c>
      <c r="C226" s="41" t="s">
        <v>1115</v>
      </c>
      <c r="D226" s="40" t="s">
        <v>1119</v>
      </c>
      <c r="E226" s="40" t="s">
        <v>433</v>
      </c>
      <c r="F226" s="40" t="s">
        <v>364</v>
      </c>
      <c r="G226" s="42" t="s">
        <v>1120</v>
      </c>
    </row>
    <row r="227" spans="1:7" x14ac:dyDescent="0.35">
      <c r="A227" s="43" t="s">
        <v>1121</v>
      </c>
      <c r="B227" s="44" t="s">
        <v>224</v>
      </c>
      <c r="C227" s="45" t="s">
        <v>1115</v>
      </c>
      <c r="D227" s="44" t="s">
        <v>1122</v>
      </c>
      <c r="E227" s="44" t="s">
        <v>433</v>
      </c>
      <c r="F227" s="44" t="s">
        <v>364</v>
      </c>
      <c r="G227" s="46" t="s">
        <v>1123</v>
      </c>
    </row>
    <row r="228" spans="1:7" x14ac:dyDescent="0.35">
      <c r="A228" s="39" t="s">
        <v>1124</v>
      </c>
      <c r="B228" s="40" t="s">
        <v>224</v>
      </c>
      <c r="C228" s="41" t="s">
        <v>1115</v>
      </c>
      <c r="D228" s="40" t="s">
        <v>1125</v>
      </c>
      <c r="E228" s="40" t="s">
        <v>433</v>
      </c>
      <c r="F228" s="40" t="s">
        <v>364</v>
      </c>
      <c r="G228" s="42" t="s">
        <v>1126</v>
      </c>
    </row>
    <row r="229" spans="1:7" x14ac:dyDescent="0.35">
      <c r="A229" s="43" t="s">
        <v>1127</v>
      </c>
      <c r="B229" s="44" t="s">
        <v>224</v>
      </c>
      <c r="C229" s="45" t="s">
        <v>1115</v>
      </c>
      <c r="D229" s="44" t="s">
        <v>1128</v>
      </c>
      <c r="E229" s="44" t="s">
        <v>433</v>
      </c>
      <c r="F229" s="44" t="s">
        <v>364</v>
      </c>
      <c r="G229" s="46" t="s">
        <v>1129</v>
      </c>
    </row>
    <row r="230" spans="1:7" x14ac:dyDescent="0.35">
      <c r="A230" s="39" t="s">
        <v>1130</v>
      </c>
      <c r="B230" s="40" t="s">
        <v>224</v>
      </c>
      <c r="C230" s="41" t="s">
        <v>1115</v>
      </c>
      <c r="D230" s="40" t="s">
        <v>1131</v>
      </c>
      <c r="E230" s="40" t="s">
        <v>433</v>
      </c>
      <c r="F230" s="40" t="s">
        <v>364</v>
      </c>
      <c r="G230" s="42" t="s">
        <v>1132</v>
      </c>
    </row>
    <row r="231" spans="1:7" x14ac:dyDescent="0.35">
      <c r="A231" s="43" t="s">
        <v>1133</v>
      </c>
      <c r="B231" s="44" t="s">
        <v>224</v>
      </c>
      <c r="C231" s="45" t="s">
        <v>1115</v>
      </c>
      <c r="D231" s="44" t="s">
        <v>1134</v>
      </c>
      <c r="E231" s="44" t="s">
        <v>433</v>
      </c>
      <c r="F231" s="44" t="s">
        <v>364</v>
      </c>
      <c r="G231" s="46" t="s">
        <v>1135</v>
      </c>
    </row>
    <row r="232" spans="1:7" x14ac:dyDescent="0.35">
      <c r="A232" s="39" t="s">
        <v>1136</v>
      </c>
      <c r="B232" s="40" t="s">
        <v>224</v>
      </c>
      <c r="C232" s="41" t="s">
        <v>1115</v>
      </c>
      <c r="D232" s="40" t="s">
        <v>1137</v>
      </c>
      <c r="E232" s="40" t="s">
        <v>433</v>
      </c>
      <c r="F232" s="40" t="s">
        <v>364</v>
      </c>
      <c r="G232" s="42" t="s">
        <v>1138</v>
      </c>
    </row>
    <row r="233" spans="1:7" x14ac:dyDescent="0.35">
      <c r="A233" s="43" t="s">
        <v>1139</v>
      </c>
      <c r="B233" s="44" t="s">
        <v>224</v>
      </c>
      <c r="C233" s="45" t="s">
        <v>1115</v>
      </c>
      <c r="D233" s="44" t="s">
        <v>1140</v>
      </c>
      <c r="E233" s="44" t="s">
        <v>433</v>
      </c>
      <c r="F233" s="44" t="s">
        <v>364</v>
      </c>
      <c r="G233" s="46" t="s">
        <v>1141</v>
      </c>
    </row>
    <row r="234" spans="1:7" x14ac:dyDescent="0.35">
      <c r="A234" s="39" t="s">
        <v>1142</v>
      </c>
      <c r="B234" s="40" t="s">
        <v>663</v>
      </c>
      <c r="C234" s="41" t="s">
        <v>1143</v>
      </c>
      <c r="D234" s="40" t="s">
        <v>1144</v>
      </c>
      <c r="E234" s="40" t="s">
        <v>389</v>
      </c>
      <c r="F234" s="40" t="s">
        <v>307</v>
      </c>
      <c r="G234" s="42" t="s">
        <v>1145</v>
      </c>
    </row>
    <row r="235" spans="1:7" x14ac:dyDescent="0.35">
      <c r="A235" s="43" t="s">
        <v>1146</v>
      </c>
      <c r="B235" s="44" t="s">
        <v>512</v>
      </c>
      <c r="C235" s="45" t="s">
        <v>1147</v>
      </c>
      <c r="D235" s="44" t="s">
        <v>1148</v>
      </c>
      <c r="E235" s="44" t="s">
        <v>221</v>
      </c>
      <c r="F235" s="44" t="s">
        <v>296</v>
      </c>
      <c r="G235" s="46" t="s">
        <v>1149</v>
      </c>
    </row>
    <row r="236" spans="1:7" x14ac:dyDescent="0.35">
      <c r="A236" s="39" t="s">
        <v>1150</v>
      </c>
      <c r="B236" s="40" t="s">
        <v>512</v>
      </c>
      <c r="C236" s="41" t="s">
        <v>1147</v>
      </c>
      <c r="D236" s="40" t="s">
        <v>1151</v>
      </c>
      <c r="E236" s="40" t="s">
        <v>221</v>
      </c>
      <c r="F236" s="40" t="s">
        <v>296</v>
      </c>
      <c r="G236" s="42" t="s">
        <v>1152</v>
      </c>
    </row>
    <row r="237" spans="1:7" x14ac:dyDescent="0.35">
      <c r="A237" s="43" t="s">
        <v>1153</v>
      </c>
      <c r="B237" s="44" t="s">
        <v>512</v>
      </c>
      <c r="C237" s="45" t="s">
        <v>1147</v>
      </c>
      <c r="D237" s="44" t="s">
        <v>1154</v>
      </c>
      <c r="E237" s="44" t="s">
        <v>221</v>
      </c>
      <c r="F237" s="44" t="s">
        <v>296</v>
      </c>
      <c r="G237" s="46" t="s">
        <v>1155</v>
      </c>
    </row>
    <row r="238" spans="1:7" x14ac:dyDescent="0.35">
      <c r="A238" s="39" t="s">
        <v>1156</v>
      </c>
      <c r="B238" s="40" t="s">
        <v>512</v>
      </c>
      <c r="C238" s="41" t="s">
        <v>1147</v>
      </c>
      <c r="D238" s="40" t="s">
        <v>1157</v>
      </c>
      <c r="E238" s="40" t="s">
        <v>221</v>
      </c>
      <c r="F238" s="40" t="s">
        <v>296</v>
      </c>
      <c r="G238" s="42" t="s">
        <v>1158</v>
      </c>
    </row>
    <row r="239" spans="1:7" x14ac:dyDescent="0.35">
      <c r="A239" s="43" t="s">
        <v>1159</v>
      </c>
      <c r="B239" s="44" t="s">
        <v>512</v>
      </c>
      <c r="C239" s="45" t="s">
        <v>1147</v>
      </c>
      <c r="D239" s="44" t="s">
        <v>1160</v>
      </c>
      <c r="E239" s="44" t="s">
        <v>221</v>
      </c>
      <c r="F239" s="44" t="s">
        <v>296</v>
      </c>
      <c r="G239" s="46" t="s">
        <v>1161</v>
      </c>
    </row>
    <row r="240" spans="1:7" x14ac:dyDescent="0.35">
      <c r="A240" s="39" t="s">
        <v>1162</v>
      </c>
      <c r="B240" s="40" t="s">
        <v>512</v>
      </c>
      <c r="C240" s="41" t="s">
        <v>1147</v>
      </c>
      <c r="D240" s="40" t="s">
        <v>261</v>
      </c>
      <c r="E240" s="40" t="s">
        <v>221</v>
      </c>
      <c r="F240" s="40" t="s">
        <v>296</v>
      </c>
      <c r="G240" s="42" t="s">
        <v>1163</v>
      </c>
    </row>
    <row r="241" spans="1:7" x14ac:dyDescent="0.35">
      <c r="A241" s="43" t="s">
        <v>1164</v>
      </c>
      <c r="B241" s="44" t="s">
        <v>639</v>
      </c>
      <c r="C241" s="45" t="s">
        <v>1165</v>
      </c>
      <c r="D241" s="44" t="s">
        <v>1166</v>
      </c>
      <c r="E241" s="44" t="s">
        <v>307</v>
      </c>
      <c r="F241" s="44" t="s">
        <v>531</v>
      </c>
      <c r="G241" s="46" t="s">
        <v>1167</v>
      </c>
    </row>
    <row r="242" spans="1:7" x14ac:dyDescent="0.35">
      <c r="A242" s="39" t="s">
        <v>1168</v>
      </c>
      <c r="B242" s="40" t="s">
        <v>639</v>
      </c>
      <c r="C242" s="41" t="s">
        <v>1165</v>
      </c>
      <c r="D242" s="40" t="s">
        <v>1169</v>
      </c>
      <c r="E242" s="40" t="s">
        <v>307</v>
      </c>
      <c r="F242" s="40" t="s">
        <v>531</v>
      </c>
      <c r="G242" s="42" t="s">
        <v>1170</v>
      </c>
    </row>
    <row r="243" spans="1:7" x14ac:dyDescent="0.35">
      <c r="A243" s="43" t="s">
        <v>1171</v>
      </c>
      <c r="B243" s="44" t="s">
        <v>639</v>
      </c>
      <c r="C243" s="45" t="s">
        <v>1165</v>
      </c>
      <c r="D243" s="44" t="s">
        <v>1172</v>
      </c>
      <c r="E243" s="44" t="s">
        <v>307</v>
      </c>
      <c r="F243" s="44" t="s">
        <v>531</v>
      </c>
      <c r="G243" s="46" t="s">
        <v>1173</v>
      </c>
    </row>
    <row r="244" spans="1:7" x14ac:dyDescent="0.35">
      <c r="A244" s="39" t="s">
        <v>1174</v>
      </c>
      <c r="B244" s="40" t="s">
        <v>639</v>
      </c>
      <c r="C244" s="41" t="s">
        <v>1165</v>
      </c>
      <c r="D244" s="40" t="s">
        <v>1175</v>
      </c>
      <c r="E244" s="40" t="s">
        <v>307</v>
      </c>
      <c r="F244" s="40" t="s">
        <v>531</v>
      </c>
      <c r="G244" s="42" t="s">
        <v>1176</v>
      </c>
    </row>
    <row r="245" spans="1:7" x14ac:dyDescent="0.35">
      <c r="A245" s="43" t="s">
        <v>1177</v>
      </c>
      <c r="B245" s="44" t="s">
        <v>639</v>
      </c>
      <c r="C245" s="45" t="s">
        <v>1165</v>
      </c>
      <c r="D245" s="44" t="s">
        <v>1178</v>
      </c>
      <c r="E245" s="44" t="s">
        <v>307</v>
      </c>
      <c r="F245" s="44" t="s">
        <v>531</v>
      </c>
      <c r="G245" s="46" t="s">
        <v>1179</v>
      </c>
    </row>
    <row r="246" spans="1:7" x14ac:dyDescent="0.35">
      <c r="A246" s="39" t="s">
        <v>1180</v>
      </c>
      <c r="B246" s="40" t="s">
        <v>747</v>
      </c>
      <c r="C246" s="41" t="s">
        <v>1181</v>
      </c>
      <c r="D246" s="40" t="s">
        <v>1182</v>
      </c>
      <c r="E246" s="40" t="s">
        <v>433</v>
      </c>
      <c r="F246" s="40" t="s">
        <v>389</v>
      </c>
      <c r="G246" s="42" t="s">
        <v>1183</v>
      </c>
    </row>
    <row r="247" spans="1:7" x14ac:dyDescent="0.35">
      <c r="A247" s="43" t="s">
        <v>1184</v>
      </c>
      <c r="B247" s="44" t="s">
        <v>747</v>
      </c>
      <c r="C247" s="45" t="s">
        <v>1181</v>
      </c>
      <c r="D247" s="44" t="s">
        <v>1185</v>
      </c>
      <c r="E247" s="44" t="s">
        <v>433</v>
      </c>
      <c r="F247" s="44" t="s">
        <v>389</v>
      </c>
      <c r="G247" s="46" t="s">
        <v>1186</v>
      </c>
    </row>
    <row r="248" spans="1:7" x14ac:dyDescent="0.35">
      <c r="A248" s="39" t="s">
        <v>1187</v>
      </c>
      <c r="B248" s="40" t="s">
        <v>747</v>
      </c>
      <c r="C248" s="41" t="s">
        <v>1181</v>
      </c>
      <c r="D248" s="40" t="s">
        <v>1188</v>
      </c>
      <c r="E248" s="40" t="s">
        <v>433</v>
      </c>
      <c r="F248" s="40" t="s">
        <v>389</v>
      </c>
      <c r="G248" s="42" t="s">
        <v>1189</v>
      </c>
    </row>
    <row r="249" spans="1:7" x14ac:dyDescent="0.35">
      <c r="A249" s="43" t="s">
        <v>1190</v>
      </c>
      <c r="B249" s="44" t="s">
        <v>747</v>
      </c>
      <c r="C249" s="45" t="s">
        <v>1181</v>
      </c>
      <c r="D249" s="44" t="s">
        <v>1191</v>
      </c>
      <c r="E249" s="44" t="s">
        <v>433</v>
      </c>
      <c r="F249" s="44" t="s">
        <v>389</v>
      </c>
      <c r="G249" s="46" t="s">
        <v>1192</v>
      </c>
    </row>
    <row r="250" spans="1:7" x14ac:dyDescent="0.35">
      <c r="A250" s="39" t="s">
        <v>1193</v>
      </c>
      <c r="B250" s="40" t="s">
        <v>747</v>
      </c>
      <c r="C250" s="41" t="s">
        <v>1181</v>
      </c>
      <c r="D250" s="40" t="s">
        <v>1194</v>
      </c>
      <c r="E250" s="40" t="s">
        <v>433</v>
      </c>
      <c r="F250" s="40" t="s">
        <v>389</v>
      </c>
      <c r="G250" s="42" t="s">
        <v>1195</v>
      </c>
    </row>
    <row r="251" spans="1:7" x14ac:dyDescent="0.35">
      <c r="A251" s="43" t="s">
        <v>1196</v>
      </c>
      <c r="B251" s="44" t="s">
        <v>747</v>
      </c>
      <c r="C251" s="45" t="s">
        <v>1181</v>
      </c>
      <c r="D251" s="44" t="s">
        <v>1197</v>
      </c>
      <c r="E251" s="44" t="s">
        <v>433</v>
      </c>
      <c r="F251" s="44" t="s">
        <v>389</v>
      </c>
      <c r="G251" s="46" t="s">
        <v>1198</v>
      </c>
    </row>
    <row r="252" spans="1:7" x14ac:dyDescent="0.35">
      <c r="A252" s="39" t="s">
        <v>1199</v>
      </c>
      <c r="B252" s="40" t="s">
        <v>747</v>
      </c>
      <c r="C252" s="41" t="s">
        <v>1181</v>
      </c>
      <c r="D252" s="40" t="s">
        <v>1200</v>
      </c>
      <c r="E252" s="40" t="s">
        <v>433</v>
      </c>
      <c r="F252" s="40" t="s">
        <v>389</v>
      </c>
      <c r="G252" s="42" t="s">
        <v>1201</v>
      </c>
    </row>
    <row r="253" spans="1:7" x14ac:dyDescent="0.35">
      <c r="A253" s="43" t="s">
        <v>1202</v>
      </c>
      <c r="B253" s="44" t="s">
        <v>747</v>
      </c>
      <c r="C253" s="45" t="s">
        <v>1181</v>
      </c>
      <c r="D253" s="44" t="s">
        <v>1203</v>
      </c>
      <c r="E253" s="44" t="s">
        <v>433</v>
      </c>
      <c r="F253" s="44" t="s">
        <v>389</v>
      </c>
      <c r="G253" s="46" t="s">
        <v>1204</v>
      </c>
    </row>
    <row r="254" spans="1:7" x14ac:dyDescent="0.35">
      <c r="A254" s="39" t="s">
        <v>1205</v>
      </c>
      <c r="B254" s="40" t="s">
        <v>734</v>
      </c>
      <c r="C254" s="41" t="s">
        <v>1206</v>
      </c>
      <c r="D254" s="40" t="s">
        <v>1207</v>
      </c>
      <c r="E254" s="40" t="s">
        <v>296</v>
      </c>
      <c r="F254" s="40" t="s">
        <v>502</v>
      </c>
      <c r="G254" s="42" t="s">
        <v>1208</v>
      </c>
    </row>
    <row r="255" spans="1:7" x14ac:dyDescent="0.35">
      <c r="A255" s="43" t="s">
        <v>1209</v>
      </c>
      <c r="B255" s="44" t="s">
        <v>734</v>
      </c>
      <c r="C255" s="45" t="s">
        <v>1206</v>
      </c>
      <c r="D255" s="44" t="s">
        <v>1210</v>
      </c>
      <c r="E255" s="44" t="s">
        <v>296</v>
      </c>
      <c r="F255" s="44" t="s">
        <v>502</v>
      </c>
      <c r="G255" s="46" t="s">
        <v>1211</v>
      </c>
    </row>
    <row r="256" spans="1:7" x14ac:dyDescent="0.35">
      <c r="A256" s="39" t="s">
        <v>1212</v>
      </c>
      <c r="B256" s="40" t="s">
        <v>734</v>
      </c>
      <c r="C256" s="41" t="s">
        <v>1206</v>
      </c>
      <c r="D256" s="40" t="s">
        <v>1213</v>
      </c>
      <c r="E256" s="40" t="s">
        <v>296</v>
      </c>
      <c r="F256" s="40" t="s">
        <v>502</v>
      </c>
      <c r="G256" s="42" t="s">
        <v>1214</v>
      </c>
    </row>
    <row r="257" spans="1:7" x14ac:dyDescent="0.35">
      <c r="A257" s="43" t="s">
        <v>1215</v>
      </c>
      <c r="B257" s="44" t="s">
        <v>734</v>
      </c>
      <c r="C257" s="45" t="s">
        <v>1206</v>
      </c>
      <c r="D257" s="44" t="s">
        <v>1216</v>
      </c>
      <c r="E257" s="44" t="s">
        <v>296</v>
      </c>
      <c r="F257" s="44" t="s">
        <v>502</v>
      </c>
      <c r="G257" s="46" t="s">
        <v>1217</v>
      </c>
    </row>
    <row r="258" spans="1:7" x14ac:dyDescent="0.35">
      <c r="A258" s="39" t="s">
        <v>1218</v>
      </c>
      <c r="B258" s="40" t="s">
        <v>734</v>
      </c>
      <c r="C258" s="41" t="s">
        <v>1206</v>
      </c>
      <c r="D258" s="40" t="s">
        <v>1219</v>
      </c>
      <c r="E258" s="40" t="s">
        <v>296</v>
      </c>
      <c r="F258" s="40" t="s">
        <v>502</v>
      </c>
      <c r="G258" s="42" t="s">
        <v>1220</v>
      </c>
    </row>
    <row r="259" spans="1:7" x14ac:dyDescent="0.35">
      <c r="A259" s="43" t="s">
        <v>1221</v>
      </c>
      <c r="B259" s="44" t="s">
        <v>734</v>
      </c>
      <c r="C259" s="45" t="s">
        <v>1206</v>
      </c>
      <c r="D259" s="44" t="s">
        <v>1222</v>
      </c>
      <c r="E259" s="44" t="s">
        <v>296</v>
      </c>
      <c r="F259" s="44" t="s">
        <v>502</v>
      </c>
      <c r="G259" s="46" t="s">
        <v>1223</v>
      </c>
    </row>
    <row r="260" spans="1:7" x14ac:dyDescent="0.35">
      <c r="A260" s="39" t="s">
        <v>1224</v>
      </c>
      <c r="B260" s="40" t="s">
        <v>734</v>
      </c>
      <c r="C260" s="41" t="s">
        <v>1206</v>
      </c>
      <c r="D260" s="40" t="s">
        <v>1225</v>
      </c>
      <c r="E260" s="40" t="s">
        <v>296</v>
      </c>
      <c r="F260" s="40" t="s">
        <v>502</v>
      </c>
      <c r="G260" s="42" t="s">
        <v>1226</v>
      </c>
    </row>
    <row r="261" spans="1:7" x14ac:dyDescent="0.35">
      <c r="A261" s="43" t="s">
        <v>1227</v>
      </c>
      <c r="B261" s="44" t="s">
        <v>734</v>
      </c>
      <c r="C261" s="45" t="s">
        <v>1206</v>
      </c>
      <c r="D261" s="44" t="s">
        <v>1228</v>
      </c>
      <c r="E261" s="44" t="s">
        <v>296</v>
      </c>
      <c r="F261" s="44" t="s">
        <v>502</v>
      </c>
      <c r="G261" s="46" t="s">
        <v>1229</v>
      </c>
    </row>
    <row r="262" spans="1:7" x14ac:dyDescent="0.35">
      <c r="A262" s="39" t="s">
        <v>1230</v>
      </c>
      <c r="B262" s="40" t="s">
        <v>734</v>
      </c>
      <c r="C262" s="41" t="s">
        <v>1206</v>
      </c>
      <c r="D262" s="40" t="s">
        <v>1231</v>
      </c>
      <c r="E262" s="40" t="s">
        <v>296</v>
      </c>
      <c r="F262" s="40" t="s">
        <v>502</v>
      </c>
      <c r="G262" s="42" t="s">
        <v>1232</v>
      </c>
    </row>
    <row r="263" spans="1:7" x14ac:dyDescent="0.35">
      <c r="A263" s="43" t="s">
        <v>1233</v>
      </c>
      <c r="B263" s="44" t="s">
        <v>734</v>
      </c>
      <c r="C263" s="45" t="s">
        <v>1206</v>
      </c>
      <c r="D263" s="44" t="s">
        <v>1234</v>
      </c>
      <c r="E263" s="44" t="s">
        <v>296</v>
      </c>
      <c r="F263" s="44" t="s">
        <v>502</v>
      </c>
      <c r="G263" s="46" t="s">
        <v>1235</v>
      </c>
    </row>
    <row r="264" spans="1:7" x14ac:dyDescent="0.35">
      <c r="A264" s="39" t="s">
        <v>1236</v>
      </c>
      <c r="B264" s="40" t="s">
        <v>734</v>
      </c>
      <c r="C264" s="41" t="s">
        <v>1206</v>
      </c>
      <c r="D264" s="40" t="s">
        <v>1237</v>
      </c>
      <c r="E264" s="40" t="s">
        <v>296</v>
      </c>
      <c r="F264" s="40" t="s">
        <v>502</v>
      </c>
      <c r="G264" s="42" t="s">
        <v>1238</v>
      </c>
    </row>
    <row r="265" spans="1:7" x14ac:dyDescent="0.35">
      <c r="A265" s="43" t="s">
        <v>1239</v>
      </c>
      <c r="B265" s="44" t="s">
        <v>734</v>
      </c>
      <c r="C265" s="45" t="s">
        <v>1206</v>
      </c>
      <c r="D265" s="44" t="s">
        <v>1240</v>
      </c>
      <c r="E265" s="44" t="s">
        <v>296</v>
      </c>
      <c r="F265" s="44" t="s">
        <v>502</v>
      </c>
      <c r="G265" s="46" t="s">
        <v>1241</v>
      </c>
    </row>
    <row r="266" spans="1:7" x14ac:dyDescent="0.35">
      <c r="A266" s="39" t="s">
        <v>1242</v>
      </c>
      <c r="B266" s="40" t="s">
        <v>734</v>
      </c>
      <c r="C266" s="41" t="s">
        <v>1206</v>
      </c>
      <c r="D266" s="40" t="s">
        <v>1243</v>
      </c>
      <c r="E266" s="40" t="s">
        <v>296</v>
      </c>
      <c r="F266" s="40" t="s">
        <v>502</v>
      </c>
      <c r="G266" s="42" t="s">
        <v>1244</v>
      </c>
    </row>
    <row r="267" spans="1:7" x14ac:dyDescent="0.35">
      <c r="A267" s="43" t="s">
        <v>1245</v>
      </c>
      <c r="B267" s="44" t="s">
        <v>734</v>
      </c>
      <c r="C267" s="45" t="s">
        <v>1206</v>
      </c>
      <c r="D267" s="44" t="s">
        <v>1246</v>
      </c>
      <c r="E267" s="44" t="s">
        <v>296</v>
      </c>
      <c r="F267" s="44" t="s">
        <v>502</v>
      </c>
      <c r="G267" s="46" t="s">
        <v>1247</v>
      </c>
    </row>
    <row r="268" spans="1:7" x14ac:dyDescent="0.35">
      <c r="A268" s="39" t="s">
        <v>1248</v>
      </c>
      <c r="B268" s="40" t="s">
        <v>734</v>
      </c>
      <c r="C268" s="41" t="s">
        <v>1206</v>
      </c>
      <c r="D268" s="40" t="s">
        <v>1249</v>
      </c>
      <c r="E268" s="40" t="s">
        <v>296</v>
      </c>
      <c r="F268" s="40" t="s">
        <v>502</v>
      </c>
      <c r="G268" s="42" t="s">
        <v>1250</v>
      </c>
    </row>
    <row r="269" spans="1:7" x14ac:dyDescent="0.35">
      <c r="A269" s="43" t="s">
        <v>1251</v>
      </c>
      <c r="B269" s="44" t="s">
        <v>734</v>
      </c>
      <c r="C269" s="45" t="s">
        <v>1206</v>
      </c>
      <c r="D269" s="44" t="s">
        <v>1252</v>
      </c>
      <c r="E269" s="44" t="s">
        <v>296</v>
      </c>
      <c r="F269" s="44" t="s">
        <v>502</v>
      </c>
      <c r="G269" s="46" t="s">
        <v>1253</v>
      </c>
    </row>
    <row r="270" spans="1:7" x14ac:dyDescent="0.35">
      <c r="A270" s="39" t="s">
        <v>1254</v>
      </c>
      <c r="B270" s="40" t="s">
        <v>734</v>
      </c>
      <c r="C270" s="41" t="s">
        <v>1206</v>
      </c>
      <c r="D270" s="40" t="s">
        <v>1255</v>
      </c>
      <c r="E270" s="40" t="s">
        <v>296</v>
      </c>
      <c r="F270" s="40" t="s">
        <v>502</v>
      </c>
      <c r="G270" s="42" t="s">
        <v>1256</v>
      </c>
    </row>
    <row r="271" spans="1:7" x14ac:dyDescent="0.35">
      <c r="A271" s="43" t="s">
        <v>1257</v>
      </c>
      <c r="B271" s="44" t="s">
        <v>734</v>
      </c>
      <c r="C271" s="45" t="s">
        <v>1206</v>
      </c>
      <c r="D271" s="44" t="s">
        <v>1258</v>
      </c>
      <c r="E271" s="44" t="s">
        <v>296</v>
      </c>
      <c r="F271" s="44" t="s">
        <v>502</v>
      </c>
      <c r="G271" s="46" t="s">
        <v>1259</v>
      </c>
    </row>
    <row r="272" spans="1:7" x14ac:dyDescent="0.35">
      <c r="A272" s="39" t="s">
        <v>1260</v>
      </c>
      <c r="B272" s="40" t="s">
        <v>734</v>
      </c>
      <c r="C272" s="41" t="s">
        <v>1206</v>
      </c>
      <c r="D272" s="40" t="s">
        <v>1261</v>
      </c>
      <c r="E272" s="40" t="s">
        <v>296</v>
      </c>
      <c r="F272" s="40" t="s">
        <v>502</v>
      </c>
      <c r="G272" s="42" t="s">
        <v>1262</v>
      </c>
    </row>
    <row r="273" spans="1:7" x14ac:dyDescent="0.35">
      <c r="A273" s="43" t="s">
        <v>1263</v>
      </c>
      <c r="B273" s="44" t="s">
        <v>734</v>
      </c>
      <c r="C273" s="45" t="s">
        <v>1206</v>
      </c>
      <c r="D273" s="44" t="s">
        <v>1264</v>
      </c>
      <c r="E273" s="44" t="s">
        <v>296</v>
      </c>
      <c r="F273" s="44" t="s">
        <v>502</v>
      </c>
      <c r="G273" s="46" t="s">
        <v>1265</v>
      </c>
    </row>
    <row r="274" spans="1:7" x14ac:dyDescent="0.35">
      <c r="A274" s="39" t="s">
        <v>1266</v>
      </c>
      <c r="B274" s="40" t="s">
        <v>734</v>
      </c>
      <c r="C274" s="41" t="s">
        <v>1206</v>
      </c>
      <c r="D274" s="40" t="s">
        <v>1267</v>
      </c>
      <c r="E274" s="40" t="s">
        <v>296</v>
      </c>
      <c r="F274" s="40" t="s">
        <v>502</v>
      </c>
      <c r="G274" s="42" t="s">
        <v>1268</v>
      </c>
    </row>
    <row r="275" spans="1:7" x14ac:dyDescent="0.35">
      <c r="A275" s="43" t="s">
        <v>1269</v>
      </c>
      <c r="B275" s="44" t="s">
        <v>734</v>
      </c>
      <c r="C275" s="45" t="s">
        <v>1206</v>
      </c>
      <c r="D275" s="44" t="s">
        <v>1270</v>
      </c>
      <c r="E275" s="44" t="s">
        <v>296</v>
      </c>
      <c r="F275" s="44" t="s">
        <v>502</v>
      </c>
      <c r="G275" s="46" t="s">
        <v>1271</v>
      </c>
    </row>
    <row r="276" spans="1:7" x14ac:dyDescent="0.35">
      <c r="A276" s="39" t="s">
        <v>1272</v>
      </c>
      <c r="B276" s="40" t="s">
        <v>734</v>
      </c>
      <c r="C276" s="41" t="s">
        <v>1206</v>
      </c>
      <c r="D276" s="40" t="s">
        <v>1273</v>
      </c>
      <c r="E276" s="40" t="s">
        <v>296</v>
      </c>
      <c r="F276" s="40" t="s">
        <v>502</v>
      </c>
      <c r="G276" s="42" t="s">
        <v>1274</v>
      </c>
    </row>
    <row r="277" spans="1:7" x14ac:dyDescent="0.35">
      <c r="A277" s="43" t="s">
        <v>1275</v>
      </c>
      <c r="B277" s="44" t="s">
        <v>734</v>
      </c>
      <c r="C277" s="45" t="s">
        <v>1206</v>
      </c>
      <c r="D277" s="44" t="s">
        <v>1276</v>
      </c>
      <c r="E277" s="44" t="s">
        <v>296</v>
      </c>
      <c r="F277" s="44" t="s">
        <v>502</v>
      </c>
      <c r="G277" s="46" t="s">
        <v>1277</v>
      </c>
    </row>
    <row r="278" spans="1:7" x14ac:dyDescent="0.35">
      <c r="A278" s="39" t="s">
        <v>1278</v>
      </c>
      <c r="B278" s="40" t="s">
        <v>734</v>
      </c>
      <c r="C278" s="41" t="s">
        <v>1206</v>
      </c>
      <c r="D278" s="40" t="s">
        <v>1279</v>
      </c>
      <c r="E278" s="40" t="s">
        <v>296</v>
      </c>
      <c r="F278" s="40" t="s">
        <v>502</v>
      </c>
      <c r="G278" s="42" t="s">
        <v>1280</v>
      </c>
    </row>
    <row r="279" spans="1:7" x14ac:dyDescent="0.35">
      <c r="A279" s="43" t="s">
        <v>1281</v>
      </c>
      <c r="B279" s="44" t="s">
        <v>734</v>
      </c>
      <c r="C279" s="45" t="s">
        <v>1206</v>
      </c>
      <c r="D279" s="44" t="s">
        <v>1282</v>
      </c>
      <c r="E279" s="44" t="s">
        <v>296</v>
      </c>
      <c r="F279" s="44" t="s">
        <v>502</v>
      </c>
      <c r="G279" s="46" t="s">
        <v>1283</v>
      </c>
    </row>
    <row r="280" spans="1:7" x14ac:dyDescent="0.35">
      <c r="A280" s="39" t="s">
        <v>1284</v>
      </c>
      <c r="B280" s="40" t="s">
        <v>734</v>
      </c>
      <c r="C280" s="41" t="s">
        <v>1206</v>
      </c>
      <c r="D280" s="40" t="s">
        <v>1285</v>
      </c>
      <c r="E280" s="40" t="s">
        <v>296</v>
      </c>
      <c r="F280" s="40" t="s">
        <v>502</v>
      </c>
      <c r="G280" s="42" t="s">
        <v>1286</v>
      </c>
    </row>
    <row r="281" spans="1:7" x14ac:dyDescent="0.35">
      <c r="A281" s="43" t="s">
        <v>1287</v>
      </c>
      <c r="B281" s="44" t="s">
        <v>734</v>
      </c>
      <c r="C281" s="45" t="s">
        <v>1206</v>
      </c>
      <c r="D281" s="44" t="s">
        <v>1288</v>
      </c>
      <c r="E281" s="44" t="s">
        <v>296</v>
      </c>
      <c r="F281" s="44" t="s">
        <v>502</v>
      </c>
      <c r="G281" s="46" t="s">
        <v>1289</v>
      </c>
    </row>
    <row r="282" spans="1:7" x14ac:dyDescent="0.35">
      <c r="A282" s="39" t="s">
        <v>1290</v>
      </c>
      <c r="B282" s="40" t="s">
        <v>734</v>
      </c>
      <c r="C282" s="41" t="s">
        <v>1206</v>
      </c>
      <c r="D282" s="40" t="s">
        <v>1291</v>
      </c>
      <c r="E282" s="40" t="s">
        <v>296</v>
      </c>
      <c r="F282" s="40" t="s">
        <v>502</v>
      </c>
      <c r="G282" s="42" t="s">
        <v>1292</v>
      </c>
    </row>
    <row r="283" spans="1:7" x14ac:dyDescent="0.35">
      <c r="A283" s="43" t="s">
        <v>1293</v>
      </c>
      <c r="B283" s="44" t="s">
        <v>734</v>
      </c>
      <c r="C283" s="45" t="s">
        <v>1206</v>
      </c>
      <c r="D283" s="44" t="s">
        <v>1294</v>
      </c>
      <c r="E283" s="44" t="s">
        <v>296</v>
      </c>
      <c r="F283" s="44" t="s">
        <v>502</v>
      </c>
      <c r="G283" s="46" t="s">
        <v>1295</v>
      </c>
    </row>
    <row r="284" spans="1:7" x14ac:dyDescent="0.35">
      <c r="A284" s="39" t="s">
        <v>1296</v>
      </c>
      <c r="B284" s="40" t="s">
        <v>734</v>
      </c>
      <c r="C284" s="41" t="s">
        <v>1206</v>
      </c>
      <c r="D284" s="40" t="s">
        <v>267</v>
      </c>
      <c r="E284" s="40" t="s">
        <v>296</v>
      </c>
      <c r="F284" s="40" t="s">
        <v>502</v>
      </c>
      <c r="G284" s="42" t="s">
        <v>1297</v>
      </c>
    </row>
    <row r="285" spans="1:7" x14ac:dyDescent="0.35">
      <c r="A285" s="43" t="s">
        <v>1298</v>
      </c>
      <c r="B285" s="44" t="s">
        <v>734</v>
      </c>
      <c r="C285" s="45" t="s">
        <v>1206</v>
      </c>
      <c r="D285" s="44" t="s">
        <v>1299</v>
      </c>
      <c r="E285" s="44" t="s">
        <v>296</v>
      </c>
      <c r="F285" s="44" t="s">
        <v>502</v>
      </c>
      <c r="G285" s="46" t="s">
        <v>1300</v>
      </c>
    </row>
    <row r="286" spans="1:7" x14ac:dyDescent="0.35">
      <c r="A286" s="39" t="s">
        <v>1301</v>
      </c>
      <c r="B286" s="40" t="s">
        <v>734</v>
      </c>
      <c r="C286" s="41" t="s">
        <v>1206</v>
      </c>
      <c r="D286" s="40" t="s">
        <v>221</v>
      </c>
      <c r="E286" s="40" t="s">
        <v>296</v>
      </c>
      <c r="F286" s="40" t="s">
        <v>502</v>
      </c>
      <c r="G286" s="42" t="s">
        <v>1302</v>
      </c>
    </row>
    <row r="287" spans="1:7" x14ac:dyDescent="0.35">
      <c r="A287" s="43" t="s">
        <v>1303</v>
      </c>
      <c r="B287" s="44" t="s">
        <v>734</v>
      </c>
      <c r="C287" s="45" t="s">
        <v>1206</v>
      </c>
      <c r="D287" s="44" t="s">
        <v>1304</v>
      </c>
      <c r="E287" s="44" t="s">
        <v>296</v>
      </c>
      <c r="F287" s="44" t="s">
        <v>502</v>
      </c>
      <c r="G287" s="46" t="s">
        <v>1305</v>
      </c>
    </row>
    <row r="288" spans="1:7" x14ac:dyDescent="0.35">
      <c r="A288" s="39" t="s">
        <v>1306</v>
      </c>
      <c r="B288" s="40" t="s">
        <v>734</v>
      </c>
      <c r="C288" s="41" t="s">
        <v>1206</v>
      </c>
      <c r="D288" s="40" t="s">
        <v>1307</v>
      </c>
      <c r="E288" s="40" t="s">
        <v>296</v>
      </c>
      <c r="F288" s="40" t="s">
        <v>502</v>
      </c>
      <c r="G288" s="42" t="s">
        <v>1308</v>
      </c>
    </row>
    <row r="289" spans="1:7" x14ac:dyDescent="0.35">
      <c r="A289" s="43" t="s">
        <v>1309</v>
      </c>
      <c r="B289" s="44" t="s">
        <v>734</v>
      </c>
      <c r="C289" s="45" t="s">
        <v>1206</v>
      </c>
      <c r="D289" s="44" t="s">
        <v>1310</v>
      </c>
      <c r="E289" s="44" t="s">
        <v>296</v>
      </c>
      <c r="F289" s="44" t="s">
        <v>502</v>
      </c>
      <c r="G289" s="46" t="s">
        <v>1311</v>
      </c>
    </row>
    <row r="290" spans="1:7" x14ac:dyDescent="0.35">
      <c r="A290" s="39" t="s">
        <v>1312</v>
      </c>
      <c r="B290" s="40" t="s">
        <v>734</v>
      </c>
      <c r="C290" s="41" t="s">
        <v>1206</v>
      </c>
      <c r="D290" s="40" t="s">
        <v>1313</v>
      </c>
      <c r="E290" s="40" t="s">
        <v>296</v>
      </c>
      <c r="F290" s="40" t="s">
        <v>502</v>
      </c>
      <c r="G290" s="42" t="s">
        <v>1314</v>
      </c>
    </row>
    <row r="291" spans="1:7" x14ac:dyDescent="0.35">
      <c r="A291" s="43" t="s">
        <v>1315</v>
      </c>
      <c r="B291" s="44" t="s">
        <v>488</v>
      </c>
      <c r="C291" s="45" t="s">
        <v>1316</v>
      </c>
      <c r="D291" s="44" t="s">
        <v>1317</v>
      </c>
      <c r="E291" s="44" t="s">
        <v>502</v>
      </c>
      <c r="F291" s="44" t="s">
        <v>433</v>
      </c>
      <c r="G291" s="46" t="s">
        <v>1318</v>
      </c>
    </row>
    <row r="292" spans="1:7" x14ac:dyDescent="0.35">
      <c r="A292" s="39" t="s">
        <v>1319</v>
      </c>
      <c r="B292" s="40" t="s">
        <v>488</v>
      </c>
      <c r="C292" s="41" t="s">
        <v>1316</v>
      </c>
      <c r="D292" s="40" t="s">
        <v>1320</v>
      </c>
      <c r="E292" s="40" t="s">
        <v>502</v>
      </c>
      <c r="F292" s="40" t="s">
        <v>433</v>
      </c>
      <c r="G292" s="42" t="s">
        <v>1321</v>
      </c>
    </row>
    <row r="293" spans="1:7" x14ac:dyDescent="0.35">
      <c r="A293" s="43" t="s">
        <v>1322</v>
      </c>
      <c r="B293" s="44" t="s">
        <v>605</v>
      </c>
      <c r="C293" s="45" t="s">
        <v>1323</v>
      </c>
      <c r="D293" s="44" t="s">
        <v>1324</v>
      </c>
      <c r="E293" s="44" t="s">
        <v>307</v>
      </c>
      <c r="F293" s="44" t="s">
        <v>296</v>
      </c>
      <c r="G293" s="46" t="s">
        <v>1325</v>
      </c>
    </row>
    <row r="294" spans="1:7" x14ac:dyDescent="0.35">
      <c r="A294" s="39" t="s">
        <v>1326</v>
      </c>
      <c r="B294" s="40" t="s">
        <v>605</v>
      </c>
      <c r="C294" s="41" t="s">
        <v>1323</v>
      </c>
      <c r="D294" s="40" t="s">
        <v>1327</v>
      </c>
      <c r="E294" s="40" t="s">
        <v>307</v>
      </c>
      <c r="F294" s="40" t="s">
        <v>296</v>
      </c>
      <c r="G294" s="42" t="s">
        <v>1328</v>
      </c>
    </row>
    <row r="295" spans="1:7" x14ac:dyDescent="0.35">
      <c r="A295" s="43" t="s">
        <v>1329</v>
      </c>
      <c r="B295" s="44" t="s">
        <v>605</v>
      </c>
      <c r="C295" s="45" t="s">
        <v>1323</v>
      </c>
      <c r="D295" s="44" t="s">
        <v>1330</v>
      </c>
      <c r="E295" s="44" t="s">
        <v>307</v>
      </c>
      <c r="F295" s="44" t="s">
        <v>296</v>
      </c>
      <c r="G295" s="46" t="s">
        <v>1331</v>
      </c>
    </row>
    <row r="296" spans="1:7" x14ac:dyDescent="0.35">
      <c r="A296" s="39" t="s">
        <v>1332</v>
      </c>
      <c r="B296" s="40" t="s">
        <v>605</v>
      </c>
      <c r="C296" s="41" t="s">
        <v>1323</v>
      </c>
      <c r="D296" s="40" t="s">
        <v>1333</v>
      </c>
      <c r="E296" s="40" t="s">
        <v>307</v>
      </c>
      <c r="F296" s="40" t="s">
        <v>296</v>
      </c>
      <c r="G296" s="42" t="s">
        <v>1334</v>
      </c>
    </row>
    <row r="297" spans="1:7" x14ac:dyDescent="0.35">
      <c r="A297" s="43" t="s">
        <v>1335</v>
      </c>
      <c r="B297" s="44" t="s">
        <v>605</v>
      </c>
      <c r="C297" s="45" t="s">
        <v>1323</v>
      </c>
      <c r="D297" s="44" t="s">
        <v>1336</v>
      </c>
      <c r="E297" s="44" t="s">
        <v>307</v>
      </c>
      <c r="F297" s="44" t="s">
        <v>296</v>
      </c>
      <c r="G297" s="46" t="s">
        <v>1337</v>
      </c>
    </row>
    <row r="298" spans="1:7" x14ac:dyDescent="0.35">
      <c r="A298" s="39" t="s">
        <v>1338</v>
      </c>
      <c r="B298" s="40" t="s">
        <v>605</v>
      </c>
      <c r="C298" s="41" t="s">
        <v>1323</v>
      </c>
      <c r="D298" s="40" t="s">
        <v>1339</v>
      </c>
      <c r="E298" s="40" t="s">
        <v>307</v>
      </c>
      <c r="F298" s="40" t="s">
        <v>296</v>
      </c>
      <c r="G298" s="42" t="s">
        <v>1340</v>
      </c>
    </row>
    <row r="299" spans="1:7" x14ac:dyDescent="0.35">
      <c r="A299" s="43" t="s">
        <v>1341</v>
      </c>
      <c r="B299" s="44" t="s">
        <v>605</v>
      </c>
      <c r="C299" s="45" t="s">
        <v>1323</v>
      </c>
      <c r="D299" s="44" t="s">
        <v>1342</v>
      </c>
      <c r="E299" s="44" t="s">
        <v>307</v>
      </c>
      <c r="F299" s="44" t="s">
        <v>296</v>
      </c>
      <c r="G299" s="46" t="s">
        <v>1343</v>
      </c>
    </row>
    <row r="300" spans="1:7" x14ac:dyDescent="0.35">
      <c r="A300" s="39" t="s">
        <v>1344</v>
      </c>
      <c r="B300" s="40" t="s">
        <v>605</v>
      </c>
      <c r="C300" s="41" t="s">
        <v>1323</v>
      </c>
      <c r="D300" s="40" t="s">
        <v>1345</v>
      </c>
      <c r="E300" s="40" t="s">
        <v>307</v>
      </c>
      <c r="F300" s="40" t="s">
        <v>296</v>
      </c>
      <c r="G300" s="42" t="s">
        <v>1346</v>
      </c>
    </row>
    <row r="301" spans="1:7" x14ac:dyDescent="0.35">
      <c r="A301" s="43" t="s">
        <v>1347</v>
      </c>
      <c r="B301" s="44" t="s">
        <v>605</v>
      </c>
      <c r="C301" s="45" t="s">
        <v>1323</v>
      </c>
      <c r="D301" s="44" t="s">
        <v>1348</v>
      </c>
      <c r="E301" s="44" t="s">
        <v>307</v>
      </c>
      <c r="F301" s="44" t="s">
        <v>296</v>
      </c>
      <c r="G301" s="46" t="s">
        <v>1349</v>
      </c>
    </row>
    <row r="302" spans="1:7" x14ac:dyDescent="0.35">
      <c r="A302" s="39" t="s">
        <v>1350</v>
      </c>
      <c r="B302" s="40" t="s">
        <v>605</v>
      </c>
      <c r="C302" s="41" t="s">
        <v>1323</v>
      </c>
      <c r="D302" s="40" t="s">
        <v>1351</v>
      </c>
      <c r="E302" s="40" t="s">
        <v>307</v>
      </c>
      <c r="F302" s="40" t="s">
        <v>296</v>
      </c>
      <c r="G302" s="42" t="s">
        <v>1352</v>
      </c>
    </row>
    <row r="303" spans="1:7" x14ac:dyDescent="0.35">
      <c r="A303" s="43" t="s">
        <v>1353</v>
      </c>
      <c r="B303" s="44" t="s">
        <v>605</v>
      </c>
      <c r="C303" s="45" t="s">
        <v>1323</v>
      </c>
      <c r="D303" s="44" t="s">
        <v>1354</v>
      </c>
      <c r="E303" s="44" t="s">
        <v>307</v>
      </c>
      <c r="F303" s="44" t="s">
        <v>296</v>
      </c>
      <c r="G303" s="46" t="s">
        <v>1355</v>
      </c>
    </row>
    <row r="304" spans="1:7" x14ac:dyDescent="0.35">
      <c r="A304" s="39" t="s">
        <v>1356</v>
      </c>
      <c r="B304" s="40" t="s">
        <v>605</v>
      </c>
      <c r="C304" s="41" t="s">
        <v>1323</v>
      </c>
      <c r="D304" s="40" t="s">
        <v>1357</v>
      </c>
      <c r="E304" s="40" t="s">
        <v>307</v>
      </c>
      <c r="F304" s="40" t="s">
        <v>296</v>
      </c>
      <c r="G304" s="42" t="s">
        <v>1358</v>
      </c>
    </row>
    <row r="305" spans="1:7" x14ac:dyDescent="0.35">
      <c r="A305" s="43" t="s">
        <v>1359</v>
      </c>
      <c r="B305" s="44" t="s">
        <v>605</v>
      </c>
      <c r="C305" s="45" t="s">
        <v>1323</v>
      </c>
      <c r="D305" s="44" t="s">
        <v>1360</v>
      </c>
      <c r="E305" s="44" t="s">
        <v>307</v>
      </c>
      <c r="F305" s="44" t="s">
        <v>296</v>
      </c>
      <c r="G305" s="46" t="s">
        <v>1361</v>
      </c>
    </row>
    <row r="306" spans="1:7" x14ac:dyDescent="0.35">
      <c r="A306" s="39" t="s">
        <v>1362</v>
      </c>
      <c r="B306" s="40" t="s">
        <v>605</v>
      </c>
      <c r="C306" s="41" t="s">
        <v>1323</v>
      </c>
      <c r="D306" s="40" t="s">
        <v>1363</v>
      </c>
      <c r="E306" s="40" t="s">
        <v>307</v>
      </c>
      <c r="F306" s="40" t="s">
        <v>296</v>
      </c>
      <c r="G306" s="42" t="s">
        <v>1364</v>
      </c>
    </row>
    <row r="307" spans="1:7" x14ac:dyDescent="0.35">
      <c r="A307" s="43" t="s">
        <v>1365</v>
      </c>
      <c r="B307" s="44" t="s">
        <v>605</v>
      </c>
      <c r="C307" s="45" t="s">
        <v>1323</v>
      </c>
      <c r="D307" s="44" t="s">
        <v>317</v>
      </c>
      <c r="E307" s="44" t="s">
        <v>307</v>
      </c>
      <c r="F307" s="44" t="s">
        <v>296</v>
      </c>
      <c r="G307" s="46" t="s">
        <v>1366</v>
      </c>
    </row>
    <row r="308" spans="1:7" x14ac:dyDescent="0.35">
      <c r="A308" s="39" t="s">
        <v>1367</v>
      </c>
      <c r="B308" s="40" t="s">
        <v>605</v>
      </c>
      <c r="C308" s="41" t="s">
        <v>1323</v>
      </c>
      <c r="D308" s="40" t="s">
        <v>1368</v>
      </c>
      <c r="E308" s="40" t="s">
        <v>307</v>
      </c>
      <c r="F308" s="40" t="s">
        <v>296</v>
      </c>
      <c r="G308" s="42" t="s">
        <v>1369</v>
      </c>
    </row>
    <row r="309" spans="1:7" x14ac:dyDescent="0.35">
      <c r="A309" s="43" t="s">
        <v>1370</v>
      </c>
      <c r="B309" s="44" t="s">
        <v>605</v>
      </c>
      <c r="C309" s="45" t="s">
        <v>1323</v>
      </c>
      <c r="D309" s="44" t="s">
        <v>1371</v>
      </c>
      <c r="E309" s="44" t="s">
        <v>307</v>
      </c>
      <c r="F309" s="44" t="s">
        <v>296</v>
      </c>
      <c r="G309" s="46" t="s">
        <v>1372</v>
      </c>
    </row>
    <row r="310" spans="1:7" x14ac:dyDescent="0.35">
      <c r="A310" s="39" t="s">
        <v>1373</v>
      </c>
      <c r="B310" s="40" t="s">
        <v>605</v>
      </c>
      <c r="C310" s="41" t="s">
        <v>1323</v>
      </c>
      <c r="D310" s="40" t="s">
        <v>1374</v>
      </c>
      <c r="E310" s="40" t="s">
        <v>307</v>
      </c>
      <c r="F310" s="40" t="s">
        <v>296</v>
      </c>
      <c r="G310" s="42" t="s">
        <v>1375</v>
      </c>
    </row>
    <row r="311" spans="1:7" x14ac:dyDescent="0.35">
      <c r="A311" s="43" t="s">
        <v>1376</v>
      </c>
      <c r="B311" s="44" t="s">
        <v>605</v>
      </c>
      <c r="C311" s="45" t="s">
        <v>1323</v>
      </c>
      <c r="D311" s="44" t="s">
        <v>1377</v>
      </c>
      <c r="E311" s="44" t="s">
        <v>307</v>
      </c>
      <c r="F311" s="44" t="s">
        <v>296</v>
      </c>
      <c r="G311" s="46" t="s">
        <v>1378</v>
      </c>
    </row>
    <row r="312" spans="1:7" x14ac:dyDescent="0.35">
      <c r="A312" s="39" t="s">
        <v>1379</v>
      </c>
      <c r="B312" s="40" t="s">
        <v>605</v>
      </c>
      <c r="C312" s="41" t="s">
        <v>1323</v>
      </c>
      <c r="D312" s="40" t="s">
        <v>1380</v>
      </c>
      <c r="E312" s="40" t="s">
        <v>307</v>
      </c>
      <c r="F312" s="40" t="s">
        <v>296</v>
      </c>
      <c r="G312" s="42" t="s">
        <v>1381</v>
      </c>
    </row>
    <row r="313" spans="1:7" x14ac:dyDescent="0.35">
      <c r="A313" s="43" t="s">
        <v>1382</v>
      </c>
      <c r="B313" s="44" t="s">
        <v>605</v>
      </c>
      <c r="C313" s="45" t="s">
        <v>1323</v>
      </c>
      <c r="D313" s="44" t="s">
        <v>1383</v>
      </c>
      <c r="E313" s="44" t="s">
        <v>307</v>
      </c>
      <c r="F313" s="44" t="s">
        <v>296</v>
      </c>
      <c r="G313" s="46" t="s">
        <v>1384</v>
      </c>
    </row>
    <row r="314" spans="1:7" x14ac:dyDescent="0.35">
      <c r="A314" s="39" t="s">
        <v>1385</v>
      </c>
      <c r="B314" s="40" t="s">
        <v>605</v>
      </c>
      <c r="C314" s="41" t="s">
        <v>1323</v>
      </c>
      <c r="D314" s="40" t="s">
        <v>1386</v>
      </c>
      <c r="E314" s="40" t="s">
        <v>307</v>
      </c>
      <c r="F314" s="40" t="s">
        <v>296</v>
      </c>
      <c r="G314" s="42" t="s">
        <v>1387</v>
      </c>
    </row>
    <row r="315" spans="1:7" x14ac:dyDescent="0.35">
      <c r="A315" s="43" t="s">
        <v>1388</v>
      </c>
      <c r="B315" s="44" t="s">
        <v>605</v>
      </c>
      <c r="C315" s="45" t="s">
        <v>1323</v>
      </c>
      <c r="D315" s="44" t="s">
        <v>1389</v>
      </c>
      <c r="E315" s="44" t="s">
        <v>307</v>
      </c>
      <c r="F315" s="44" t="s">
        <v>296</v>
      </c>
      <c r="G315" s="46" t="s">
        <v>1390</v>
      </c>
    </row>
    <row r="316" spans="1:7" x14ac:dyDescent="0.35">
      <c r="A316" s="39" t="s">
        <v>1391</v>
      </c>
      <c r="B316" s="40" t="s">
        <v>605</v>
      </c>
      <c r="C316" s="41" t="s">
        <v>1323</v>
      </c>
      <c r="D316" s="40" t="s">
        <v>1392</v>
      </c>
      <c r="E316" s="40" t="s">
        <v>307</v>
      </c>
      <c r="F316" s="40" t="s">
        <v>296</v>
      </c>
      <c r="G316" s="42" t="s">
        <v>1393</v>
      </c>
    </row>
    <row r="317" spans="1:7" x14ac:dyDescent="0.35">
      <c r="A317" s="43" t="s">
        <v>1394</v>
      </c>
      <c r="B317" s="44" t="s">
        <v>605</v>
      </c>
      <c r="C317" s="45" t="s">
        <v>1323</v>
      </c>
      <c r="D317" s="44" t="s">
        <v>1395</v>
      </c>
      <c r="E317" s="44" t="s">
        <v>307</v>
      </c>
      <c r="F317" s="44" t="s">
        <v>296</v>
      </c>
      <c r="G317" s="46" t="s">
        <v>1396</v>
      </c>
    </row>
    <row r="318" spans="1:7" x14ac:dyDescent="0.35">
      <c r="A318" s="39" t="s">
        <v>1397</v>
      </c>
      <c r="B318" s="40" t="s">
        <v>605</v>
      </c>
      <c r="C318" s="41" t="s">
        <v>1323</v>
      </c>
      <c r="D318" s="40" t="s">
        <v>1398</v>
      </c>
      <c r="E318" s="40" t="s">
        <v>307</v>
      </c>
      <c r="F318" s="40" t="s">
        <v>296</v>
      </c>
      <c r="G318" s="42" t="s">
        <v>1399</v>
      </c>
    </row>
    <row r="319" spans="1:7" x14ac:dyDescent="0.35">
      <c r="A319" s="43" t="s">
        <v>1400</v>
      </c>
      <c r="B319" s="44" t="s">
        <v>224</v>
      </c>
      <c r="C319" s="45" t="s">
        <v>1401</v>
      </c>
      <c r="D319" s="44" t="s">
        <v>1402</v>
      </c>
      <c r="E319" s="44" t="s">
        <v>296</v>
      </c>
      <c r="F319" s="44" t="s">
        <v>221</v>
      </c>
      <c r="G319" s="46" t="s">
        <v>1403</v>
      </c>
    </row>
    <row r="320" spans="1:7" x14ac:dyDescent="0.35">
      <c r="A320" s="39" t="s">
        <v>1404</v>
      </c>
      <c r="B320" s="40" t="s">
        <v>224</v>
      </c>
      <c r="C320" s="41" t="s">
        <v>1401</v>
      </c>
      <c r="D320" s="40" t="s">
        <v>1405</v>
      </c>
      <c r="E320" s="40" t="s">
        <v>296</v>
      </c>
      <c r="F320" s="40" t="s">
        <v>221</v>
      </c>
      <c r="G320" s="42" t="s">
        <v>1406</v>
      </c>
    </row>
    <row r="321" spans="1:7" x14ac:dyDescent="0.35">
      <c r="A321" s="43" t="s">
        <v>1407</v>
      </c>
      <c r="B321" s="44" t="s">
        <v>224</v>
      </c>
      <c r="C321" s="45" t="s">
        <v>1401</v>
      </c>
      <c r="D321" s="44" t="s">
        <v>401</v>
      </c>
      <c r="E321" s="44" t="s">
        <v>296</v>
      </c>
      <c r="F321" s="44" t="s">
        <v>221</v>
      </c>
      <c r="G321" s="46" t="s">
        <v>1408</v>
      </c>
    </row>
    <row r="322" spans="1:7" x14ac:dyDescent="0.35">
      <c r="A322" s="39" t="s">
        <v>1409</v>
      </c>
      <c r="B322" s="40" t="s">
        <v>224</v>
      </c>
      <c r="C322" s="41" t="s">
        <v>1401</v>
      </c>
      <c r="D322" s="40" t="s">
        <v>1410</v>
      </c>
      <c r="E322" s="40" t="s">
        <v>296</v>
      </c>
      <c r="F322" s="40" t="s">
        <v>221</v>
      </c>
      <c r="G322" s="42" t="s">
        <v>1411</v>
      </c>
    </row>
    <row r="323" spans="1:7" x14ac:dyDescent="0.35">
      <c r="A323" s="43" t="s">
        <v>1412</v>
      </c>
      <c r="B323" s="44" t="s">
        <v>224</v>
      </c>
      <c r="C323" s="45" t="s">
        <v>1401</v>
      </c>
      <c r="D323" s="44" t="s">
        <v>1413</v>
      </c>
      <c r="E323" s="44" t="s">
        <v>296</v>
      </c>
      <c r="F323" s="44" t="s">
        <v>221</v>
      </c>
      <c r="G323" s="46" t="s">
        <v>1414</v>
      </c>
    </row>
    <row r="324" spans="1:7" x14ac:dyDescent="0.35">
      <c r="A324" s="39" t="s">
        <v>1415</v>
      </c>
      <c r="B324" s="40" t="s">
        <v>224</v>
      </c>
      <c r="C324" s="41" t="s">
        <v>1401</v>
      </c>
      <c r="D324" s="40" t="s">
        <v>1416</v>
      </c>
      <c r="E324" s="40" t="s">
        <v>296</v>
      </c>
      <c r="F324" s="40" t="s">
        <v>221</v>
      </c>
      <c r="G324" s="42" t="s">
        <v>1417</v>
      </c>
    </row>
    <row r="325" spans="1:7" x14ac:dyDescent="0.35">
      <c r="A325" s="43" t="s">
        <v>1418</v>
      </c>
      <c r="B325" s="44" t="s">
        <v>224</v>
      </c>
      <c r="C325" s="45" t="s">
        <v>1401</v>
      </c>
      <c r="D325" s="44" t="s">
        <v>1419</v>
      </c>
      <c r="E325" s="44" t="s">
        <v>296</v>
      </c>
      <c r="F325" s="44" t="s">
        <v>221</v>
      </c>
      <c r="G325" s="46" t="s">
        <v>1420</v>
      </c>
    </row>
    <row r="326" spans="1:7" x14ac:dyDescent="0.35">
      <c r="A326" s="39" t="s">
        <v>1421</v>
      </c>
      <c r="B326" s="40" t="s">
        <v>224</v>
      </c>
      <c r="C326" s="41" t="s">
        <v>1401</v>
      </c>
      <c r="D326" s="40" t="s">
        <v>1422</v>
      </c>
      <c r="E326" s="40" t="s">
        <v>296</v>
      </c>
      <c r="F326" s="40" t="s">
        <v>221</v>
      </c>
      <c r="G326" s="42" t="s">
        <v>1423</v>
      </c>
    </row>
    <row r="327" spans="1:7" x14ac:dyDescent="0.35">
      <c r="A327" s="43" t="s">
        <v>1424</v>
      </c>
      <c r="B327" s="44" t="s">
        <v>224</v>
      </c>
      <c r="C327" s="45" t="s">
        <v>1401</v>
      </c>
      <c r="D327" s="44" t="s">
        <v>1425</v>
      </c>
      <c r="E327" s="44" t="s">
        <v>296</v>
      </c>
      <c r="F327" s="44" t="s">
        <v>221</v>
      </c>
      <c r="G327" s="46" t="s">
        <v>1426</v>
      </c>
    </row>
    <row r="328" spans="1:7" x14ac:dyDescent="0.35">
      <c r="A328" s="39" t="s">
        <v>1427</v>
      </c>
      <c r="B328" s="40" t="s">
        <v>224</v>
      </c>
      <c r="C328" s="41" t="s">
        <v>1401</v>
      </c>
      <c r="D328" s="40" t="s">
        <v>1428</v>
      </c>
      <c r="E328" s="40" t="s">
        <v>296</v>
      </c>
      <c r="F328" s="40" t="s">
        <v>221</v>
      </c>
      <c r="G328" s="42" t="s">
        <v>1429</v>
      </c>
    </row>
    <row r="329" spans="1:7" x14ac:dyDescent="0.35">
      <c r="A329" s="43" t="s">
        <v>1430</v>
      </c>
      <c r="B329" s="44" t="s">
        <v>224</v>
      </c>
      <c r="C329" s="45" t="s">
        <v>1401</v>
      </c>
      <c r="D329" s="44" t="s">
        <v>1431</v>
      </c>
      <c r="E329" s="44" t="s">
        <v>296</v>
      </c>
      <c r="F329" s="44" t="s">
        <v>221</v>
      </c>
      <c r="G329" s="46" t="s">
        <v>1432</v>
      </c>
    </row>
    <row r="330" spans="1:7" x14ac:dyDescent="0.35">
      <c r="A330" s="39" t="s">
        <v>1433</v>
      </c>
      <c r="B330" s="40" t="s">
        <v>224</v>
      </c>
      <c r="C330" s="41" t="s">
        <v>1401</v>
      </c>
      <c r="D330" s="40" t="s">
        <v>1434</v>
      </c>
      <c r="E330" s="40" t="s">
        <v>296</v>
      </c>
      <c r="F330" s="40" t="s">
        <v>221</v>
      </c>
      <c r="G330" s="42" t="s">
        <v>1435</v>
      </c>
    </row>
    <row r="331" spans="1:7" x14ac:dyDescent="0.35">
      <c r="A331" s="43" t="s">
        <v>1436</v>
      </c>
      <c r="B331" s="44" t="s">
        <v>224</v>
      </c>
      <c r="C331" s="45" t="s">
        <v>1401</v>
      </c>
      <c r="D331" s="44" t="s">
        <v>1437</v>
      </c>
      <c r="E331" s="44" t="s">
        <v>296</v>
      </c>
      <c r="F331" s="44" t="s">
        <v>221</v>
      </c>
      <c r="G331" s="46" t="s">
        <v>1438</v>
      </c>
    </row>
    <row r="332" spans="1:7" x14ac:dyDescent="0.35">
      <c r="A332" s="39" t="s">
        <v>1439</v>
      </c>
      <c r="B332" s="40" t="s">
        <v>224</v>
      </c>
      <c r="C332" s="41" t="s">
        <v>1401</v>
      </c>
      <c r="D332" s="40" t="s">
        <v>1440</v>
      </c>
      <c r="E332" s="40" t="s">
        <v>296</v>
      </c>
      <c r="F332" s="40" t="s">
        <v>221</v>
      </c>
      <c r="G332" s="42" t="s">
        <v>1441</v>
      </c>
    </row>
    <row r="333" spans="1:7" x14ac:dyDescent="0.35">
      <c r="A333" s="43" t="s">
        <v>1442</v>
      </c>
      <c r="B333" s="44" t="s">
        <v>224</v>
      </c>
      <c r="C333" s="45" t="s">
        <v>1401</v>
      </c>
      <c r="D333" s="44" t="s">
        <v>1443</v>
      </c>
      <c r="E333" s="44" t="s">
        <v>296</v>
      </c>
      <c r="F333" s="44" t="s">
        <v>221</v>
      </c>
      <c r="G333" s="46" t="s">
        <v>1444</v>
      </c>
    </row>
    <row r="334" spans="1:7" x14ac:dyDescent="0.35">
      <c r="A334" s="39" t="s">
        <v>1445</v>
      </c>
      <c r="B334" s="40" t="s">
        <v>224</v>
      </c>
      <c r="C334" s="41" t="s">
        <v>1401</v>
      </c>
      <c r="D334" s="40" t="s">
        <v>1446</v>
      </c>
      <c r="E334" s="40" t="s">
        <v>296</v>
      </c>
      <c r="F334" s="40" t="s">
        <v>221</v>
      </c>
      <c r="G334" s="42" t="s">
        <v>1447</v>
      </c>
    </row>
    <row r="335" spans="1:7" x14ac:dyDescent="0.35">
      <c r="A335" s="43" t="s">
        <v>1448</v>
      </c>
      <c r="B335" s="44" t="s">
        <v>224</v>
      </c>
      <c r="C335" s="45" t="s">
        <v>1401</v>
      </c>
      <c r="D335" s="44" t="s">
        <v>1449</v>
      </c>
      <c r="E335" s="44" t="s">
        <v>296</v>
      </c>
      <c r="F335" s="44" t="s">
        <v>221</v>
      </c>
      <c r="G335" s="46" t="s">
        <v>1450</v>
      </c>
    </row>
    <row r="336" spans="1:7" x14ac:dyDescent="0.35">
      <c r="A336" s="39" t="s">
        <v>1451</v>
      </c>
      <c r="B336" s="40" t="s">
        <v>224</v>
      </c>
      <c r="C336" s="41" t="s">
        <v>1401</v>
      </c>
      <c r="D336" s="40" t="s">
        <v>1452</v>
      </c>
      <c r="E336" s="40" t="s">
        <v>296</v>
      </c>
      <c r="F336" s="40" t="s">
        <v>221</v>
      </c>
      <c r="G336" s="42" t="s">
        <v>1453</v>
      </c>
    </row>
    <row r="337" spans="1:7" x14ac:dyDescent="0.35">
      <c r="A337" s="43" t="s">
        <v>1454</v>
      </c>
      <c r="B337" s="44" t="s">
        <v>224</v>
      </c>
      <c r="C337" s="45" t="s">
        <v>1401</v>
      </c>
      <c r="D337" s="44" t="s">
        <v>1455</v>
      </c>
      <c r="E337" s="44" t="s">
        <v>296</v>
      </c>
      <c r="F337" s="44" t="s">
        <v>221</v>
      </c>
      <c r="G337" s="46" t="s">
        <v>1456</v>
      </c>
    </row>
    <row r="338" spans="1:7" x14ac:dyDescent="0.35">
      <c r="A338" s="39" t="s">
        <v>1457</v>
      </c>
      <c r="B338" s="40" t="s">
        <v>224</v>
      </c>
      <c r="C338" s="41" t="s">
        <v>1401</v>
      </c>
      <c r="D338" s="40" t="s">
        <v>1458</v>
      </c>
      <c r="E338" s="40" t="s">
        <v>296</v>
      </c>
      <c r="F338" s="40" t="s">
        <v>221</v>
      </c>
      <c r="G338" s="42" t="s">
        <v>1459</v>
      </c>
    </row>
    <row r="339" spans="1:7" x14ac:dyDescent="0.35">
      <c r="A339" s="43" t="s">
        <v>1460</v>
      </c>
      <c r="B339" s="44" t="s">
        <v>224</v>
      </c>
      <c r="C339" s="45" t="s">
        <v>1401</v>
      </c>
      <c r="D339" s="44" t="s">
        <v>1461</v>
      </c>
      <c r="E339" s="44" t="s">
        <v>296</v>
      </c>
      <c r="F339" s="44" t="s">
        <v>221</v>
      </c>
      <c r="G339" s="46" t="s">
        <v>1462</v>
      </c>
    </row>
    <row r="340" spans="1:7" x14ac:dyDescent="0.35">
      <c r="A340" s="39" t="s">
        <v>1463</v>
      </c>
      <c r="B340" s="40" t="s">
        <v>224</v>
      </c>
      <c r="C340" s="41" t="s">
        <v>1401</v>
      </c>
      <c r="D340" s="40" t="s">
        <v>1464</v>
      </c>
      <c r="E340" s="40" t="s">
        <v>296</v>
      </c>
      <c r="F340" s="40" t="s">
        <v>221</v>
      </c>
      <c r="G340" s="42" t="s">
        <v>1465</v>
      </c>
    </row>
    <row r="341" spans="1:7" x14ac:dyDescent="0.35">
      <c r="A341" s="43" t="s">
        <v>1466</v>
      </c>
      <c r="B341" s="44" t="s">
        <v>224</v>
      </c>
      <c r="C341" s="45" t="s">
        <v>1401</v>
      </c>
      <c r="D341" s="44" t="s">
        <v>1467</v>
      </c>
      <c r="E341" s="44" t="s">
        <v>296</v>
      </c>
      <c r="F341" s="44" t="s">
        <v>221</v>
      </c>
      <c r="G341" s="46" t="s">
        <v>1468</v>
      </c>
    </row>
    <row r="342" spans="1:7" x14ac:dyDescent="0.35">
      <c r="A342" s="39" t="s">
        <v>1469</v>
      </c>
      <c r="B342" s="40" t="s">
        <v>224</v>
      </c>
      <c r="C342" s="41" t="s">
        <v>1401</v>
      </c>
      <c r="D342" s="40" t="s">
        <v>1470</v>
      </c>
      <c r="E342" s="40" t="s">
        <v>296</v>
      </c>
      <c r="F342" s="40" t="s">
        <v>221</v>
      </c>
      <c r="G342" s="42" t="s">
        <v>1471</v>
      </c>
    </row>
    <row r="343" spans="1:7" x14ac:dyDescent="0.35">
      <c r="A343" s="43" t="s">
        <v>1472</v>
      </c>
      <c r="B343" s="44" t="s">
        <v>224</v>
      </c>
      <c r="C343" s="45" t="s">
        <v>1401</v>
      </c>
      <c r="D343" s="44" t="s">
        <v>1473</v>
      </c>
      <c r="E343" s="44" t="s">
        <v>296</v>
      </c>
      <c r="F343" s="44" t="s">
        <v>221</v>
      </c>
      <c r="G343" s="46" t="s">
        <v>1474</v>
      </c>
    </row>
    <row r="344" spans="1:7" x14ac:dyDescent="0.35">
      <c r="A344" s="39" t="s">
        <v>1475</v>
      </c>
      <c r="B344" s="40" t="s">
        <v>224</v>
      </c>
      <c r="C344" s="41" t="s">
        <v>1401</v>
      </c>
      <c r="D344" s="40" t="s">
        <v>1476</v>
      </c>
      <c r="E344" s="40" t="s">
        <v>296</v>
      </c>
      <c r="F344" s="40" t="s">
        <v>221</v>
      </c>
      <c r="G344" s="42" t="s">
        <v>1477</v>
      </c>
    </row>
    <row r="345" spans="1:7" x14ac:dyDescent="0.35">
      <c r="A345" s="43" t="s">
        <v>1478</v>
      </c>
      <c r="B345" s="44" t="s">
        <v>224</v>
      </c>
      <c r="C345" s="45" t="s">
        <v>1401</v>
      </c>
      <c r="D345" s="44" t="s">
        <v>1479</v>
      </c>
      <c r="E345" s="44" t="s">
        <v>296</v>
      </c>
      <c r="F345" s="44" t="s">
        <v>221</v>
      </c>
      <c r="G345" s="46" t="s">
        <v>1480</v>
      </c>
    </row>
    <row r="346" spans="1:7" x14ac:dyDescent="0.35">
      <c r="A346" s="39" t="s">
        <v>1481</v>
      </c>
      <c r="B346" s="40" t="s">
        <v>224</v>
      </c>
      <c r="C346" s="41" t="s">
        <v>1401</v>
      </c>
      <c r="D346" s="40" t="s">
        <v>1482</v>
      </c>
      <c r="E346" s="40" t="s">
        <v>296</v>
      </c>
      <c r="F346" s="40" t="s">
        <v>221</v>
      </c>
      <c r="G346" s="42" t="s">
        <v>1483</v>
      </c>
    </row>
    <row r="347" spans="1:7" x14ac:dyDescent="0.35">
      <c r="A347" s="43" t="s">
        <v>1484</v>
      </c>
      <c r="B347" s="44" t="s">
        <v>224</v>
      </c>
      <c r="C347" s="45" t="s">
        <v>1401</v>
      </c>
      <c r="D347" s="44" t="s">
        <v>1485</v>
      </c>
      <c r="E347" s="44" t="s">
        <v>296</v>
      </c>
      <c r="F347" s="44" t="s">
        <v>221</v>
      </c>
      <c r="G347" s="46" t="s">
        <v>1486</v>
      </c>
    </row>
    <row r="348" spans="1:7" x14ac:dyDescent="0.35">
      <c r="A348" s="39" t="s">
        <v>1487</v>
      </c>
      <c r="B348" s="40" t="s">
        <v>224</v>
      </c>
      <c r="C348" s="41" t="s">
        <v>1401</v>
      </c>
      <c r="D348" s="40" t="s">
        <v>1488</v>
      </c>
      <c r="E348" s="40" t="s">
        <v>296</v>
      </c>
      <c r="F348" s="40" t="s">
        <v>221</v>
      </c>
      <c r="G348" s="42" t="s">
        <v>1489</v>
      </c>
    </row>
    <row r="349" spans="1:7" x14ac:dyDescent="0.35">
      <c r="A349" s="43" t="s">
        <v>1490</v>
      </c>
      <c r="B349" s="44" t="s">
        <v>224</v>
      </c>
      <c r="C349" s="45" t="s">
        <v>1401</v>
      </c>
      <c r="D349" s="44" t="s">
        <v>1491</v>
      </c>
      <c r="E349" s="44" t="s">
        <v>296</v>
      </c>
      <c r="F349" s="44" t="s">
        <v>221</v>
      </c>
      <c r="G349" s="46" t="s">
        <v>1492</v>
      </c>
    </row>
    <row r="350" spans="1:7" x14ac:dyDescent="0.35">
      <c r="A350" s="39" t="s">
        <v>1493</v>
      </c>
      <c r="B350" s="40" t="s">
        <v>224</v>
      </c>
      <c r="C350" s="41" t="s">
        <v>1401</v>
      </c>
      <c r="D350" s="40" t="s">
        <v>1494</v>
      </c>
      <c r="E350" s="40" t="s">
        <v>296</v>
      </c>
      <c r="F350" s="40" t="s">
        <v>221</v>
      </c>
      <c r="G350" s="42" t="s">
        <v>1495</v>
      </c>
    </row>
    <row r="351" spans="1:7" x14ac:dyDescent="0.35">
      <c r="A351" s="43" t="s">
        <v>1496</v>
      </c>
      <c r="B351" s="44" t="s">
        <v>224</v>
      </c>
      <c r="C351" s="45" t="s">
        <v>1401</v>
      </c>
      <c r="D351" s="44" t="s">
        <v>1497</v>
      </c>
      <c r="E351" s="44" t="s">
        <v>296</v>
      </c>
      <c r="F351" s="44" t="s">
        <v>221</v>
      </c>
      <c r="G351" s="46" t="s">
        <v>1498</v>
      </c>
    </row>
    <row r="352" spans="1:7" x14ac:dyDescent="0.35">
      <c r="A352" s="39" t="s">
        <v>1499</v>
      </c>
      <c r="B352" s="40" t="s">
        <v>224</v>
      </c>
      <c r="C352" s="41" t="s">
        <v>1401</v>
      </c>
      <c r="D352" s="40" t="s">
        <v>358</v>
      </c>
      <c r="E352" s="40" t="s">
        <v>296</v>
      </c>
      <c r="F352" s="40" t="s">
        <v>221</v>
      </c>
      <c r="G352" s="42" t="s">
        <v>1500</v>
      </c>
    </row>
    <row r="353" spans="1:7" x14ac:dyDescent="0.35">
      <c r="A353" s="43" t="s">
        <v>1501</v>
      </c>
      <c r="B353" s="44" t="s">
        <v>224</v>
      </c>
      <c r="C353" s="45" t="s">
        <v>1401</v>
      </c>
      <c r="D353" s="44" t="s">
        <v>1502</v>
      </c>
      <c r="E353" s="44" t="s">
        <v>296</v>
      </c>
      <c r="F353" s="44" t="s">
        <v>221</v>
      </c>
      <c r="G353" s="46" t="s">
        <v>1503</v>
      </c>
    </row>
    <row r="354" spans="1:7" x14ac:dyDescent="0.35">
      <c r="A354" s="39" t="s">
        <v>1504</v>
      </c>
      <c r="B354" s="40" t="s">
        <v>183</v>
      </c>
      <c r="C354" s="41" t="s">
        <v>183</v>
      </c>
      <c r="D354" s="40" t="s">
        <v>183</v>
      </c>
      <c r="E354" s="40" t="s">
        <v>183</v>
      </c>
      <c r="F354" s="40" t="s">
        <v>183</v>
      </c>
      <c r="G354" s="42" t="s">
        <v>183</v>
      </c>
    </row>
    <row r="355" spans="1:7" x14ac:dyDescent="0.35">
      <c r="A355" s="43" t="s">
        <v>1505</v>
      </c>
      <c r="B355" s="44" t="s">
        <v>1506</v>
      </c>
      <c r="C355" s="45" t="s">
        <v>1507</v>
      </c>
      <c r="D355" s="44" t="s">
        <v>1508</v>
      </c>
      <c r="E355" s="44" t="s">
        <v>1509</v>
      </c>
      <c r="F355" s="44" t="s">
        <v>261</v>
      </c>
      <c r="G355" s="46" t="s">
        <v>1510</v>
      </c>
    </row>
    <row r="356" spans="1:7" x14ac:dyDescent="0.35">
      <c r="A356" s="39" t="s">
        <v>1511</v>
      </c>
      <c r="B356" s="40" t="s">
        <v>1512</v>
      </c>
      <c r="C356" s="41" t="s">
        <v>1513</v>
      </c>
      <c r="D356" s="40" t="s">
        <v>1514</v>
      </c>
      <c r="E356" s="40" t="s">
        <v>1515</v>
      </c>
      <c r="F356" s="40" t="s">
        <v>1516</v>
      </c>
      <c r="G356" s="42" t="s">
        <v>1517</v>
      </c>
    </row>
    <row r="357" spans="1:7" x14ac:dyDescent="0.35">
      <c r="A357" s="43" t="s">
        <v>1518</v>
      </c>
      <c r="B357" s="44" t="s">
        <v>1519</v>
      </c>
      <c r="C357" s="45" t="s">
        <v>1520</v>
      </c>
      <c r="D357" s="44" t="s">
        <v>1521</v>
      </c>
      <c r="E357" s="44" t="s">
        <v>267</v>
      </c>
      <c r="F357" s="44" t="s">
        <v>1522</v>
      </c>
      <c r="G357" s="46" t="s">
        <v>1523</v>
      </c>
    </row>
    <row r="358" spans="1:7" x14ac:dyDescent="0.35">
      <c r="A358" s="39" t="s">
        <v>1524</v>
      </c>
      <c r="B358" s="40" t="s">
        <v>1525</v>
      </c>
      <c r="C358" s="41" t="s">
        <v>1526</v>
      </c>
      <c r="D358" s="40" t="s">
        <v>1527</v>
      </c>
      <c r="E358" s="40" t="s">
        <v>1528</v>
      </c>
      <c r="F358" s="40" t="s">
        <v>1529</v>
      </c>
      <c r="G358" s="42" t="s">
        <v>1530</v>
      </c>
    </row>
    <row r="359" spans="1:7" x14ac:dyDescent="0.35">
      <c r="A359" s="43" t="s">
        <v>1531</v>
      </c>
      <c r="B359" s="44" t="s">
        <v>1532</v>
      </c>
      <c r="C359" s="45" t="s">
        <v>1533</v>
      </c>
      <c r="D359" s="44" t="s">
        <v>1534</v>
      </c>
      <c r="E359" s="44" t="s">
        <v>1535</v>
      </c>
      <c r="F359" s="44" t="s">
        <v>1536</v>
      </c>
      <c r="G359" s="46" t="s">
        <v>1537</v>
      </c>
    </row>
    <row r="360" spans="1:7" x14ac:dyDescent="0.35">
      <c r="A360" s="39" t="s">
        <v>1538</v>
      </c>
      <c r="B360" s="40" t="s">
        <v>1539</v>
      </c>
      <c r="C360" s="41" t="s">
        <v>1540</v>
      </c>
      <c r="D360" s="40" t="s">
        <v>1541</v>
      </c>
      <c r="E360" s="40" t="s">
        <v>492</v>
      </c>
      <c r="F360" s="40" t="s">
        <v>1528</v>
      </c>
      <c r="G360" s="42" t="s">
        <v>1542</v>
      </c>
    </row>
    <row r="361" spans="1:7" x14ac:dyDescent="0.35">
      <c r="A361" s="43" t="s">
        <v>1543</v>
      </c>
      <c r="B361" s="44" t="s">
        <v>1544</v>
      </c>
      <c r="C361" s="45" t="s">
        <v>1545</v>
      </c>
      <c r="D361" s="44" t="s">
        <v>1546</v>
      </c>
      <c r="E361" s="44" t="s">
        <v>792</v>
      </c>
      <c r="F361" s="44" t="s">
        <v>232</v>
      </c>
      <c r="G361" s="46" t="s">
        <v>1547</v>
      </c>
    </row>
    <row r="362" spans="1:7" x14ac:dyDescent="0.35">
      <c r="A362" s="39" t="s">
        <v>1548</v>
      </c>
      <c r="B362" s="40" t="s">
        <v>1549</v>
      </c>
      <c r="C362" s="41" t="s">
        <v>1550</v>
      </c>
      <c r="D362" s="40" t="s">
        <v>1551</v>
      </c>
      <c r="E362" s="40" t="s">
        <v>280</v>
      </c>
      <c r="F362" s="40" t="s">
        <v>220</v>
      </c>
      <c r="G362" s="42" t="s">
        <v>1552</v>
      </c>
    </row>
    <row r="363" spans="1:7" x14ac:dyDescent="0.35">
      <c r="A363" s="43" t="s">
        <v>1553</v>
      </c>
      <c r="B363" s="44" t="s">
        <v>1554</v>
      </c>
      <c r="C363" s="45" t="s">
        <v>1555</v>
      </c>
      <c r="D363" s="44" t="s">
        <v>1556</v>
      </c>
      <c r="E363" s="44" t="s">
        <v>1557</v>
      </c>
      <c r="F363" s="44" t="s">
        <v>311</v>
      </c>
      <c r="G363" s="46" t="s">
        <v>1558</v>
      </c>
    </row>
    <row r="364" spans="1:7" x14ac:dyDescent="0.35">
      <c r="A364" s="39" t="s">
        <v>1559</v>
      </c>
      <c r="B364" s="40" t="s">
        <v>1560</v>
      </c>
      <c r="C364" s="41" t="s">
        <v>1561</v>
      </c>
      <c r="D364" s="40" t="s">
        <v>1562</v>
      </c>
      <c r="E364" s="40" t="s">
        <v>792</v>
      </c>
      <c r="F364" s="40" t="s">
        <v>280</v>
      </c>
      <c r="G364" s="42" t="s">
        <v>1563</v>
      </c>
    </row>
    <row r="365" spans="1:7" x14ac:dyDescent="0.35">
      <c r="A365" s="43" t="s">
        <v>1564</v>
      </c>
      <c r="B365" s="44" t="s">
        <v>1565</v>
      </c>
      <c r="C365" s="45" t="s">
        <v>1566</v>
      </c>
      <c r="D365" s="44" t="s">
        <v>1567</v>
      </c>
      <c r="E365" s="44" t="s">
        <v>400</v>
      </c>
      <c r="F365" s="44" t="s">
        <v>1028</v>
      </c>
      <c r="G365" s="46" t="s">
        <v>1568</v>
      </c>
    </row>
    <row r="366" spans="1:7" x14ac:dyDescent="0.35">
      <c r="A366" s="39" t="s">
        <v>1569</v>
      </c>
      <c r="B366" s="40" t="s">
        <v>1570</v>
      </c>
      <c r="C366" s="41" t="s">
        <v>1571</v>
      </c>
      <c r="D366" s="40" t="s">
        <v>1572</v>
      </c>
      <c r="E366" s="40" t="s">
        <v>1573</v>
      </c>
      <c r="F366" s="40" t="s">
        <v>695</v>
      </c>
      <c r="G366" s="42" t="s">
        <v>1574</v>
      </c>
    </row>
    <row r="367" spans="1:7" x14ac:dyDescent="0.35">
      <c r="A367" s="43" t="s">
        <v>1575</v>
      </c>
      <c r="B367" s="44" t="s">
        <v>1576</v>
      </c>
      <c r="C367" s="45" t="s">
        <v>1577</v>
      </c>
      <c r="D367" s="44" t="s">
        <v>1578</v>
      </c>
      <c r="E367" s="44" t="s">
        <v>384</v>
      </c>
      <c r="F367" s="44" t="s">
        <v>220</v>
      </c>
      <c r="G367" s="46" t="s">
        <v>1579</v>
      </c>
    </row>
    <row r="368" spans="1:7" x14ac:dyDescent="0.35">
      <c r="A368" s="39" t="s">
        <v>1580</v>
      </c>
      <c r="B368" s="40" t="s">
        <v>1581</v>
      </c>
      <c r="C368" s="41" t="s">
        <v>1582</v>
      </c>
      <c r="D368" s="40" t="s">
        <v>1583</v>
      </c>
      <c r="E368" s="40" t="s">
        <v>469</v>
      </c>
      <c r="F368" s="40" t="s">
        <v>859</v>
      </c>
      <c r="G368" s="42" t="s">
        <v>1584</v>
      </c>
    </row>
    <row r="369" spans="1:7" x14ac:dyDescent="0.35">
      <c r="A369" s="43" t="s">
        <v>1585</v>
      </c>
      <c r="B369" s="44" t="s">
        <v>1586</v>
      </c>
      <c r="C369" s="45" t="s">
        <v>1587</v>
      </c>
      <c r="D369" s="44" t="s">
        <v>1588</v>
      </c>
      <c r="E369" s="44" t="s">
        <v>280</v>
      </c>
      <c r="F369" s="44" t="s">
        <v>238</v>
      </c>
      <c r="G369" s="46" t="s">
        <v>1589</v>
      </c>
    </row>
    <row r="370" spans="1:7" x14ac:dyDescent="0.35">
      <c r="A370" s="39" t="s">
        <v>1590</v>
      </c>
      <c r="B370" s="40" t="s">
        <v>1591</v>
      </c>
      <c r="C370" s="41" t="s">
        <v>1592</v>
      </c>
      <c r="D370" s="40" t="s">
        <v>1593</v>
      </c>
      <c r="E370" s="40" t="s">
        <v>457</v>
      </c>
      <c r="F370" s="40" t="s">
        <v>632</v>
      </c>
      <c r="G370" s="42" t="s">
        <v>1594</v>
      </c>
    </row>
    <row r="371" spans="1:7" x14ac:dyDescent="0.35">
      <c r="A371" s="43" t="s">
        <v>1595</v>
      </c>
      <c r="B371" s="44" t="s">
        <v>1596</v>
      </c>
      <c r="C371" s="45" t="s">
        <v>1597</v>
      </c>
      <c r="D371" s="44" t="s">
        <v>1598</v>
      </c>
      <c r="E371" s="44" t="s">
        <v>509</v>
      </c>
      <c r="F371" s="44" t="s">
        <v>642</v>
      </c>
      <c r="G371" s="46" t="s">
        <v>1599</v>
      </c>
    </row>
    <row r="372" spans="1:7" x14ac:dyDescent="0.35">
      <c r="A372" s="39" t="s">
        <v>1600</v>
      </c>
      <c r="B372" s="40" t="s">
        <v>1601</v>
      </c>
      <c r="C372" s="41" t="s">
        <v>1602</v>
      </c>
      <c r="D372" s="40" t="s">
        <v>1603</v>
      </c>
      <c r="E372" s="40" t="s">
        <v>551</v>
      </c>
      <c r="F372" s="40" t="s">
        <v>792</v>
      </c>
      <c r="G372" s="42" t="s">
        <v>1604</v>
      </c>
    </row>
    <row r="373" spans="1:7" x14ac:dyDescent="0.35">
      <c r="A373" s="43" t="s">
        <v>1605</v>
      </c>
      <c r="B373" s="44" t="s">
        <v>1601</v>
      </c>
      <c r="C373" s="45" t="s">
        <v>1602</v>
      </c>
      <c r="D373" s="44" t="s">
        <v>1606</v>
      </c>
      <c r="E373" s="44" t="s">
        <v>551</v>
      </c>
      <c r="F373" s="44" t="s">
        <v>792</v>
      </c>
      <c r="G373" s="46" t="s">
        <v>1607</v>
      </c>
    </row>
    <row r="374" spans="1:7" x14ac:dyDescent="0.35">
      <c r="A374" s="39" t="s">
        <v>1608</v>
      </c>
      <c r="B374" s="40" t="s">
        <v>1609</v>
      </c>
      <c r="C374" s="41" t="s">
        <v>1610</v>
      </c>
      <c r="D374" s="40" t="s">
        <v>1611</v>
      </c>
      <c r="E374" s="40" t="s">
        <v>648</v>
      </c>
      <c r="F374" s="40" t="s">
        <v>353</v>
      </c>
      <c r="G374" s="42" t="s">
        <v>1612</v>
      </c>
    </row>
    <row r="375" spans="1:7" x14ac:dyDescent="0.35">
      <c r="A375" s="43" t="s">
        <v>1613</v>
      </c>
      <c r="B375" s="44" t="s">
        <v>1614</v>
      </c>
      <c r="C375" s="45" t="s">
        <v>1615</v>
      </c>
      <c r="D375" s="44" t="s">
        <v>1616</v>
      </c>
      <c r="E375" s="44" t="s">
        <v>384</v>
      </c>
      <c r="F375" s="44" t="s">
        <v>364</v>
      </c>
      <c r="G375" s="46" t="s">
        <v>1617</v>
      </c>
    </row>
    <row r="376" spans="1:7" x14ac:dyDescent="0.35">
      <c r="A376" s="39" t="s">
        <v>1618</v>
      </c>
      <c r="B376" s="40" t="s">
        <v>1619</v>
      </c>
      <c r="C376" s="41" t="s">
        <v>1620</v>
      </c>
      <c r="D376" s="40" t="s">
        <v>301</v>
      </c>
      <c r="E376" s="40" t="s">
        <v>250</v>
      </c>
      <c r="F376" s="40" t="s">
        <v>1621</v>
      </c>
      <c r="G376" s="42" t="s">
        <v>1622</v>
      </c>
    </row>
    <row r="377" spans="1:7" x14ac:dyDescent="0.35">
      <c r="A377" s="43" t="s">
        <v>1623</v>
      </c>
      <c r="B377" s="44" t="s">
        <v>1624</v>
      </c>
      <c r="C377" s="45" t="s">
        <v>1625</v>
      </c>
      <c r="D377" s="44" t="s">
        <v>1626</v>
      </c>
      <c r="E377" s="44" t="s">
        <v>642</v>
      </c>
      <c r="F377" s="44" t="s">
        <v>347</v>
      </c>
      <c r="G377" s="46" t="s">
        <v>1627</v>
      </c>
    </row>
    <row r="378" spans="1:7" x14ac:dyDescent="0.35">
      <c r="A378" s="39" t="s">
        <v>1628</v>
      </c>
      <c r="B378" s="40" t="s">
        <v>848</v>
      </c>
      <c r="C378" s="41" t="s">
        <v>1629</v>
      </c>
      <c r="D378" s="40" t="s">
        <v>1630</v>
      </c>
      <c r="E378" s="40" t="s">
        <v>364</v>
      </c>
      <c r="F378" s="40" t="s">
        <v>226</v>
      </c>
      <c r="G378" s="42" t="s">
        <v>1631</v>
      </c>
    </row>
    <row r="379" spans="1:7" x14ac:dyDescent="0.35">
      <c r="A379" s="43" t="s">
        <v>1632</v>
      </c>
      <c r="B379" s="44" t="s">
        <v>1633</v>
      </c>
      <c r="C379" s="45" t="s">
        <v>1634</v>
      </c>
      <c r="D379" s="44" t="s">
        <v>1635</v>
      </c>
      <c r="E379" s="44" t="s">
        <v>353</v>
      </c>
      <c r="F379" s="44" t="s">
        <v>859</v>
      </c>
      <c r="G379" s="46" t="s">
        <v>1636</v>
      </c>
    </row>
    <row r="380" spans="1:7" x14ac:dyDescent="0.35">
      <c r="A380" s="39" t="s">
        <v>1637</v>
      </c>
      <c r="B380" s="40" t="s">
        <v>1633</v>
      </c>
      <c r="C380" s="41" t="s">
        <v>1634</v>
      </c>
      <c r="D380" s="40" t="s">
        <v>1638</v>
      </c>
      <c r="E380" s="40" t="s">
        <v>353</v>
      </c>
      <c r="F380" s="40" t="s">
        <v>859</v>
      </c>
      <c r="G380" s="42" t="s">
        <v>1639</v>
      </c>
    </row>
    <row r="381" spans="1:7" x14ac:dyDescent="0.35">
      <c r="A381" s="43" t="s">
        <v>1640</v>
      </c>
      <c r="B381" s="44" t="s">
        <v>1641</v>
      </c>
      <c r="C381" s="45" t="s">
        <v>1642</v>
      </c>
      <c r="D381" s="44" t="s">
        <v>1643</v>
      </c>
      <c r="E381" s="44" t="s">
        <v>389</v>
      </c>
      <c r="F381" s="44" t="s">
        <v>268</v>
      </c>
      <c r="G381" s="46" t="s">
        <v>1644</v>
      </c>
    </row>
    <row r="382" spans="1:7" x14ac:dyDescent="0.35">
      <c r="A382" s="39" t="s">
        <v>1645</v>
      </c>
      <c r="B382" s="40" t="s">
        <v>1646</v>
      </c>
      <c r="C382" s="41" t="s">
        <v>1647</v>
      </c>
      <c r="D382" s="40" t="s">
        <v>1648</v>
      </c>
      <c r="E382" s="40" t="s">
        <v>268</v>
      </c>
      <c r="F382" s="40" t="s">
        <v>642</v>
      </c>
      <c r="G382" s="42" t="s">
        <v>1649</v>
      </c>
    </row>
    <row r="383" spans="1:7" x14ac:dyDescent="0.35">
      <c r="A383" s="43" t="s">
        <v>1650</v>
      </c>
      <c r="B383" s="44" t="s">
        <v>1651</v>
      </c>
      <c r="C383" s="45" t="s">
        <v>1652</v>
      </c>
      <c r="D383" s="44" t="s">
        <v>1653</v>
      </c>
      <c r="E383" s="44" t="s">
        <v>469</v>
      </c>
      <c r="F383" s="44" t="s">
        <v>457</v>
      </c>
      <c r="G383" s="46" t="s">
        <v>1654</v>
      </c>
    </row>
    <row r="384" spans="1:7" x14ac:dyDescent="0.35">
      <c r="A384" s="39" t="s">
        <v>1655</v>
      </c>
      <c r="B384" s="40" t="s">
        <v>1656</v>
      </c>
      <c r="C384" s="41" t="s">
        <v>1657</v>
      </c>
      <c r="D384" s="40" t="s">
        <v>1658</v>
      </c>
      <c r="E384" s="40" t="s">
        <v>267</v>
      </c>
      <c r="F384" s="40" t="s">
        <v>1557</v>
      </c>
      <c r="G384" s="42" t="s">
        <v>1659</v>
      </c>
    </row>
    <row r="385" spans="1:7" x14ac:dyDescent="0.35">
      <c r="A385" s="43" t="s">
        <v>1660</v>
      </c>
      <c r="B385" s="44" t="s">
        <v>1661</v>
      </c>
      <c r="C385" s="45" t="s">
        <v>1662</v>
      </c>
      <c r="D385" s="44" t="s">
        <v>1663</v>
      </c>
      <c r="E385" s="44" t="s">
        <v>463</v>
      </c>
      <c r="F385" s="44" t="s">
        <v>492</v>
      </c>
      <c r="G385" s="46" t="s">
        <v>1664</v>
      </c>
    </row>
    <row r="386" spans="1:7" x14ac:dyDescent="0.35">
      <c r="A386" s="39" t="s">
        <v>1665</v>
      </c>
      <c r="B386" s="40" t="s">
        <v>1661</v>
      </c>
      <c r="C386" s="41" t="s">
        <v>1662</v>
      </c>
      <c r="D386" s="40" t="s">
        <v>1666</v>
      </c>
      <c r="E386" s="40" t="s">
        <v>463</v>
      </c>
      <c r="F386" s="40" t="s">
        <v>492</v>
      </c>
      <c r="G386" s="42" t="s">
        <v>1667</v>
      </c>
    </row>
    <row r="387" spans="1:7" x14ac:dyDescent="0.35">
      <c r="A387" s="43" t="s">
        <v>1668</v>
      </c>
      <c r="B387" s="44" t="s">
        <v>1661</v>
      </c>
      <c r="C387" s="45" t="s">
        <v>1662</v>
      </c>
      <c r="D387" s="44" t="s">
        <v>1669</v>
      </c>
      <c r="E387" s="44" t="s">
        <v>463</v>
      </c>
      <c r="F387" s="44" t="s">
        <v>492</v>
      </c>
      <c r="G387" s="46" t="s">
        <v>1670</v>
      </c>
    </row>
    <row r="388" spans="1:7" x14ac:dyDescent="0.35">
      <c r="A388" s="39" t="s">
        <v>1671</v>
      </c>
      <c r="B388" s="40" t="s">
        <v>1672</v>
      </c>
      <c r="C388" s="41" t="s">
        <v>1673</v>
      </c>
      <c r="D388" s="40" t="s">
        <v>1674</v>
      </c>
      <c r="E388" s="40" t="s">
        <v>632</v>
      </c>
      <c r="F388" s="40" t="s">
        <v>220</v>
      </c>
      <c r="G388" s="42" t="s">
        <v>1675</v>
      </c>
    </row>
    <row r="389" spans="1:7" x14ac:dyDescent="0.35">
      <c r="A389" s="43" t="s">
        <v>1676</v>
      </c>
      <c r="B389" s="44" t="s">
        <v>1677</v>
      </c>
      <c r="C389" s="45" t="s">
        <v>1678</v>
      </c>
      <c r="D389" s="44" t="s">
        <v>307</v>
      </c>
      <c r="E389" s="44" t="s">
        <v>695</v>
      </c>
      <c r="F389" s="44" t="s">
        <v>1679</v>
      </c>
      <c r="G389" s="46" t="s">
        <v>1680</v>
      </c>
    </row>
    <row r="390" spans="1:7" x14ac:dyDescent="0.35">
      <c r="A390" s="39" t="s">
        <v>1681</v>
      </c>
      <c r="B390" s="40" t="s">
        <v>1576</v>
      </c>
      <c r="C390" s="41" t="s">
        <v>1682</v>
      </c>
      <c r="D390" s="40" t="s">
        <v>1683</v>
      </c>
      <c r="E390" s="40" t="s">
        <v>551</v>
      </c>
      <c r="F390" s="40" t="s">
        <v>214</v>
      </c>
      <c r="G390" s="42" t="s">
        <v>1684</v>
      </c>
    </row>
    <row r="391" spans="1:7" x14ac:dyDescent="0.35">
      <c r="A391" s="43" t="s">
        <v>1685</v>
      </c>
      <c r="B391" s="44" t="s">
        <v>1686</v>
      </c>
      <c r="C391" s="45" t="s">
        <v>1687</v>
      </c>
      <c r="D391" s="44" t="s">
        <v>1688</v>
      </c>
      <c r="E391" s="44" t="s">
        <v>469</v>
      </c>
      <c r="F391" s="44" t="s">
        <v>347</v>
      </c>
      <c r="G391" s="46" t="s">
        <v>1689</v>
      </c>
    </row>
    <row r="392" spans="1:7" x14ac:dyDescent="0.35">
      <c r="A392" s="39" t="s">
        <v>1690</v>
      </c>
      <c r="B392" s="40" t="s">
        <v>1686</v>
      </c>
      <c r="C392" s="41" t="s">
        <v>1687</v>
      </c>
      <c r="D392" s="40" t="s">
        <v>1691</v>
      </c>
      <c r="E392" s="40" t="s">
        <v>469</v>
      </c>
      <c r="F392" s="40" t="s">
        <v>347</v>
      </c>
      <c r="G392" s="42" t="s">
        <v>1692</v>
      </c>
    </row>
    <row r="393" spans="1:7" x14ac:dyDescent="0.35">
      <c r="A393" s="43" t="s">
        <v>1693</v>
      </c>
      <c r="B393" s="44" t="s">
        <v>1694</v>
      </c>
      <c r="C393" s="45" t="s">
        <v>1695</v>
      </c>
      <c r="D393" s="44" t="s">
        <v>1696</v>
      </c>
      <c r="E393" s="44" t="s">
        <v>642</v>
      </c>
      <c r="F393" s="44" t="s">
        <v>696</v>
      </c>
      <c r="G393" s="46" t="s">
        <v>1697</v>
      </c>
    </row>
    <row r="394" spans="1:7" x14ac:dyDescent="0.35">
      <c r="A394" s="39" t="s">
        <v>1698</v>
      </c>
      <c r="B394" s="40" t="s">
        <v>848</v>
      </c>
      <c r="C394" s="41" t="s">
        <v>1699</v>
      </c>
      <c r="D394" s="40" t="s">
        <v>1700</v>
      </c>
      <c r="E394" s="40" t="s">
        <v>463</v>
      </c>
      <c r="F394" s="40" t="s">
        <v>384</v>
      </c>
      <c r="G394" s="42" t="s">
        <v>1701</v>
      </c>
    </row>
    <row r="395" spans="1:7" x14ac:dyDescent="0.35">
      <c r="A395" s="43" t="s">
        <v>1702</v>
      </c>
      <c r="B395" s="44" t="s">
        <v>848</v>
      </c>
      <c r="C395" s="45" t="s">
        <v>1699</v>
      </c>
      <c r="D395" s="44" t="s">
        <v>1703</v>
      </c>
      <c r="E395" s="44" t="s">
        <v>463</v>
      </c>
      <c r="F395" s="44" t="s">
        <v>384</v>
      </c>
      <c r="G395" s="46" t="s">
        <v>1704</v>
      </c>
    </row>
    <row r="396" spans="1:7" x14ac:dyDescent="0.35">
      <c r="A396" s="39" t="s">
        <v>1705</v>
      </c>
      <c r="B396" s="40" t="s">
        <v>848</v>
      </c>
      <c r="C396" s="41" t="s">
        <v>1699</v>
      </c>
      <c r="D396" s="40" t="s">
        <v>1706</v>
      </c>
      <c r="E396" s="40" t="s">
        <v>463</v>
      </c>
      <c r="F396" s="40" t="s">
        <v>384</v>
      </c>
      <c r="G396" s="42" t="s">
        <v>1707</v>
      </c>
    </row>
    <row r="397" spans="1:7" x14ac:dyDescent="0.35">
      <c r="A397" s="43" t="s">
        <v>1708</v>
      </c>
      <c r="B397" s="44" t="s">
        <v>1709</v>
      </c>
      <c r="C397" s="45" t="s">
        <v>1710</v>
      </c>
      <c r="D397" s="44" t="s">
        <v>1711</v>
      </c>
      <c r="E397" s="44" t="s">
        <v>238</v>
      </c>
      <c r="F397" s="44" t="s">
        <v>316</v>
      </c>
      <c r="G397" s="46" t="s">
        <v>1712</v>
      </c>
    </row>
    <row r="398" spans="1:7" x14ac:dyDescent="0.35">
      <c r="A398" s="39" t="s">
        <v>1713</v>
      </c>
      <c r="B398" s="40" t="s">
        <v>1714</v>
      </c>
      <c r="C398" s="41" t="s">
        <v>1715</v>
      </c>
      <c r="D398" s="40" t="s">
        <v>1716</v>
      </c>
      <c r="E398" s="40" t="s">
        <v>364</v>
      </c>
      <c r="F398" s="40" t="s">
        <v>268</v>
      </c>
      <c r="G398" s="42" t="s">
        <v>1717</v>
      </c>
    </row>
    <row r="399" spans="1:7" x14ac:dyDescent="0.35">
      <c r="A399" s="43" t="s">
        <v>1718</v>
      </c>
      <c r="B399" s="44" t="s">
        <v>1714</v>
      </c>
      <c r="C399" s="45" t="s">
        <v>1715</v>
      </c>
      <c r="D399" s="44" t="s">
        <v>1719</v>
      </c>
      <c r="E399" s="44" t="s">
        <v>364</v>
      </c>
      <c r="F399" s="44" t="s">
        <v>268</v>
      </c>
      <c r="G399" s="46" t="s">
        <v>1720</v>
      </c>
    </row>
    <row r="400" spans="1:7" x14ac:dyDescent="0.35">
      <c r="A400" s="39" t="s">
        <v>1721</v>
      </c>
      <c r="B400" s="40" t="s">
        <v>1722</v>
      </c>
      <c r="C400" s="41" t="s">
        <v>1723</v>
      </c>
      <c r="D400" s="40" t="s">
        <v>1724</v>
      </c>
      <c r="E400" s="40" t="s">
        <v>590</v>
      </c>
      <c r="F400" s="40" t="s">
        <v>1725</v>
      </c>
      <c r="G400" s="42" t="s">
        <v>1726</v>
      </c>
    </row>
    <row r="401" spans="1:7" x14ac:dyDescent="0.35">
      <c r="A401" s="43" t="s">
        <v>1727</v>
      </c>
      <c r="B401" s="44" t="s">
        <v>862</v>
      </c>
      <c r="C401" s="45" t="s">
        <v>1728</v>
      </c>
      <c r="D401" s="44" t="s">
        <v>1729</v>
      </c>
      <c r="E401" s="44" t="s">
        <v>502</v>
      </c>
      <c r="F401" s="44" t="s">
        <v>353</v>
      </c>
      <c r="G401" s="46" t="s">
        <v>1730</v>
      </c>
    </row>
    <row r="402" spans="1:7" x14ac:dyDescent="0.35">
      <c r="A402" s="39" t="s">
        <v>1731</v>
      </c>
      <c r="B402" s="40" t="s">
        <v>1519</v>
      </c>
      <c r="C402" s="41" t="s">
        <v>1732</v>
      </c>
      <c r="D402" s="40" t="s">
        <v>1733</v>
      </c>
      <c r="E402" s="40" t="s">
        <v>268</v>
      </c>
      <c r="F402" s="40" t="s">
        <v>220</v>
      </c>
      <c r="G402" s="42" t="s">
        <v>1734</v>
      </c>
    </row>
    <row r="403" spans="1:7" x14ac:dyDescent="0.35">
      <c r="A403" s="43" t="s">
        <v>1735</v>
      </c>
      <c r="B403" s="44" t="s">
        <v>1736</v>
      </c>
      <c r="C403" s="45" t="s">
        <v>1737</v>
      </c>
      <c r="D403" s="44" t="s">
        <v>1738</v>
      </c>
      <c r="E403" s="44" t="s">
        <v>551</v>
      </c>
      <c r="F403" s="44" t="s">
        <v>648</v>
      </c>
      <c r="G403" s="46" t="s">
        <v>1739</v>
      </c>
    </row>
    <row r="404" spans="1:7" x14ac:dyDescent="0.35">
      <c r="A404" s="39" t="s">
        <v>1740</v>
      </c>
      <c r="B404" s="40" t="s">
        <v>1741</v>
      </c>
      <c r="C404" s="41" t="s">
        <v>1742</v>
      </c>
      <c r="D404" s="40" t="s">
        <v>1743</v>
      </c>
      <c r="E404" s="40" t="s">
        <v>469</v>
      </c>
      <c r="F404" s="40" t="s">
        <v>792</v>
      </c>
      <c r="G404" s="42" t="s">
        <v>1744</v>
      </c>
    </row>
    <row r="405" spans="1:7" x14ac:dyDescent="0.35">
      <c r="A405" s="43" t="s">
        <v>1745</v>
      </c>
      <c r="B405" s="44" t="s">
        <v>1746</v>
      </c>
      <c r="C405" s="45" t="s">
        <v>1747</v>
      </c>
      <c r="D405" s="44" t="s">
        <v>1748</v>
      </c>
      <c r="E405" s="44" t="s">
        <v>353</v>
      </c>
      <c r="F405" s="44" t="s">
        <v>364</v>
      </c>
      <c r="G405" s="46" t="s">
        <v>1749</v>
      </c>
    </row>
    <row r="406" spans="1:7" x14ac:dyDescent="0.35">
      <c r="A406" s="39" t="s">
        <v>1750</v>
      </c>
      <c r="B406" s="40" t="s">
        <v>1751</v>
      </c>
      <c r="C406" s="41" t="s">
        <v>1752</v>
      </c>
      <c r="D406" s="40" t="s">
        <v>347</v>
      </c>
      <c r="E406" s="40" t="s">
        <v>580</v>
      </c>
      <c r="F406" s="40" t="s">
        <v>648</v>
      </c>
      <c r="G406" s="42" t="s">
        <v>1753</v>
      </c>
    </row>
    <row r="407" spans="1:7" x14ac:dyDescent="0.35">
      <c r="A407" s="43" t="s">
        <v>1754</v>
      </c>
      <c r="B407" s="44" t="s">
        <v>1755</v>
      </c>
      <c r="C407" s="45" t="s">
        <v>1756</v>
      </c>
      <c r="D407" s="44" t="s">
        <v>1757</v>
      </c>
      <c r="E407" s="44" t="s">
        <v>389</v>
      </c>
      <c r="F407" s="44" t="s">
        <v>492</v>
      </c>
      <c r="G407" s="46" t="s">
        <v>1758</v>
      </c>
    </row>
    <row r="408" spans="1:7" x14ac:dyDescent="0.35">
      <c r="A408" s="39" t="s">
        <v>1759</v>
      </c>
      <c r="B408" s="40" t="s">
        <v>1755</v>
      </c>
      <c r="C408" s="41" t="s">
        <v>1756</v>
      </c>
      <c r="D408" s="40" t="s">
        <v>1760</v>
      </c>
      <c r="E408" s="40" t="s">
        <v>389</v>
      </c>
      <c r="F408" s="40" t="s">
        <v>492</v>
      </c>
      <c r="G408" s="42" t="s">
        <v>1761</v>
      </c>
    </row>
    <row r="409" spans="1:7" x14ac:dyDescent="0.35">
      <c r="A409" s="43" t="s">
        <v>1762</v>
      </c>
      <c r="B409" s="44" t="s">
        <v>1763</v>
      </c>
      <c r="C409" s="45" t="s">
        <v>1764</v>
      </c>
      <c r="D409" s="44" t="s">
        <v>1765</v>
      </c>
      <c r="E409" s="44" t="s">
        <v>221</v>
      </c>
      <c r="F409" s="44" t="s">
        <v>642</v>
      </c>
      <c r="G409" s="46" t="s">
        <v>1766</v>
      </c>
    </row>
    <row r="410" spans="1:7" x14ac:dyDescent="0.35">
      <c r="A410" s="39" t="s">
        <v>1767</v>
      </c>
      <c r="B410" s="40" t="s">
        <v>1763</v>
      </c>
      <c r="C410" s="41" t="s">
        <v>1764</v>
      </c>
      <c r="D410" s="40" t="s">
        <v>1768</v>
      </c>
      <c r="E410" s="40" t="s">
        <v>221</v>
      </c>
      <c r="F410" s="40" t="s">
        <v>642</v>
      </c>
      <c r="G410" s="42" t="s">
        <v>1769</v>
      </c>
    </row>
    <row r="411" spans="1:7" x14ac:dyDescent="0.35">
      <c r="A411" s="43" t="s">
        <v>1770</v>
      </c>
      <c r="B411" s="44" t="s">
        <v>1763</v>
      </c>
      <c r="C411" s="45" t="s">
        <v>1764</v>
      </c>
      <c r="D411" s="44" t="s">
        <v>1771</v>
      </c>
      <c r="E411" s="44" t="s">
        <v>221</v>
      </c>
      <c r="F411" s="44" t="s">
        <v>642</v>
      </c>
      <c r="G411" s="46" t="s">
        <v>1772</v>
      </c>
    </row>
    <row r="412" spans="1:7" x14ac:dyDescent="0.35">
      <c r="A412" s="39" t="s">
        <v>1773</v>
      </c>
      <c r="B412" s="40" t="s">
        <v>1774</v>
      </c>
      <c r="C412" s="41" t="s">
        <v>1775</v>
      </c>
      <c r="D412" s="40" t="s">
        <v>502</v>
      </c>
      <c r="E412" s="40" t="s">
        <v>509</v>
      </c>
      <c r="F412" s="40" t="s">
        <v>285</v>
      </c>
      <c r="G412" s="42" t="s">
        <v>1776</v>
      </c>
    </row>
    <row r="413" spans="1:7" x14ac:dyDescent="0.35">
      <c r="A413" s="43" t="s">
        <v>1777</v>
      </c>
      <c r="B413" s="44" t="s">
        <v>1774</v>
      </c>
      <c r="C413" s="45" t="s">
        <v>1775</v>
      </c>
      <c r="D413" s="44" t="s">
        <v>1778</v>
      </c>
      <c r="E413" s="44" t="s">
        <v>509</v>
      </c>
      <c r="F413" s="44" t="s">
        <v>285</v>
      </c>
      <c r="G413" s="46" t="s">
        <v>1779</v>
      </c>
    </row>
    <row r="414" spans="1:7" x14ac:dyDescent="0.35">
      <c r="A414" s="39" t="s">
        <v>1780</v>
      </c>
      <c r="B414" s="40" t="s">
        <v>1781</v>
      </c>
      <c r="C414" s="41" t="s">
        <v>1782</v>
      </c>
      <c r="D414" s="40" t="s">
        <v>1783</v>
      </c>
      <c r="E414" s="40" t="s">
        <v>580</v>
      </c>
      <c r="F414" s="40" t="s">
        <v>1784</v>
      </c>
      <c r="G414" s="42" t="s">
        <v>1785</v>
      </c>
    </row>
    <row r="415" spans="1:7" x14ac:dyDescent="0.35">
      <c r="A415" s="43" t="s">
        <v>1786</v>
      </c>
      <c r="B415" s="44" t="s">
        <v>1581</v>
      </c>
      <c r="C415" s="45" t="s">
        <v>1787</v>
      </c>
      <c r="D415" s="44" t="s">
        <v>1788</v>
      </c>
      <c r="E415" s="44" t="s">
        <v>463</v>
      </c>
      <c r="F415" s="44" t="s">
        <v>280</v>
      </c>
      <c r="G415" s="46" t="s">
        <v>1789</v>
      </c>
    </row>
    <row r="416" spans="1:7" x14ac:dyDescent="0.35">
      <c r="A416" s="39" t="s">
        <v>1790</v>
      </c>
      <c r="B416" s="40" t="s">
        <v>1581</v>
      </c>
      <c r="C416" s="41" t="s">
        <v>1787</v>
      </c>
      <c r="D416" s="40" t="s">
        <v>1791</v>
      </c>
      <c r="E416" s="40" t="s">
        <v>463</v>
      </c>
      <c r="F416" s="40" t="s">
        <v>280</v>
      </c>
      <c r="G416" s="42" t="s">
        <v>1792</v>
      </c>
    </row>
    <row r="417" spans="1:7" x14ac:dyDescent="0.35">
      <c r="A417" s="43" t="s">
        <v>1793</v>
      </c>
      <c r="B417" s="44" t="s">
        <v>1581</v>
      </c>
      <c r="C417" s="45" t="s">
        <v>1787</v>
      </c>
      <c r="D417" s="44" t="s">
        <v>1794</v>
      </c>
      <c r="E417" s="44" t="s">
        <v>463</v>
      </c>
      <c r="F417" s="44" t="s">
        <v>280</v>
      </c>
      <c r="G417" s="46" t="s">
        <v>1795</v>
      </c>
    </row>
    <row r="418" spans="1:7" x14ac:dyDescent="0.35">
      <c r="A418" s="39" t="s">
        <v>1796</v>
      </c>
      <c r="B418" s="40" t="s">
        <v>774</v>
      </c>
      <c r="C418" s="41" t="s">
        <v>1797</v>
      </c>
      <c r="D418" s="40" t="s">
        <v>1516</v>
      </c>
      <c r="E418" s="40" t="s">
        <v>531</v>
      </c>
      <c r="F418" s="40" t="s">
        <v>502</v>
      </c>
      <c r="G418" s="42" t="s">
        <v>1798</v>
      </c>
    </row>
    <row r="419" spans="1:7" x14ac:dyDescent="0.35">
      <c r="A419" s="43" t="s">
        <v>1799</v>
      </c>
      <c r="B419" s="44" t="s">
        <v>1800</v>
      </c>
      <c r="C419" s="45" t="s">
        <v>1801</v>
      </c>
      <c r="D419" s="44" t="s">
        <v>1802</v>
      </c>
      <c r="E419" s="44" t="s">
        <v>509</v>
      </c>
      <c r="F419" s="44" t="s">
        <v>280</v>
      </c>
      <c r="G419" s="46" t="s">
        <v>1803</v>
      </c>
    </row>
    <row r="420" spans="1:7" x14ac:dyDescent="0.35">
      <c r="A420" s="39" t="s">
        <v>1804</v>
      </c>
      <c r="B420" s="40" t="s">
        <v>1805</v>
      </c>
      <c r="C420" s="41" t="s">
        <v>1806</v>
      </c>
      <c r="D420" s="40" t="s">
        <v>1807</v>
      </c>
      <c r="E420" s="40" t="s">
        <v>364</v>
      </c>
      <c r="F420" s="40" t="s">
        <v>632</v>
      </c>
      <c r="G420" s="42" t="s">
        <v>1808</v>
      </c>
    </row>
    <row r="421" spans="1:7" x14ac:dyDescent="0.35">
      <c r="A421" s="43" t="s">
        <v>1809</v>
      </c>
      <c r="B421" s="44" t="s">
        <v>1805</v>
      </c>
      <c r="C421" s="45" t="s">
        <v>1806</v>
      </c>
      <c r="D421" s="44" t="s">
        <v>268</v>
      </c>
      <c r="E421" s="44" t="s">
        <v>364</v>
      </c>
      <c r="F421" s="44" t="s">
        <v>632</v>
      </c>
      <c r="G421" s="46" t="s">
        <v>1810</v>
      </c>
    </row>
    <row r="422" spans="1:7" x14ac:dyDescent="0.35">
      <c r="A422" s="39" t="s">
        <v>1811</v>
      </c>
      <c r="B422" s="40" t="s">
        <v>1812</v>
      </c>
      <c r="C422" s="41" t="s">
        <v>1813</v>
      </c>
      <c r="D422" s="40" t="s">
        <v>1814</v>
      </c>
      <c r="E422" s="40" t="s">
        <v>232</v>
      </c>
      <c r="F422" s="40" t="s">
        <v>279</v>
      </c>
      <c r="G422" s="42" t="s">
        <v>1815</v>
      </c>
    </row>
    <row r="423" spans="1:7" x14ac:dyDescent="0.35">
      <c r="A423" s="43" t="s">
        <v>1816</v>
      </c>
      <c r="B423" s="44" t="s">
        <v>1817</v>
      </c>
      <c r="C423" s="45" t="s">
        <v>1818</v>
      </c>
      <c r="D423" s="44" t="s">
        <v>1819</v>
      </c>
      <c r="E423" s="44" t="s">
        <v>648</v>
      </c>
      <c r="F423" s="44" t="s">
        <v>492</v>
      </c>
      <c r="G423" s="46" t="s">
        <v>1820</v>
      </c>
    </row>
    <row r="424" spans="1:7" x14ac:dyDescent="0.35">
      <c r="A424" s="39" t="s">
        <v>1821</v>
      </c>
      <c r="B424" s="40" t="s">
        <v>1822</v>
      </c>
      <c r="C424" s="41" t="s">
        <v>1823</v>
      </c>
      <c r="D424" s="40" t="s">
        <v>1824</v>
      </c>
      <c r="E424" s="40" t="s">
        <v>551</v>
      </c>
      <c r="F424" s="40" t="s">
        <v>463</v>
      </c>
      <c r="G424" s="42" t="s">
        <v>1825</v>
      </c>
    </row>
    <row r="425" spans="1:7" x14ac:dyDescent="0.35">
      <c r="A425" s="43" t="s">
        <v>1826</v>
      </c>
      <c r="B425" s="44" t="s">
        <v>1827</v>
      </c>
      <c r="C425" s="45" t="s">
        <v>1828</v>
      </c>
      <c r="D425" s="44" t="s">
        <v>1829</v>
      </c>
      <c r="E425" s="44" t="s">
        <v>509</v>
      </c>
      <c r="F425" s="44" t="s">
        <v>220</v>
      </c>
      <c r="G425" s="46" t="s">
        <v>1830</v>
      </c>
    </row>
    <row r="426" spans="1:7" x14ac:dyDescent="0.35">
      <c r="A426" s="39" t="s">
        <v>1831</v>
      </c>
      <c r="B426" s="40" t="s">
        <v>1832</v>
      </c>
      <c r="C426" s="41" t="s">
        <v>1833</v>
      </c>
      <c r="D426" s="40" t="s">
        <v>1834</v>
      </c>
      <c r="E426" s="40" t="s">
        <v>285</v>
      </c>
      <c r="F426" s="40" t="s">
        <v>369</v>
      </c>
      <c r="G426" s="42" t="s">
        <v>1835</v>
      </c>
    </row>
    <row r="427" spans="1:7" x14ac:dyDescent="0.35">
      <c r="A427" s="43" t="s">
        <v>1836</v>
      </c>
      <c r="B427" s="44" t="s">
        <v>1601</v>
      </c>
      <c r="C427" s="45" t="s">
        <v>1837</v>
      </c>
      <c r="D427" s="44" t="s">
        <v>1838</v>
      </c>
      <c r="E427" s="44" t="s">
        <v>502</v>
      </c>
      <c r="F427" s="44" t="s">
        <v>469</v>
      </c>
      <c r="G427" s="46" t="s">
        <v>1839</v>
      </c>
    </row>
    <row r="428" spans="1:7" x14ac:dyDescent="0.35">
      <c r="A428" s="39" t="s">
        <v>1840</v>
      </c>
      <c r="B428" s="40" t="s">
        <v>1601</v>
      </c>
      <c r="C428" s="41" t="s">
        <v>1837</v>
      </c>
      <c r="D428" s="40" t="s">
        <v>1841</v>
      </c>
      <c r="E428" s="40" t="s">
        <v>502</v>
      </c>
      <c r="F428" s="40" t="s">
        <v>469</v>
      </c>
      <c r="G428" s="42" t="s">
        <v>1842</v>
      </c>
    </row>
    <row r="429" spans="1:7" x14ac:dyDescent="0.35">
      <c r="A429" s="43" t="s">
        <v>1843</v>
      </c>
      <c r="B429" s="44" t="s">
        <v>1844</v>
      </c>
      <c r="C429" s="45" t="s">
        <v>1845</v>
      </c>
      <c r="D429" s="44" t="s">
        <v>1846</v>
      </c>
      <c r="E429" s="44" t="s">
        <v>384</v>
      </c>
      <c r="F429" s="44" t="s">
        <v>580</v>
      </c>
      <c r="G429" s="46" t="s">
        <v>1847</v>
      </c>
    </row>
    <row r="430" spans="1:7" x14ac:dyDescent="0.35">
      <c r="A430" s="39" t="s">
        <v>1848</v>
      </c>
      <c r="B430" s="40" t="s">
        <v>1849</v>
      </c>
      <c r="C430" s="41" t="s">
        <v>1850</v>
      </c>
      <c r="D430" s="40" t="s">
        <v>1851</v>
      </c>
      <c r="E430" s="40" t="s">
        <v>389</v>
      </c>
      <c r="F430" s="40" t="s">
        <v>384</v>
      </c>
      <c r="G430" s="42" t="s">
        <v>1852</v>
      </c>
    </row>
    <row r="431" spans="1:7" x14ac:dyDescent="0.35">
      <c r="A431" s="43" t="s">
        <v>1853</v>
      </c>
      <c r="B431" s="44" t="s">
        <v>1849</v>
      </c>
      <c r="C431" s="45" t="s">
        <v>1850</v>
      </c>
      <c r="D431" s="44" t="s">
        <v>1854</v>
      </c>
      <c r="E431" s="44" t="s">
        <v>389</v>
      </c>
      <c r="F431" s="44" t="s">
        <v>384</v>
      </c>
      <c r="G431" s="46" t="s">
        <v>1855</v>
      </c>
    </row>
    <row r="432" spans="1:7" x14ac:dyDescent="0.35">
      <c r="A432" s="39" t="s">
        <v>1856</v>
      </c>
      <c r="B432" s="40" t="s">
        <v>1857</v>
      </c>
      <c r="C432" s="41" t="s">
        <v>1858</v>
      </c>
      <c r="D432" s="40" t="s">
        <v>1859</v>
      </c>
      <c r="E432" s="40" t="s">
        <v>347</v>
      </c>
      <c r="F432" s="40" t="s">
        <v>401</v>
      </c>
      <c r="G432" s="42" t="s">
        <v>1860</v>
      </c>
    </row>
    <row r="433" spans="1:7" x14ac:dyDescent="0.35">
      <c r="A433" s="43" t="s">
        <v>1861</v>
      </c>
      <c r="B433" s="44" t="s">
        <v>1862</v>
      </c>
      <c r="C433" s="45" t="s">
        <v>1863</v>
      </c>
      <c r="D433" s="44" t="s">
        <v>1864</v>
      </c>
      <c r="E433" s="44" t="s">
        <v>226</v>
      </c>
      <c r="F433" s="44" t="s">
        <v>285</v>
      </c>
      <c r="G433" s="46" t="s">
        <v>1865</v>
      </c>
    </row>
    <row r="434" spans="1:7" x14ac:dyDescent="0.35">
      <c r="A434" s="39" t="s">
        <v>1866</v>
      </c>
      <c r="B434" s="40" t="s">
        <v>1867</v>
      </c>
      <c r="C434" s="41" t="s">
        <v>1868</v>
      </c>
      <c r="D434" s="40" t="s">
        <v>1869</v>
      </c>
      <c r="E434" s="40" t="s">
        <v>642</v>
      </c>
      <c r="F434" s="40" t="s">
        <v>648</v>
      </c>
      <c r="G434" s="42" t="s">
        <v>1870</v>
      </c>
    </row>
    <row r="435" spans="1:7" x14ac:dyDescent="0.35">
      <c r="A435" s="43" t="s">
        <v>1871</v>
      </c>
      <c r="B435" s="44" t="s">
        <v>1872</v>
      </c>
      <c r="C435" s="45" t="s">
        <v>1873</v>
      </c>
      <c r="D435" s="44" t="s">
        <v>1874</v>
      </c>
      <c r="E435" s="44" t="s">
        <v>541</v>
      </c>
      <c r="F435" s="44" t="s">
        <v>1875</v>
      </c>
      <c r="G435" s="46" t="s">
        <v>1876</v>
      </c>
    </row>
    <row r="436" spans="1:7" x14ac:dyDescent="0.35">
      <c r="A436" s="39" t="s">
        <v>1877</v>
      </c>
      <c r="B436" s="40" t="s">
        <v>848</v>
      </c>
      <c r="C436" s="41" t="s">
        <v>1878</v>
      </c>
      <c r="D436" s="40" t="s">
        <v>1879</v>
      </c>
      <c r="E436" s="40" t="s">
        <v>221</v>
      </c>
      <c r="F436" s="40" t="s">
        <v>551</v>
      </c>
      <c r="G436" s="42" t="s">
        <v>1880</v>
      </c>
    </row>
    <row r="437" spans="1:7" x14ac:dyDescent="0.35">
      <c r="A437" s="43" t="s">
        <v>1881</v>
      </c>
      <c r="B437" s="44" t="s">
        <v>848</v>
      </c>
      <c r="C437" s="45" t="s">
        <v>1878</v>
      </c>
      <c r="D437" s="44" t="s">
        <v>1882</v>
      </c>
      <c r="E437" s="44" t="s">
        <v>221</v>
      </c>
      <c r="F437" s="44" t="s">
        <v>551</v>
      </c>
      <c r="G437" s="46" t="s">
        <v>1883</v>
      </c>
    </row>
    <row r="438" spans="1:7" x14ac:dyDescent="0.35">
      <c r="A438" s="39" t="s">
        <v>1884</v>
      </c>
      <c r="B438" s="40" t="s">
        <v>848</v>
      </c>
      <c r="C438" s="41" t="s">
        <v>1878</v>
      </c>
      <c r="D438" s="40" t="s">
        <v>208</v>
      </c>
      <c r="E438" s="40" t="s">
        <v>221</v>
      </c>
      <c r="F438" s="40" t="s">
        <v>551</v>
      </c>
      <c r="G438" s="42" t="s">
        <v>1885</v>
      </c>
    </row>
    <row r="439" spans="1:7" x14ac:dyDescent="0.35">
      <c r="A439" s="43" t="s">
        <v>1886</v>
      </c>
      <c r="B439" s="44" t="s">
        <v>1887</v>
      </c>
      <c r="C439" s="45" t="s">
        <v>1888</v>
      </c>
      <c r="D439" s="44" t="s">
        <v>1889</v>
      </c>
      <c r="E439" s="44" t="s">
        <v>470</v>
      </c>
      <c r="F439" s="44" t="s">
        <v>541</v>
      </c>
      <c r="G439" s="46" t="s">
        <v>1890</v>
      </c>
    </row>
    <row r="440" spans="1:7" x14ac:dyDescent="0.35">
      <c r="A440" s="39" t="s">
        <v>1891</v>
      </c>
      <c r="B440" s="40" t="s">
        <v>1892</v>
      </c>
      <c r="C440" s="41" t="s">
        <v>1893</v>
      </c>
      <c r="D440" s="40" t="s">
        <v>1894</v>
      </c>
      <c r="E440" s="40" t="s">
        <v>280</v>
      </c>
      <c r="F440" s="40" t="s">
        <v>551</v>
      </c>
      <c r="G440" s="42" t="s">
        <v>1895</v>
      </c>
    </row>
    <row r="441" spans="1:7" x14ac:dyDescent="0.35">
      <c r="A441" s="43" t="s">
        <v>1896</v>
      </c>
      <c r="B441" s="44" t="s">
        <v>1897</v>
      </c>
      <c r="C441" s="45" t="s">
        <v>1898</v>
      </c>
      <c r="D441" s="44" t="s">
        <v>1899</v>
      </c>
      <c r="E441" s="44" t="s">
        <v>509</v>
      </c>
      <c r="F441" s="44" t="s">
        <v>590</v>
      </c>
      <c r="G441" s="46" t="s">
        <v>1900</v>
      </c>
    </row>
    <row r="442" spans="1:7" x14ac:dyDescent="0.35">
      <c r="A442" s="39" t="s">
        <v>1901</v>
      </c>
      <c r="B442" s="40" t="s">
        <v>1651</v>
      </c>
      <c r="C442" s="41" t="s">
        <v>1902</v>
      </c>
      <c r="D442" s="40" t="s">
        <v>1903</v>
      </c>
      <c r="E442" s="40" t="s">
        <v>463</v>
      </c>
      <c r="F442" s="40" t="s">
        <v>353</v>
      </c>
      <c r="G442" s="42" t="s">
        <v>1904</v>
      </c>
    </row>
    <row r="443" spans="1:7" x14ac:dyDescent="0.35">
      <c r="A443" s="43" t="s">
        <v>1905</v>
      </c>
      <c r="B443" s="44" t="s">
        <v>1651</v>
      </c>
      <c r="C443" s="45" t="s">
        <v>1902</v>
      </c>
      <c r="D443" s="44" t="s">
        <v>1906</v>
      </c>
      <c r="E443" s="44" t="s">
        <v>463</v>
      </c>
      <c r="F443" s="44" t="s">
        <v>353</v>
      </c>
      <c r="G443" s="46" t="s">
        <v>1907</v>
      </c>
    </row>
    <row r="444" spans="1:7" x14ac:dyDescent="0.35">
      <c r="A444" s="39" t="s">
        <v>1908</v>
      </c>
      <c r="B444" s="40" t="s">
        <v>1909</v>
      </c>
      <c r="C444" s="41" t="s">
        <v>1910</v>
      </c>
      <c r="D444" s="40" t="s">
        <v>1911</v>
      </c>
      <c r="E444" s="40" t="s">
        <v>632</v>
      </c>
      <c r="F444" s="40" t="s">
        <v>353</v>
      </c>
      <c r="G444" s="42" t="s">
        <v>1912</v>
      </c>
    </row>
    <row r="445" spans="1:7" x14ac:dyDescent="0.35">
      <c r="A445" s="43" t="s">
        <v>1913</v>
      </c>
      <c r="B445" s="44" t="s">
        <v>1512</v>
      </c>
      <c r="C445" s="45" t="s">
        <v>1914</v>
      </c>
      <c r="D445" s="44" t="s">
        <v>1915</v>
      </c>
      <c r="E445" s="44" t="s">
        <v>551</v>
      </c>
      <c r="F445" s="44" t="s">
        <v>509</v>
      </c>
      <c r="G445" s="46" t="s">
        <v>1916</v>
      </c>
    </row>
    <row r="446" spans="1:7" x14ac:dyDescent="0.35">
      <c r="A446" s="39" t="s">
        <v>1917</v>
      </c>
      <c r="B446" s="40" t="s">
        <v>1512</v>
      </c>
      <c r="C446" s="41" t="s">
        <v>1914</v>
      </c>
      <c r="D446" s="40" t="s">
        <v>1918</v>
      </c>
      <c r="E446" s="40" t="s">
        <v>551</v>
      </c>
      <c r="F446" s="40" t="s">
        <v>509</v>
      </c>
      <c r="G446" s="42" t="s">
        <v>1919</v>
      </c>
    </row>
    <row r="447" spans="1:7" x14ac:dyDescent="0.35">
      <c r="A447" s="43" t="s">
        <v>1920</v>
      </c>
      <c r="B447" s="44" t="s">
        <v>1921</v>
      </c>
      <c r="C447" s="45" t="s">
        <v>1922</v>
      </c>
      <c r="D447" s="44" t="s">
        <v>1923</v>
      </c>
      <c r="E447" s="44" t="s">
        <v>1924</v>
      </c>
      <c r="F447" s="44" t="s">
        <v>1924</v>
      </c>
      <c r="G447" s="46" t="s">
        <v>1925</v>
      </c>
    </row>
    <row r="448" spans="1:7" x14ac:dyDescent="0.35">
      <c r="A448" s="39" t="s">
        <v>1926</v>
      </c>
      <c r="B448" s="40" t="s">
        <v>1927</v>
      </c>
      <c r="C448" s="41" t="s">
        <v>1928</v>
      </c>
      <c r="D448" s="40" t="s">
        <v>1929</v>
      </c>
      <c r="E448" s="40" t="s">
        <v>590</v>
      </c>
      <c r="F448" s="40" t="s">
        <v>859</v>
      </c>
      <c r="G448" s="42" t="s">
        <v>1930</v>
      </c>
    </row>
    <row r="449" spans="1:7" x14ac:dyDescent="0.35">
      <c r="A449" s="43" t="s">
        <v>1931</v>
      </c>
      <c r="B449" s="44" t="s">
        <v>1932</v>
      </c>
      <c r="C449" s="45" t="s">
        <v>1933</v>
      </c>
      <c r="D449" s="44" t="s">
        <v>1934</v>
      </c>
      <c r="E449" s="44" t="s">
        <v>389</v>
      </c>
      <c r="F449" s="44" t="s">
        <v>221</v>
      </c>
      <c r="G449" s="46" t="s">
        <v>1935</v>
      </c>
    </row>
    <row r="450" spans="1:7" x14ac:dyDescent="0.35">
      <c r="A450" s="39" t="s">
        <v>1936</v>
      </c>
      <c r="B450" s="40" t="s">
        <v>1932</v>
      </c>
      <c r="C450" s="41" t="s">
        <v>1933</v>
      </c>
      <c r="D450" s="40" t="s">
        <v>1937</v>
      </c>
      <c r="E450" s="40" t="s">
        <v>389</v>
      </c>
      <c r="F450" s="40" t="s">
        <v>221</v>
      </c>
      <c r="G450" s="42" t="s">
        <v>1938</v>
      </c>
    </row>
    <row r="451" spans="1:7" x14ac:dyDescent="0.35">
      <c r="A451" s="43" t="s">
        <v>1939</v>
      </c>
      <c r="B451" s="44" t="s">
        <v>1661</v>
      </c>
      <c r="C451" s="45" t="s">
        <v>1940</v>
      </c>
      <c r="D451" s="44" t="s">
        <v>1941</v>
      </c>
      <c r="E451" s="44" t="s">
        <v>307</v>
      </c>
      <c r="F451" s="44" t="s">
        <v>364</v>
      </c>
      <c r="G451" s="46" t="s">
        <v>1942</v>
      </c>
    </row>
    <row r="452" spans="1:7" x14ac:dyDescent="0.35">
      <c r="A452" s="39" t="s">
        <v>1943</v>
      </c>
      <c r="B452" s="40" t="s">
        <v>1661</v>
      </c>
      <c r="C452" s="41" t="s">
        <v>1940</v>
      </c>
      <c r="D452" s="40" t="s">
        <v>1944</v>
      </c>
      <c r="E452" s="40" t="s">
        <v>307</v>
      </c>
      <c r="F452" s="40" t="s">
        <v>364</v>
      </c>
      <c r="G452" s="42" t="s">
        <v>1945</v>
      </c>
    </row>
    <row r="453" spans="1:7" x14ac:dyDescent="0.35">
      <c r="A453" s="43" t="s">
        <v>1946</v>
      </c>
      <c r="B453" s="44" t="s">
        <v>1661</v>
      </c>
      <c r="C453" s="45" t="s">
        <v>1940</v>
      </c>
      <c r="D453" s="44" t="s">
        <v>369</v>
      </c>
      <c r="E453" s="44" t="s">
        <v>307</v>
      </c>
      <c r="F453" s="44" t="s">
        <v>364</v>
      </c>
      <c r="G453" s="46" t="s">
        <v>1947</v>
      </c>
    </row>
    <row r="454" spans="1:7" x14ac:dyDescent="0.35">
      <c r="A454" s="39" t="s">
        <v>1948</v>
      </c>
      <c r="B454" s="40" t="s">
        <v>1661</v>
      </c>
      <c r="C454" s="41" t="s">
        <v>1940</v>
      </c>
      <c r="D454" s="40" t="s">
        <v>1949</v>
      </c>
      <c r="E454" s="40" t="s">
        <v>307</v>
      </c>
      <c r="F454" s="40" t="s">
        <v>364</v>
      </c>
      <c r="G454" s="42" t="s">
        <v>1950</v>
      </c>
    </row>
    <row r="455" spans="1:7" x14ac:dyDescent="0.35">
      <c r="A455" s="43" t="s">
        <v>1951</v>
      </c>
      <c r="B455" s="44" t="s">
        <v>1661</v>
      </c>
      <c r="C455" s="45" t="s">
        <v>1940</v>
      </c>
      <c r="D455" s="44" t="s">
        <v>1952</v>
      </c>
      <c r="E455" s="44" t="s">
        <v>307</v>
      </c>
      <c r="F455" s="44" t="s">
        <v>364</v>
      </c>
      <c r="G455" s="46" t="s">
        <v>1953</v>
      </c>
    </row>
    <row r="456" spans="1:7" x14ac:dyDescent="0.35">
      <c r="A456" s="39" t="s">
        <v>1954</v>
      </c>
      <c r="B456" s="40" t="s">
        <v>1661</v>
      </c>
      <c r="C456" s="41" t="s">
        <v>1940</v>
      </c>
      <c r="D456" s="40" t="s">
        <v>273</v>
      </c>
      <c r="E456" s="40" t="s">
        <v>307</v>
      </c>
      <c r="F456" s="40" t="s">
        <v>364</v>
      </c>
      <c r="G456" s="42" t="s">
        <v>1955</v>
      </c>
    </row>
    <row r="457" spans="1:7" x14ac:dyDescent="0.35">
      <c r="A457" s="43" t="s">
        <v>1956</v>
      </c>
      <c r="B457" s="44" t="s">
        <v>1957</v>
      </c>
      <c r="C457" s="45" t="s">
        <v>1958</v>
      </c>
      <c r="D457" s="44" t="s">
        <v>1959</v>
      </c>
      <c r="E457" s="44" t="s">
        <v>696</v>
      </c>
      <c r="F457" s="44" t="s">
        <v>1528</v>
      </c>
      <c r="G457" s="46" t="s">
        <v>1960</v>
      </c>
    </row>
    <row r="458" spans="1:7" x14ac:dyDescent="0.35">
      <c r="A458" s="39" t="s">
        <v>1961</v>
      </c>
      <c r="B458" s="40" t="s">
        <v>1962</v>
      </c>
      <c r="C458" s="41" t="s">
        <v>1963</v>
      </c>
      <c r="D458" s="40" t="s">
        <v>1964</v>
      </c>
      <c r="E458" s="40" t="s">
        <v>364</v>
      </c>
      <c r="F458" s="40" t="s">
        <v>502</v>
      </c>
      <c r="G458" s="42" t="s">
        <v>1965</v>
      </c>
    </row>
    <row r="459" spans="1:7" x14ac:dyDescent="0.35">
      <c r="A459" s="43" t="s">
        <v>1966</v>
      </c>
      <c r="B459" s="44" t="s">
        <v>1967</v>
      </c>
      <c r="C459" s="45" t="s">
        <v>1968</v>
      </c>
      <c r="D459" s="44" t="s">
        <v>1969</v>
      </c>
      <c r="E459" s="44" t="s">
        <v>279</v>
      </c>
      <c r="F459" s="44" t="s">
        <v>1970</v>
      </c>
      <c r="G459" s="46" t="s">
        <v>1971</v>
      </c>
    </row>
    <row r="460" spans="1:7" x14ac:dyDescent="0.35">
      <c r="A460" s="39" t="s">
        <v>1972</v>
      </c>
      <c r="B460" s="40" t="s">
        <v>1576</v>
      </c>
      <c r="C460" s="41" t="s">
        <v>1973</v>
      </c>
      <c r="D460" s="40" t="s">
        <v>1974</v>
      </c>
      <c r="E460" s="40" t="s">
        <v>502</v>
      </c>
      <c r="F460" s="40" t="s">
        <v>642</v>
      </c>
      <c r="G460" s="42" t="s">
        <v>1975</v>
      </c>
    </row>
    <row r="461" spans="1:7" x14ac:dyDescent="0.35">
      <c r="A461" s="43" t="s">
        <v>1976</v>
      </c>
      <c r="B461" s="44" t="s">
        <v>1576</v>
      </c>
      <c r="C461" s="45" t="s">
        <v>1973</v>
      </c>
      <c r="D461" s="44" t="s">
        <v>1977</v>
      </c>
      <c r="E461" s="44" t="s">
        <v>502</v>
      </c>
      <c r="F461" s="44" t="s">
        <v>642</v>
      </c>
      <c r="G461" s="46" t="s">
        <v>1978</v>
      </c>
    </row>
    <row r="462" spans="1:7" x14ac:dyDescent="0.35">
      <c r="A462" s="39" t="s">
        <v>1979</v>
      </c>
      <c r="B462" s="40" t="s">
        <v>1576</v>
      </c>
      <c r="C462" s="41" t="s">
        <v>1973</v>
      </c>
      <c r="D462" s="40" t="s">
        <v>1980</v>
      </c>
      <c r="E462" s="40" t="s">
        <v>502</v>
      </c>
      <c r="F462" s="40" t="s">
        <v>642</v>
      </c>
      <c r="G462" s="42" t="s">
        <v>1981</v>
      </c>
    </row>
    <row r="463" spans="1:7" x14ac:dyDescent="0.35">
      <c r="A463" s="43" t="s">
        <v>1982</v>
      </c>
      <c r="B463" s="44" t="s">
        <v>1576</v>
      </c>
      <c r="C463" s="45" t="s">
        <v>1973</v>
      </c>
      <c r="D463" s="44" t="s">
        <v>1983</v>
      </c>
      <c r="E463" s="44" t="s">
        <v>502</v>
      </c>
      <c r="F463" s="44" t="s">
        <v>642</v>
      </c>
      <c r="G463" s="46" t="s">
        <v>1984</v>
      </c>
    </row>
    <row r="464" spans="1:7" x14ac:dyDescent="0.35">
      <c r="A464" s="39" t="s">
        <v>1985</v>
      </c>
      <c r="B464" s="40" t="s">
        <v>1986</v>
      </c>
      <c r="C464" s="41" t="s">
        <v>1987</v>
      </c>
      <c r="D464" s="40" t="s">
        <v>1988</v>
      </c>
      <c r="E464" s="40" t="s">
        <v>492</v>
      </c>
      <c r="F464" s="40" t="s">
        <v>580</v>
      </c>
      <c r="G464" s="42" t="s">
        <v>1989</v>
      </c>
    </row>
    <row r="465" spans="1:7" x14ac:dyDescent="0.35">
      <c r="A465" s="43" t="s">
        <v>1990</v>
      </c>
      <c r="B465" s="44" t="s">
        <v>1741</v>
      </c>
      <c r="C465" s="45" t="s">
        <v>1991</v>
      </c>
      <c r="D465" s="44" t="s">
        <v>1992</v>
      </c>
      <c r="E465" s="44" t="s">
        <v>389</v>
      </c>
      <c r="F465" s="44" t="s">
        <v>280</v>
      </c>
      <c r="G465" s="46" t="s">
        <v>1993</v>
      </c>
    </row>
    <row r="466" spans="1:7" x14ac:dyDescent="0.35">
      <c r="A466" s="39" t="s">
        <v>1994</v>
      </c>
      <c r="B466" s="40" t="s">
        <v>1741</v>
      </c>
      <c r="C466" s="41" t="s">
        <v>1991</v>
      </c>
      <c r="D466" s="40" t="s">
        <v>1995</v>
      </c>
      <c r="E466" s="40" t="s">
        <v>389</v>
      </c>
      <c r="F466" s="40" t="s">
        <v>280</v>
      </c>
      <c r="G466" s="42" t="s">
        <v>1996</v>
      </c>
    </row>
    <row r="467" spans="1:7" x14ac:dyDescent="0.35">
      <c r="A467" s="43" t="s">
        <v>1997</v>
      </c>
      <c r="B467" s="44" t="s">
        <v>1998</v>
      </c>
      <c r="C467" s="45" t="s">
        <v>1999</v>
      </c>
      <c r="D467" s="44" t="s">
        <v>2000</v>
      </c>
      <c r="E467" s="44" t="s">
        <v>1621</v>
      </c>
      <c r="F467" s="44" t="s">
        <v>2001</v>
      </c>
      <c r="G467" s="46" t="s">
        <v>2002</v>
      </c>
    </row>
    <row r="468" spans="1:7" x14ac:dyDescent="0.35">
      <c r="A468" s="39" t="s">
        <v>2003</v>
      </c>
      <c r="B468" s="40" t="s">
        <v>2004</v>
      </c>
      <c r="C468" s="41" t="s">
        <v>2005</v>
      </c>
      <c r="D468" s="40" t="s">
        <v>410</v>
      </c>
      <c r="E468" s="40" t="s">
        <v>531</v>
      </c>
      <c r="F468" s="40" t="s">
        <v>463</v>
      </c>
      <c r="G468" s="42" t="s">
        <v>2006</v>
      </c>
    </row>
    <row r="469" spans="1:7" x14ac:dyDescent="0.35">
      <c r="A469" s="43" t="s">
        <v>2007</v>
      </c>
      <c r="B469" s="44" t="s">
        <v>639</v>
      </c>
      <c r="C469" s="45" t="s">
        <v>2008</v>
      </c>
      <c r="D469" s="44" t="s">
        <v>2009</v>
      </c>
      <c r="E469" s="44" t="s">
        <v>433</v>
      </c>
      <c r="F469" s="44" t="s">
        <v>463</v>
      </c>
      <c r="G469" s="46" t="s">
        <v>2010</v>
      </c>
    </row>
    <row r="470" spans="1:7" x14ac:dyDescent="0.35">
      <c r="A470" s="39" t="s">
        <v>2011</v>
      </c>
      <c r="B470" s="40" t="s">
        <v>639</v>
      </c>
      <c r="C470" s="41" t="s">
        <v>2008</v>
      </c>
      <c r="D470" s="40" t="s">
        <v>2012</v>
      </c>
      <c r="E470" s="40" t="s">
        <v>433</v>
      </c>
      <c r="F470" s="40" t="s">
        <v>463</v>
      </c>
      <c r="G470" s="42" t="s">
        <v>2013</v>
      </c>
    </row>
    <row r="471" spans="1:7" x14ac:dyDescent="0.35">
      <c r="A471" s="43" t="s">
        <v>2014</v>
      </c>
      <c r="B471" s="44" t="s">
        <v>639</v>
      </c>
      <c r="C471" s="45" t="s">
        <v>2008</v>
      </c>
      <c r="D471" s="44" t="s">
        <v>2015</v>
      </c>
      <c r="E471" s="44" t="s">
        <v>433</v>
      </c>
      <c r="F471" s="44" t="s">
        <v>463</v>
      </c>
      <c r="G471" s="46" t="s">
        <v>2016</v>
      </c>
    </row>
    <row r="472" spans="1:7" x14ac:dyDescent="0.35">
      <c r="A472" s="39" t="s">
        <v>2017</v>
      </c>
      <c r="B472" s="40" t="s">
        <v>639</v>
      </c>
      <c r="C472" s="41" t="s">
        <v>2008</v>
      </c>
      <c r="D472" s="40" t="s">
        <v>2018</v>
      </c>
      <c r="E472" s="40" t="s">
        <v>433</v>
      </c>
      <c r="F472" s="40" t="s">
        <v>463</v>
      </c>
      <c r="G472" s="42" t="s">
        <v>2019</v>
      </c>
    </row>
    <row r="473" spans="1:7" x14ac:dyDescent="0.35">
      <c r="A473" s="43" t="s">
        <v>2020</v>
      </c>
      <c r="B473" s="44" t="s">
        <v>639</v>
      </c>
      <c r="C473" s="45" t="s">
        <v>2008</v>
      </c>
      <c r="D473" s="44" t="s">
        <v>2021</v>
      </c>
      <c r="E473" s="44" t="s">
        <v>433</v>
      </c>
      <c r="F473" s="44" t="s">
        <v>463</v>
      </c>
      <c r="G473" s="46" t="s">
        <v>2022</v>
      </c>
    </row>
    <row r="474" spans="1:7" x14ac:dyDescent="0.35">
      <c r="A474" s="39" t="s">
        <v>2023</v>
      </c>
      <c r="B474" s="40" t="s">
        <v>639</v>
      </c>
      <c r="C474" s="41" t="s">
        <v>2008</v>
      </c>
      <c r="D474" s="40" t="s">
        <v>2024</v>
      </c>
      <c r="E474" s="40" t="s">
        <v>433</v>
      </c>
      <c r="F474" s="40" t="s">
        <v>463</v>
      </c>
      <c r="G474" s="42" t="s">
        <v>2025</v>
      </c>
    </row>
    <row r="475" spans="1:7" x14ac:dyDescent="0.35">
      <c r="A475" s="43" t="s">
        <v>2026</v>
      </c>
      <c r="B475" s="44" t="s">
        <v>639</v>
      </c>
      <c r="C475" s="45" t="s">
        <v>2008</v>
      </c>
      <c r="D475" s="44" t="s">
        <v>2027</v>
      </c>
      <c r="E475" s="44" t="s">
        <v>433</v>
      </c>
      <c r="F475" s="44" t="s">
        <v>463</v>
      </c>
      <c r="G475" s="46" t="s">
        <v>2028</v>
      </c>
    </row>
    <row r="476" spans="1:7" x14ac:dyDescent="0.35">
      <c r="A476" s="39" t="s">
        <v>2029</v>
      </c>
      <c r="B476" s="40" t="s">
        <v>639</v>
      </c>
      <c r="C476" s="41" t="s">
        <v>2008</v>
      </c>
      <c r="D476" s="40" t="s">
        <v>384</v>
      </c>
      <c r="E476" s="40" t="s">
        <v>433</v>
      </c>
      <c r="F476" s="40" t="s">
        <v>463</v>
      </c>
      <c r="G476" s="42" t="s">
        <v>2030</v>
      </c>
    </row>
    <row r="477" spans="1:7" x14ac:dyDescent="0.35">
      <c r="A477" s="43" t="s">
        <v>2031</v>
      </c>
      <c r="B477" s="44" t="s">
        <v>639</v>
      </c>
      <c r="C477" s="45" t="s">
        <v>2008</v>
      </c>
      <c r="D477" s="44" t="s">
        <v>2032</v>
      </c>
      <c r="E477" s="44" t="s">
        <v>433</v>
      </c>
      <c r="F477" s="44" t="s">
        <v>463</v>
      </c>
      <c r="G477" s="46" t="s">
        <v>2033</v>
      </c>
    </row>
    <row r="478" spans="1:7" x14ac:dyDescent="0.35">
      <c r="A478" s="39" t="s">
        <v>2034</v>
      </c>
      <c r="B478" s="40" t="s">
        <v>639</v>
      </c>
      <c r="C478" s="41" t="s">
        <v>2008</v>
      </c>
      <c r="D478" s="40" t="s">
        <v>2035</v>
      </c>
      <c r="E478" s="40" t="s">
        <v>433</v>
      </c>
      <c r="F478" s="40" t="s">
        <v>463</v>
      </c>
      <c r="G478" s="42" t="s">
        <v>2036</v>
      </c>
    </row>
    <row r="479" spans="1:7" x14ac:dyDescent="0.35">
      <c r="A479" s="43" t="s">
        <v>2037</v>
      </c>
      <c r="B479" s="44" t="s">
        <v>639</v>
      </c>
      <c r="C479" s="45" t="s">
        <v>2008</v>
      </c>
      <c r="D479" s="44" t="s">
        <v>256</v>
      </c>
      <c r="E479" s="44" t="s">
        <v>433</v>
      </c>
      <c r="F479" s="44" t="s">
        <v>463</v>
      </c>
      <c r="G479" s="46" t="s">
        <v>2038</v>
      </c>
    </row>
    <row r="480" spans="1:7" x14ac:dyDescent="0.35">
      <c r="A480" s="39" t="s">
        <v>2039</v>
      </c>
      <c r="B480" s="40" t="s">
        <v>639</v>
      </c>
      <c r="C480" s="41" t="s">
        <v>2008</v>
      </c>
      <c r="D480" s="40" t="s">
        <v>2040</v>
      </c>
      <c r="E480" s="40" t="s">
        <v>433</v>
      </c>
      <c r="F480" s="40" t="s">
        <v>463</v>
      </c>
      <c r="G480" s="42" t="s">
        <v>2041</v>
      </c>
    </row>
    <row r="481" spans="1:7" x14ac:dyDescent="0.35">
      <c r="A481" s="43" t="s">
        <v>2042</v>
      </c>
      <c r="B481" s="44" t="s">
        <v>639</v>
      </c>
      <c r="C481" s="45" t="s">
        <v>2008</v>
      </c>
      <c r="D481" s="44" t="s">
        <v>2043</v>
      </c>
      <c r="E481" s="44" t="s">
        <v>433</v>
      </c>
      <c r="F481" s="44" t="s">
        <v>463</v>
      </c>
      <c r="G481" s="46" t="s">
        <v>2044</v>
      </c>
    </row>
    <row r="482" spans="1:7" x14ac:dyDescent="0.35">
      <c r="A482" s="39" t="s">
        <v>2045</v>
      </c>
      <c r="B482" s="40" t="s">
        <v>639</v>
      </c>
      <c r="C482" s="41" t="s">
        <v>2008</v>
      </c>
      <c r="D482" s="40" t="s">
        <v>2046</v>
      </c>
      <c r="E482" s="40" t="s">
        <v>433</v>
      </c>
      <c r="F482" s="40" t="s">
        <v>463</v>
      </c>
      <c r="G482" s="42" t="s">
        <v>2047</v>
      </c>
    </row>
    <row r="483" spans="1:7" x14ac:dyDescent="0.35">
      <c r="A483" s="43" t="s">
        <v>2048</v>
      </c>
      <c r="B483" s="44" t="s">
        <v>639</v>
      </c>
      <c r="C483" s="45" t="s">
        <v>2008</v>
      </c>
      <c r="D483" s="44" t="s">
        <v>2049</v>
      </c>
      <c r="E483" s="44" t="s">
        <v>433</v>
      </c>
      <c r="F483" s="44" t="s">
        <v>463</v>
      </c>
      <c r="G483" s="46" t="s">
        <v>2050</v>
      </c>
    </row>
    <row r="484" spans="1:7" x14ac:dyDescent="0.35">
      <c r="A484" s="39" t="s">
        <v>2051</v>
      </c>
      <c r="B484" s="40" t="s">
        <v>639</v>
      </c>
      <c r="C484" s="41" t="s">
        <v>2008</v>
      </c>
      <c r="D484" s="40" t="s">
        <v>2052</v>
      </c>
      <c r="E484" s="40" t="s">
        <v>433</v>
      </c>
      <c r="F484" s="40" t="s">
        <v>463</v>
      </c>
      <c r="G484" s="42" t="s">
        <v>2053</v>
      </c>
    </row>
    <row r="485" spans="1:7" x14ac:dyDescent="0.35">
      <c r="A485" s="43" t="s">
        <v>2054</v>
      </c>
      <c r="B485" s="44" t="s">
        <v>639</v>
      </c>
      <c r="C485" s="45" t="s">
        <v>2008</v>
      </c>
      <c r="D485" s="44" t="s">
        <v>2055</v>
      </c>
      <c r="E485" s="44" t="s">
        <v>433</v>
      </c>
      <c r="F485" s="44" t="s">
        <v>463</v>
      </c>
      <c r="G485" s="46" t="s">
        <v>2056</v>
      </c>
    </row>
    <row r="486" spans="1:7" x14ac:dyDescent="0.35">
      <c r="A486" s="39" t="s">
        <v>2057</v>
      </c>
      <c r="B486" s="40" t="s">
        <v>639</v>
      </c>
      <c r="C486" s="41" t="s">
        <v>2008</v>
      </c>
      <c r="D486" s="40" t="s">
        <v>2058</v>
      </c>
      <c r="E486" s="40" t="s">
        <v>433</v>
      </c>
      <c r="F486" s="40" t="s">
        <v>463</v>
      </c>
      <c r="G486" s="42" t="s">
        <v>2059</v>
      </c>
    </row>
    <row r="487" spans="1:7" x14ac:dyDescent="0.35">
      <c r="A487" s="43" t="s">
        <v>2060</v>
      </c>
      <c r="B487" s="44" t="s">
        <v>639</v>
      </c>
      <c r="C487" s="45" t="s">
        <v>2008</v>
      </c>
      <c r="D487" s="44" t="s">
        <v>2061</v>
      </c>
      <c r="E487" s="44" t="s">
        <v>433</v>
      </c>
      <c r="F487" s="44" t="s">
        <v>463</v>
      </c>
      <c r="G487" s="46" t="s">
        <v>2062</v>
      </c>
    </row>
    <row r="488" spans="1:7" x14ac:dyDescent="0.35">
      <c r="A488" s="39" t="s">
        <v>2063</v>
      </c>
      <c r="B488" s="40" t="s">
        <v>639</v>
      </c>
      <c r="C488" s="41" t="s">
        <v>2008</v>
      </c>
      <c r="D488" s="40" t="s">
        <v>2064</v>
      </c>
      <c r="E488" s="40" t="s">
        <v>433</v>
      </c>
      <c r="F488" s="40" t="s">
        <v>463</v>
      </c>
      <c r="G488" s="42" t="s">
        <v>2065</v>
      </c>
    </row>
    <row r="489" spans="1:7" x14ac:dyDescent="0.35">
      <c r="A489" s="43" t="s">
        <v>2066</v>
      </c>
      <c r="B489" s="44" t="s">
        <v>639</v>
      </c>
      <c r="C489" s="45" t="s">
        <v>2008</v>
      </c>
      <c r="D489" s="44" t="s">
        <v>2067</v>
      </c>
      <c r="E489" s="44" t="s">
        <v>433</v>
      </c>
      <c r="F489" s="44" t="s">
        <v>463</v>
      </c>
      <c r="G489" s="46" t="s">
        <v>2068</v>
      </c>
    </row>
    <row r="490" spans="1:7" x14ac:dyDescent="0.35">
      <c r="A490" s="39" t="s">
        <v>2069</v>
      </c>
      <c r="B490" s="40" t="s">
        <v>2070</v>
      </c>
      <c r="C490" s="41" t="s">
        <v>2071</v>
      </c>
      <c r="D490" s="40" t="s">
        <v>2072</v>
      </c>
      <c r="E490" s="40" t="s">
        <v>220</v>
      </c>
      <c r="F490" s="40" t="s">
        <v>1573</v>
      </c>
      <c r="G490" s="42" t="s">
        <v>2073</v>
      </c>
    </row>
    <row r="491" spans="1:7" x14ac:dyDescent="0.35">
      <c r="A491" s="43" t="s">
        <v>2074</v>
      </c>
      <c r="B491" s="44" t="s">
        <v>1714</v>
      </c>
      <c r="C491" s="45" t="s">
        <v>2075</v>
      </c>
      <c r="D491" s="44" t="s">
        <v>2076</v>
      </c>
      <c r="E491" s="44" t="s">
        <v>221</v>
      </c>
      <c r="F491" s="44" t="s">
        <v>531</v>
      </c>
      <c r="G491" s="46" t="s">
        <v>2077</v>
      </c>
    </row>
    <row r="492" spans="1:7" x14ac:dyDescent="0.35">
      <c r="A492" s="39" t="s">
        <v>2078</v>
      </c>
      <c r="B492" s="40" t="s">
        <v>2079</v>
      </c>
      <c r="C492" s="41" t="s">
        <v>2080</v>
      </c>
      <c r="D492" s="40" t="s">
        <v>2081</v>
      </c>
      <c r="E492" s="40" t="s">
        <v>364</v>
      </c>
      <c r="F492" s="40" t="s">
        <v>384</v>
      </c>
      <c r="G492" s="42" t="s">
        <v>2082</v>
      </c>
    </row>
    <row r="493" spans="1:7" x14ac:dyDescent="0.35">
      <c r="A493" s="43" t="s">
        <v>2083</v>
      </c>
      <c r="B493" s="44" t="s">
        <v>2079</v>
      </c>
      <c r="C493" s="45" t="s">
        <v>2080</v>
      </c>
      <c r="D493" s="44" t="s">
        <v>2084</v>
      </c>
      <c r="E493" s="44" t="s">
        <v>364</v>
      </c>
      <c r="F493" s="44" t="s">
        <v>384</v>
      </c>
      <c r="G493" s="46" t="s">
        <v>2085</v>
      </c>
    </row>
    <row r="494" spans="1:7" x14ac:dyDescent="0.35">
      <c r="A494" s="39" t="s">
        <v>2086</v>
      </c>
      <c r="B494" s="40" t="s">
        <v>2087</v>
      </c>
      <c r="C494" s="41" t="s">
        <v>2088</v>
      </c>
      <c r="D494" s="40" t="s">
        <v>2089</v>
      </c>
      <c r="E494" s="40" t="s">
        <v>648</v>
      </c>
      <c r="F494" s="40" t="s">
        <v>268</v>
      </c>
      <c r="G494" s="42" t="s">
        <v>2090</v>
      </c>
    </row>
    <row r="495" spans="1:7" x14ac:dyDescent="0.35">
      <c r="A495" s="43" t="s">
        <v>2091</v>
      </c>
      <c r="B495" s="44" t="s">
        <v>1741</v>
      </c>
      <c r="C495" s="45" t="s">
        <v>2092</v>
      </c>
      <c r="D495" s="44" t="s">
        <v>2093</v>
      </c>
      <c r="E495" s="44" t="s">
        <v>463</v>
      </c>
      <c r="F495" s="44" t="s">
        <v>469</v>
      </c>
      <c r="G495" s="46" t="s">
        <v>2094</v>
      </c>
    </row>
    <row r="496" spans="1:7" x14ac:dyDescent="0.35">
      <c r="A496" s="39" t="s">
        <v>2095</v>
      </c>
      <c r="B496" s="40" t="s">
        <v>1741</v>
      </c>
      <c r="C496" s="41" t="s">
        <v>2092</v>
      </c>
      <c r="D496" s="40" t="s">
        <v>2096</v>
      </c>
      <c r="E496" s="40" t="s">
        <v>463</v>
      </c>
      <c r="F496" s="40" t="s">
        <v>469</v>
      </c>
      <c r="G496" s="42" t="s">
        <v>2097</v>
      </c>
    </row>
    <row r="497" spans="1:7" x14ac:dyDescent="0.35">
      <c r="A497" s="43" t="s">
        <v>2098</v>
      </c>
      <c r="B497" s="44" t="s">
        <v>2099</v>
      </c>
      <c r="C497" s="45" t="s">
        <v>2100</v>
      </c>
      <c r="D497" s="44" t="s">
        <v>2101</v>
      </c>
      <c r="E497" s="44" t="s">
        <v>353</v>
      </c>
      <c r="F497" s="44" t="s">
        <v>214</v>
      </c>
      <c r="G497" s="46" t="s">
        <v>2102</v>
      </c>
    </row>
    <row r="498" spans="1:7" x14ac:dyDescent="0.35">
      <c r="A498" s="39" t="s">
        <v>2103</v>
      </c>
      <c r="B498" s="40" t="s">
        <v>2104</v>
      </c>
      <c r="C498" s="41" t="s">
        <v>2105</v>
      </c>
      <c r="D498" s="40" t="s">
        <v>2106</v>
      </c>
      <c r="E498" s="40" t="s">
        <v>470</v>
      </c>
      <c r="F498" s="40" t="s">
        <v>1875</v>
      </c>
      <c r="G498" s="42" t="s">
        <v>2107</v>
      </c>
    </row>
    <row r="499" spans="1:7" x14ac:dyDescent="0.35">
      <c r="A499" s="43" t="s">
        <v>2108</v>
      </c>
      <c r="B499" s="44" t="s">
        <v>1060</v>
      </c>
      <c r="C499" s="45" t="s">
        <v>2109</v>
      </c>
      <c r="D499" s="44" t="s">
        <v>2110</v>
      </c>
      <c r="E499" s="44" t="s">
        <v>221</v>
      </c>
      <c r="F499" s="44" t="s">
        <v>433</v>
      </c>
      <c r="G499" s="46" t="s">
        <v>2111</v>
      </c>
    </row>
    <row r="500" spans="1:7" x14ac:dyDescent="0.35">
      <c r="A500" s="39" t="s">
        <v>2112</v>
      </c>
      <c r="B500" s="40" t="s">
        <v>1060</v>
      </c>
      <c r="C500" s="41" t="s">
        <v>2109</v>
      </c>
      <c r="D500" s="40" t="s">
        <v>2113</v>
      </c>
      <c r="E500" s="40" t="s">
        <v>221</v>
      </c>
      <c r="F500" s="40" t="s">
        <v>433</v>
      </c>
      <c r="G500" s="42" t="s">
        <v>2114</v>
      </c>
    </row>
    <row r="501" spans="1:7" x14ac:dyDescent="0.35">
      <c r="A501" s="43" t="s">
        <v>2115</v>
      </c>
      <c r="B501" s="44" t="s">
        <v>1060</v>
      </c>
      <c r="C501" s="45" t="s">
        <v>2109</v>
      </c>
      <c r="D501" s="44" t="s">
        <v>2116</v>
      </c>
      <c r="E501" s="44" t="s">
        <v>221</v>
      </c>
      <c r="F501" s="44" t="s">
        <v>433</v>
      </c>
      <c r="G501" s="46" t="s">
        <v>2117</v>
      </c>
    </row>
    <row r="502" spans="1:7" x14ac:dyDescent="0.35">
      <c r="A502" s="39" t="s">
        <v>2118</v>
      </c>
      <c r="B502" s="40" t="s">
        <v>1060</v>
      </c>
      <c r="C502" s="41" t="s">
        <v>2109</v>
      </c>
      <c r="D502" s="40" t="s">
        <v>2119</v>
      </c>
      <c r="E502" s="40" t="s">
        <v>221</v>
      </c>
      <c r="F502" s="40" t="s">
        <v>433</v>
      </c>
      <c r="G502" s="42" t="s">
        <v>2120</v>
      </c>
    </row>
    <row r="503" spans="1:7" x14ac:dyDescent="0.35">
      <c r="A503" s="43" t="s">
        <v>2121</v>
      </c>
      <c r="B503" s="44" t="s">
        <v>1060</v>
      </c>
      <c r="C503" s="45" t="s">
        <v>2109</v>
      </c>
      <c r="D503" s="44" t="s">
        <v>2122</v>
      </c>
      <c r="E503" s="44" t="s">
        <v>221</v>
      </c>
      <c r="F503" s="44" t="s">
        <v>433</v>
      </c>
      <c r="G503" s="46" t="s">
        <v>2123</v>
      </c>
    </row>
    <row r="504" spans="1:7" x14ac:dyDescent="0.35">
      <c r="A504" s="39" t="s">
        <v>2124</v>
      </c>
      <c r="B504" s="40" t="s">
        <v>2125</v>
      </c>
      <c r="C504" s="41" t="s">
        <v>2126</v>
      </c>
      <c r="D504" s="40" t="s">
        <v>2127</v>
      </c>
      <c r="E504" s="40" t="s">
        <v>285</v>
      </c>
      <c r="F504" s="40" t="s">
        <v>590</v>
      </c>
      <c r="G504" s="42" t="s">
        <v>2128</v>
      </c>
    </row>
    <row r="505" spans="1:7" x14ac:dyDescent="0.35">
      <c r="A505" s="43" t="s">
        <v>2129</v>
      </c>
      <c r="B505" s="44" t="s">
        <v>2130</v>
      </c>
      <c r="C505" s="45" t="s">
        <v>2131</v>
      </c>
      <c r="D505" s="44" t="s">
        <v>2132</v>
      </c>
      <c r="E505" s="44" t="s">
        <v>280</v>
      </c>
      <c r="F505" s="44" t="s">
        <v>696</v>
      </c>
      <c r="G505" s="46" t="s">
        <v>2133</v>
      </c>
    </row>
    <row r="506" spans="1:7" x14ac:dyDescent="0.35">
      <c r="A506" s="39" t="s">
        <v>2134</v>
      </c>
      <c r="B506" s="40" t="s">
        <v>2135</v>
      </c>
      <c r="C506" s="41" t="s">
        <v>2136</v>
      </c>
      <c r="D506" s="40" t="s">
        <v>2137</v>
      </c>
      <c r="E506" s="40" t="s">
        <v>695</v>
      </c>
      <c r="F506" s="40" t="s">
        <v>2138</v>
      </c>
      <c r="G506" s="42" t="s">
        <v>2139</v>
      </c>
    </row>
    <row r="507" spans="1:7" x14ac:dyDescent="0.35">
      <c r="A507" s="43" t="s">
        <v>2140</v>
      </c>
      <c r="B507" s="44" t="s">
        <v>2141</v>
      </c>
      <c r="C507" s="45" t="s">
        <v>2142</v>
      </c>
      <c r="D507" s="44" t="s">
        <v>2143</v>
      </c>
      <c r="E507" s="44" t="s">
        <v>1784</v>
      </c>
      <c r="F507" s="44" t="s">
        <v>311</v>
      </c>
      <c r="G507" s="46" t="s">
        <v>2144</v>
      </c>
    </row>
    <row r="508" spans="1:7" x14ac:dyDescent="0.35">
      <c r="A508" s="39" t="s">
        <v>2145</v>
      </c>
      <c r="B508" s="40" t="s">
        <v>1581</v>
      </c>
      <c r="C508" s="41" t="s">
        <v>2146</v>
      </c>
      <c r="D508" s="40" t="s">
        <v>2147</v>
      </c>
      <c r="E508" s="40" t="s">
        <v>307</v>
      </c>
      <c r="F508" s="40" t="s">
        <v>389</v>
      </c>
      <c r="G508" s="42" t="s">
        <v>2148</v>
      </c>
    </row>
    <row r="509" spans="1:7" x14ac:dyDescent="0.35">
      <c r="A509" s="43" t="s">
        <v>2149</v>
      </c>
      <c r="B509" s="44" t="s">
        <v>1581</v>
      </c>
      <c r="C509" s="45" t="s">
        <v>2146</v>
      </c>
      <c r="D509" s="44" t="s">
        <v>2150</v>
      </c>
      <c r="E509" s="44" t="s">
        <v>307</v>
      </c>
      <c r="F509" s="44" t="s">
        <v>389</v>
      </c>
      <c r="G509" s="46" t="s">
        <v>2151</v>
      </c>
    </row>
    <row r="510" spans="1:7" x14ac:dyDescent="0.35">
      <c r="A510" s="39" t="s">
        <v>2152</v>
      </c>
      <c r="B510" s="40" t="s">
        <v>1581</v>
      </c>
      <c r="C510" s="41" t="s">
        <v>2146</v>
      </c>
      <c r="D510" s="40" t="s">
        <v>2153</v>
      </c>
      <c r="E510" s="40" t="s">
        <v>307</v>
      </c>
      <c r="F510" s="40" t="s">
        <v>389</v>
      </c>
      <c r="G510" s="42" t="s">
        <v>2154</v>
      </c>
    </row>
    <row r="511" spans="1:7" x14ac:dyDescent="0.35">
      <c r="A511" s="43" t="s">
        <v>2155</v>
      </c>
      <c r="B511" s="44" t="s">
        <v>1581</v>
      </c>
      <c r="C511" s="45" t="s">
        <v>2146</v>
      </c>
      <c r="D511" s="44" t="s">
        <v>648</v>
      </c>
      <c r="E511" s="44" t="s">
        <v>307</v>
      </c>
      <c r="F511" s="44" t="s">
        <v>389</v>
      </c>
      <c r="G511" s="46" t="s">
        <v>2156</v>
      </c>
    </row>
    <row r="512" spans="1:7" x14ac:dyDescent="0.35">
      <c r="A512" s="39" t="s">
        <v>2157</v>
      </c>
      <c r="B512" s="40" t="s">
        <v>1581</v>
      </c>
      <c r="C512" s="41" t="s">
        <v>2146</v>
      </c>
      <c r="D512" s="40" t="s">
        <v>2158</v>
      </c>
      <c r="E512" s="40" t="s">
        <v>307</v>
      </c>
      <c r="F512" s="40" t="s">
        <v>389</v>
      </c>
      <c r="G512" s="42" t="s">
        <v>2159</v>
      </c>
    </row>
    <row r="513" spans="1:7" x14ac:dyDescent="0.35">
      <c r="A513" s="43" t="s">
        <v>2160</v>
      </c>
      <c r="B513" s="44" t="s">
        <v>1581</v>
      </c>
      <c r="C513" s="45" t="s">
        <v>2146</v>
      </c>
      <c r="D513" s="44" t="s">
        <v>2161</v>
      </c>
      <c r="E513" s="44" t="s">
        <v>307</v>
      </c>
      <c r="F513" s="44" t="s">
        <v>389</v>
      </c>
      <c r="G513" s="46" t="s">
        <v>2162</v>
      </c>
    </row>
    <row r="514" spans="1:7" x14ac:dyDescent="0.35">
      <c r="A514" s="39" t="s">
        <v>2163</v>
      </c>
      <c r="B514" s="40" t="s">
        <v>1581</v>
      </c>
      <c r="C514" s="41" t="s">
        <v>2146</v>
      </c>
      <c r="D514" s="40" t="s">
        <v>2164</v>
      </c>
      <c r="E514" s="40" t="s">
        <v>307</v>
      </c>
      <c r="F514" s="40" t="s">
        <v>389</v>
      </c>
      <c r="G514" s="42" t="s">
        <v>2165</v>
      </c>
    </row>
    <row r="515" spans="1:7" x14ac:dyDescent="0.35">
      <c r="A515" s="43" t="s">
        <v>2166</v>
      </c>
      <c r="B515" s="44" t="s">
        <v>1822</v>
      </c>
      <c r="C515" s="45" t="s">
        <v>2167</v>
      </c>
      <c r="D515" s="44" t="s">
        <v>2168</v>
      </c>
      <c r="E515" s="44" t="s">
        <v>502</v>
      </c>
      <c r="F515" s="44" t="s">
        <v>307</v>
      </c>
      <c r="G515" s="46" t="s">
        <v>2169</v>
      </c>
    </row>
    <row r="516" spans="1:7" x14ac:dyDescent="0.35">
      <c r="A516" s="39" t="s">
        <v>2170</v>
      </c>
      <c r="B516" s="40" t="s">
        <v>1822</v>
      </c>
      <c r="C516" s="41" t="s">
        <v>2167</v>
      </c>
      <c r="D516" s="40" t="s">
        <v>2171</v>
      </c>
      <c r="E516" s="40" t="s">
        <v>502</v>
      </c>
      <c r="F516" s="40" t="s">
        <v>307</v>
      </c>
      <c r="G516" s="42" t="s">
        <v>2172</v>
      </c>
    </row>
    <row r="517" spans="1:7" x14ac:dyDescent="0.35">
      <c r="A517" s="43" t="s">
        <v>2173</v>
      </c>
      <c r="B517" s="44" t="s">
        <v>1822</v>
      </c>
      <c r="C517" s="45" t="s">
        <v>2167</v>
      </c>
      <c r="D517" s="44" t="s">
        <v>2174</v>
      </c>
      <c r="E517" s="44" t="s">
        <v>502</v>
      </c>
      <c r="F517" s="44" t="s">
        <v>307</v>
      </c>
      <c r="G517" s="46" t="s">
        <v>2175</v>
      </c>
    </row>
    <row r="518" spans="1:7" x14ac:dyDescent="0.35">
      <c r="A518" s="39" t="s">
        <v>2176</v>
      </c>
      <c r="B518" s="40" t="s">
        <v>2177</v>
      </c>
      <c r="C518" s="41" t="s">
        <v>2178</v>
      </c>
      <c r="D518" s="40" t="s">
        <v>2179</v>
      </c>
      <c r="E518" s="40" t="s">
        <v>2180</v>
      </c>
      <c r="F518" s="40" t="s">
        <v>1603</v>
      </c>
      <c r="G518" s="42" t="s">
        <v>2181</v>
      </c>
    </row>
    <row r="519" spans="1:7" x14ac:dyDescent="0.35">
      <c r="A519" s="43" t="s">
        <v>2182</v>
      </c>
      <c r="B519" s="44" t="s">
        <v>2183</v>
      </c>
      <c r="C519" s="45" t="s">
        <v>2184</v>
      </c>
      <c r="D519" s="44" t="s">
        <v>2185</v>
      </c>
      <c r="E519" s="44" t="s">
        <v>389</v>
      </c>
      <c r="F519" s="44" t="s">
        <v>353</v>
      </c>
      <c r="G519" s="46" t="s">
        <v>2186</v>
      </c>
    </row>
    <row r="520" spans="1:7" x14ac:dyDescent="0.35">
      <c r="A520" s="39" t="s">
        <v>2187</v>
      </c>
      <c r="B520" s="40" t="s">
        <v>1741</v>
      </c>
      <c r="C520" s="41" t="s">
        <v>2188</v>
      </c>
      <c r="D520" s="40" t="s">
        <v>295</v>
      </c>
      <c r="E520" s="40" t="s">
        <v>502</v>
      </c>
      <c r="F520" s="40" t="s">
        <v>551</v>
      </c>
      <c r="G520" s="42" t="s">
        <v>2189</v>
      </c>
    </row>
    <row r="521" spans="1:7" x14ac:dyDescent="0.35">
      <c r="A521" s="43" t="s">
        <v>2190</v>
      </c>
      <c r="B521" s="44" t="s">
        <v>1741</v>
      </c>
      <c r="C521" s="45" t="s">
        <v>2188</v>
      </c>
      <c r="D521" s="44" t="s">
        <v>2191</v>
      </c>
      <c r="E521" s="44" t="s">
        <v>502</v>
      </c>
      <c r="F521" s="44" t="s">
        <v>551</v>
      </c>
      <c r="G521" s="46" t="s">
        <v>2192</v>
      </c>
    </row>
    <row r="522" spans="1:7" x14ac:dyDescent="0.35">
      <c r="A522" s="39" t="s">
        <v>2193</v>
      </c>
      <c r="B522" s="40" t="s">
        <v>1781</v>
      </c>
      <c r="C522" s="41" t="s">
        <v>2194</v>
      </c>
      <c r="D522" s="40" t="s">
        <v>2195</v>
      </c>
      <c r="E522" s="40" t="s">
        <v>469</v>
      </c>
      <c r="F522" s="40" t="s">
        <v>226</v>
      </c>
      <c r="G522" s="42" t="s">
        <v>2196</v>
      </c>
    </row>
    <row r="523" spans="1:7" x14ac:dyDescent="0.35">
      <c r="A523" s="43" t="s">
        <v>2197</v>
      </c>
      <c r="B523" s="44" t="s">
        <v>2198</v>
      </c>
      <c r="C523" s="45" t="s">
        <v>2199</v>
      </c>
      <c r="D523" s="44" t="s">
        <v>2200</v>
      </c>
      <c r="E523" s="44" t="s">
        <v>220</v>
      </c>
      <c r="F523" s="44" t="s">
        <v>267</v>
      </c>
      <c r="G523" s="46" t="s">
        <v>2201</v>
      </c>
    </row>
    <row r="524" spans="1:7" x14ac:dyDescent="0.35">
      <c r="A524" s="39" t="s">
        <v>2202</v>
      </c>
      <c r="B524" s="40" t="s">
        <v>2004</v>
      </c>
      <c r="C524" s="41" t="s">
        <v>2203</v>
      </c>
      <c r="D524" s="40" t="s">
        <v>2204</v>
      </c>
      <c r="E524" s="40" t="s">
        <v>463</v>
      </c>
      <c r="F524" s="40" t="s">
        <v>221</v>
      </c>
      <c r="G524" s="42" t="s">
        <v>2205</v>
      </c>
    </row>
    <row r="525" spans="1:7" x14ac:dyDescent="0.35">
      <c r="A525" s="43" t="s">
        <v>2206</v>
      </c>
      <c r="B525" s="44" t="s">
        <v>2207</v>
      </c>
      <c r="C525" s="45" t="s">
        <v>2208</v>
      </c>
      <c r="D525" s="44" t="s">
        <v>2209</v>
      </c>
      <c r="E525" s="44" t="s">
        <v>648</v>
      </c>
      <c r="F525" s="44" t="s">
        <v>590</v>
      </c>
      <c r="G525" s="46" t="s">
        <v>2210</v>
      </c>
    </row>
    <row r="526" spans="1:7" x14ac:dyDescent="0.35">
      <c r="A526" s="39" t="s">
        <v>2211</v>
      </c>
      <c r="B526" s="40" t="s">
        <v>1892</v>
      </c>
      <c r="C526" s="41" t="s">
        <v>2212</v>
      </c>
      <c r="D526" s="40" t="s">
        <v>2213</v>
      </c>
      <c r="E526" s="40" t="s">
        <v>389</v>
      </c>
      <c r="F526" s="40" t="s">
        <v>502</v>
      </c>
      <c r="G526" s="42" t="s">
        <v>2214</v>
      </c>
    </row>
    <row r="527" spans="1:7" x14ac:dyDescent="0.35">
      <c r="A527" s="43" t="s">
        <v>2215</v>
      </c>
      <c r="B527" s="44" t="s">
        <v>2216</v>
      </c>
      <c r="C527" s="45" t="s">
        <v>2217</v>
      </c>
      <c r="D527" s="44" t="s">
        <v>2218</v>
      </c>
      <c r="E527" s="44" t="s">
        <v>285</v>
      </c>
      <c r="F527" s="44" t="s">
        <v>232</v>
      </c>
      <c r="G527" s="46" t="s">
        <v>2219</v>
      </c>
    </row>
    <row r="528" spans="1:7" x14ac:dyDescent="0.35">
      <c r="A528" s="39" t="s">
        <v>2220</v>
      </c>
      <c r="B528" s="40" t="s">
        <v>2221</v>
      </c>
      <c r="C528" s="41" t="s">
        <v>2222</v>
      </c>
      <c r="D528" s="40" t="s">
        <v>469</v>
      </c>
      <c r="E528" s="40" t="s">
        <v>238</v>
      </c>
      <c r="F528" s="40" t="s">
        <v>1784</v>
      </c>
      <c r="G528" s="42" t="s">
        <v>2223</v>
      </c>
    </row>
    <row r="529" spans="1:7" x14ac:dyDescent="0.35">
      <c r="A529" s="43" t="s">
        <v>2224</v>
      </c>
      <c r="B529" s="44" t="s">
        <v>2225</v>
      </c>
      <c r="C529" s="45" t="s">
        <v>2226</v>
      </c>
      <c r="D529" s="44" t="s">
        <v>226</v>
      </c>
      <c r="E529" s="44" t="s">
        <v>364</v>
      </c>
      <c r="F529" s="44" t="s">
        <v>463</v>
      </c>
      <c r="G529" s="46" t="s">
        <v>2227</v>
      </c>
    </row>
    <row r="530" spans="1:7" x14ac:dyDescent="0.35">
      <c r="A530" s="39" t="s">
        <v>2228</v>
      </c>
      <c r="B530" s="40" t="s">
        <v>2229</v>
      </c>
      <c r="C530" s="41" t="s">
        <v>2230</v>
      </c>
      <c r="D530" s="40" t="s">
        <v>2231</v>
      </c>
      <c r="E530" s="40" t="s">
        <v>364</v>
      </c>
      <c r="F530" s="40" t="s">
        <v>280</v>
      </c>
      <c r="G530" s="42" t="s">
        <v>2232</v>
      </c>
    </row>
    <row r="531" spans="1:7" x14ac:dyDescent="0.35">
      <c r="A531" s="43" t="s">
        <v>2233</v>
      </c>
      <c r="B531" s="44" t="s">
        <v>2229</v>
      </c>
      <c r="C531" s="45" t="s">
        <v>2230</v>
      </c>
      <c r="D531" s="44" t="s">
        <v>2234</v>
      </c>
      <c r="E531" s="44" t="s">
        <v>364</v>
      </c>
      <c r="F531" s="44" t="s">
        <v>280</v>
      </c>
      <c r="G531" s="46" t="s">
        <v>2235</v>
      </c>
    </row>
    <row r="532" spans="1:7" x14ac:dyDescent="0.35">
      <c r="A532" s="39" t="s">
        <v>2236</v>
      </c>
      <c r="B532" s="40" t="s">
        <v>1751</v>
      </c>
      <c r="C532" s="41" t="s">
        <v>2237</v>
      </c>
      <c r="D532" s="40" t="s">
        <v>220</v>
      </c>
      <c r="E532" s="40" t="s">
        <v>531</v>
      </c>
      <c r="F532" s="40" t="s">
        <v>389</v>
      </c>
      <c r="G532" s="42" t="s">
        <v>2238</v>
      </c>
    </row>
    <row r="533" spans="1:7" x14ac:dyDescent="0.35">
      <c r="A533" s="43" t="s">
        <v>2239</v>
      </c>
      <c r="B533" s="44" t="s">
        <v>1519</v>
      </c>
      <c r="C533" s="45" t="s">
        <v>2240</v>
      </c>
      <c r="D533" s="44" t="s">
        <v>2241</v>
      </c>
      <c r="E533" s="44" t="s">
        <v>463</v>
      </c>
      <c r="F533" s="44" t="s">
        <v>642</v>
      </c>
      <c r="G533" s="46" t="s">
        <v>2242</v>
      </c>
    </row>
    <row r="534" spans="1:7" x14ac:dyDescent="0.35">
      <c r="A534" s="39" t="s">
        <v>2243</v>
      </c>
      <c r="B534" s="40" t="s">
        <v>1519</v>
      </c>
      <c r="C534" s="41" t="s">
        <v>2240</v>
      </c>
      <c r="D534" s="40" t="s">
        <v>2244</v>
      </c>
      <c r="E534" s="40" t="s">
        <v>463</v>
      </c>
      <c r="F534" s="40" t="s">
        <v>642</v>
      </c>
      <c r="G534" s="42" t="s">
        <v>2245</v>
      </c>
    </row>
    <row r="535" spans="1:7" x14ac:dyDescent="0.35">
      <c r="A535" s="43" t="s">
        <v>2246</v>
      </c>
      <c r="B535" s="44" t="s">
        <v>848</v>
      </c>
      <c r="C535" s="45" t="s">
        <v>2247</v>
      </c>
      <c r="D535" s="44" t="s">
        <v>2248</v>
      </c>
      <c r="E535" s="44" t="s">
        <v>433</v>
      </c>
      <c r="F535" s="44" t="s">
        <v>502</v>
      </c>
      <c r="G535" s="46" t="s">
        <v>2249</v>
      </c>
    </row>
    <row r="536" spans="1:7" x14ac:dyDescent="0.35">
      <c r="A536" s="39" t="s">
        <v>2250</v>
      </c>
      <c r="B536" s="40" t="s">
        <v>848</v>
      </c>
      <c r="C536" s="41" t="s">
        <v>2247</v>
      </c>
      <c r="D536" s="40" t="s">
        <v>2251</v>
      </c>
      <c r="E536" s="40" t="s">
        <v>433</v>
      </c>
      <c r="F536" s="40" t="s">
        <v>502</v>
      </c>
      <c r="G536" s="42" t="s">
        <v>2252</v>
      </c>
    </row>
    <row r="537" spans="1:7" x14ac:dyDescent="0.35">
      <c r="A537" s="43" t="s">
        <v>2253</v>
      </c>
      <c r="B537" s="44" t="s">
        <v>848</v>
      </c>
      <c r="C537" s="45" t="s">
        <v>2247</v>
      </c>
      <c r="D537" s="44" t="s">
        <v>2254</v>
      </c>
      <c r="E537" s="44" t="s">
        <v>433</v>
      </c>
      <c r="F537" s="44" t="s">
        <v>502</v>
      </c>
      <c r="G537" s="46" t="s">
        <v>2255</v>
      </c>
    </row>
    <row r="538" spans="1:7" x14ac:dyDescent="0.35">
      <c r="A538" s="39" t="s">
        <v>2256</v>
      </c>
      <c r="B538" s="40" t="s">
        <v>848</v>
      </c>
      <c r="C538" s="41" t="s">
        <v>2247</v>
      </c>
      <c r="D538" s="40" t="s">
        <v>1528</v>
      </c>
      <c r="E538" s="40" t="s">
        <v>433</v>
      </c>
      <c r="F538" s="40" t="s">
        <v>502</v>
      </c>
      <c r="G538" s="42" t="s">
        <v>2257</v>
      </c>
    </row>
    <row r="539" spans="1:7" x14ac:dyDescent="0.35">
      <c r="A539" s="43" t="s">
        <v>2258</v>
      </c>
      <c r="B539" s="44" t="s">
        <v>848</v>
      </c>
      <c r="C539" s="45" t="s">
        <v>2247</v>
      </c>
      <c r="D539" s="44" t="s">
        <v>590</v>
      </c>
      <c r="E539" s="44" t="s">
        <v>433</v>
      </c>
      <c r="F539" s="44" t="s">
        <v>502</v>
      </c>
      <c r="G539" s="46" t="s">
        <v>2259</v>
      </c>
    </row>
    <row r="540" spans="1:7" x14ac:dyDescent="0.35">
      <c r="A540" s="39" t="s">
        <v>2260</v>
      </c>
      <c r="B540" s="40" t="s">
        <v>848</v>
      </c>
      <c r="C540" s="41" t="s">
        <v>2247</v>
      </c>
      <c r="D540" s="40" t="s">
        <v>2261</v>
      </c>
      <c r="E540" s="40" t="s">
        <v>433</v>
      </c>
      <c r="F540" s="40" t="s">
        <v>502</v>
      </c>
      <c r="G540" s="42" t="s">
        <v>2262</v>
      </c>
    </row>
    <row r="541" spans="1:7" x14ac:dyDescent="0.35">
      <c r="A541" s="43" t="s">
        <v>2263</v>
      </c>
      <c r="B541" s="44" t="s">
        <v>848</v>
      </c>
      <c r="C541" s="45" t="s">
        <v>2247</v>
      </c>
      <c r="D541" s="44" t="s">
        <v>2264</v>
      </c>
      <c r="E541" s="44" t="s">
        <v>433</v>
      </c>
      <c r="F541" s="44" t="s">
        <v>502</v>
      </c>
      <c r="G541" s="46" t="s">
        <v>2265</v>
      </c>
    </row>
    <row r="542" spans="1:7" x14ac:dyDescent="0.35">
      <c r="A542" s="39" t="s">
        <v>2266</v>
      </c>
      <c r="B542" s="40" t="s">
        <v>848</v>
      </c>
      <c r="C542" s="41" t="s">
        <v>2247</v>
      </c>
      <c r="D542" s="40" t="s">
        <v>1536</v>
      </c>
      <c r="E542" s="40" t="s">
        <v>433</v>
      </c>
      <c r="F542" s="40" t="s">
        <v>502</v>
      </c>
      <c r="G542" s="42" t="s">
        <v>2267</v>
      </c>
    </row>
    <row r="543" spans="1:7" x14ac:dyDescent="0.35">
      <c r="A543" s="43" t="s">
        <v>2268</v>
      </c>
      <c r="B543" s="44" t="s">
        <v>848</v>
      </c>
      <c r="C543" s="45" t="s">
        <v>2247</v>
      </c>
      <c r="D543" s="44" t="s">
        <v>2269</v>
      </c>
      <c r="E543" s="44" t="s">
        <v>433</v>
      </c>
      <c r="F543" s="44" t="s">
        <v>502</v>
      </c>
      <c r="G543" s="46" t="s">
        <v>2270</v>
      </c>
    </row>
    <row r="544" spans="1:7" x14ac:dyDescent="0.35">
      <c r="A544" s="39" t="s">
        <v>2271</v>
      </c>
      <c r="B544" s="40" t="s">
        <v>848</v>
      </c>
      <c r="C544" s="41" t="s">
        <v>2247</v>
      </c>
      <c r="D544" s="40" t="s">
        <v>2272</v>
      </c>
      <c r="E544" s="40" t="s">
        <v>433</v>
      </c>
      <c r="F544" s="40" t="s">
        <v>502</v>
      </c>
      <c r="G544" s="42" t="s">
        <v>2273</v>
      </c>
    </row>
    <row r="545" spans="1:7" x14ac:dyDescent="0.35">
      <c r="A545" s="43" t="s">
        <v>2274</v>
      </c>
      <c r="B545" s="44" t="s">
        <v>848</v>
      </c>
      <c r="C545" s="45" t="s">
        <v>2247</v>
      </c>
      <c r="D545" s="44" t="s">
        <v>2275</v>
      </c>
      <c r="E545" s="44" t="s">
        <v>433</v>
      </c>
      <c r="F545" s="44" t="s">
        <v>502</v>
      </c>
      <c r="G545" s="46" t="s">
        <v>2276</v>
      </c>
    </row>
    <row r="546" spans="1:7" x14ac:dyDescent="0.35">
      <c r="A546" s="39" t="s">
        <v>2277</v>
      </c>
      <c r="B546" s="40" t="s">
        <v>848</v>
      </c>
      <c r="C546" s="41" t="s">
        <v>2247</v>
      </c>
      <c r="D546" s="40" t="s">
        <v>2278</v>
      </c>
      <c r="E546" s="40" t="s">
        <v>433</v>
      </c>
      <c r="F546" s="40" t="s">
        <v>502</v>
      </c>
      <c r="G546" s="42" t="s">
        <v>2279</v>
      </c>
    </row>
    <row r="547" spans="1:7" x14ac:dyDescent="0.35">
      <c r="A547" s="43" t="s">
        <v>2280</v>
      </c>
      <c r="B547" s="44" t="s">
        <v>848</v>
      </c>
      <c r="C547" s="45" t="s">
        <v>2247</v>
      </c>
      <c r="D547" s="44" t="s">
        <v>2281</v>
      </c>
      <c r="E547" s="44" t="s">
        <v>433</v>
      </c>
      <c r="F547" s="44" t="s">
        <v>502</v>
      </c>
      <c r="G547" s="46" t="s">
        <v>2282</v>
      </c>
    </row>
    <row r="548" spans="1:7" x14ac:dyDescent="0.35">
      <c r="A548" s="39" t="s">
        <v>2283</v>
      </c>
      <c r="B548" s="40" t="s">
        <v>1741</v>
      </c>
      <c r="C548" s="41" t="s">
        <v>2284</v>
      </c>
      <c r="D548" s="40" t="s">
        <v>792</v>
      </c>
      <c r="E548" s="40" t="s">
        <v>221</v>
      </c>
      <c r="F548" s="40" t="s">
        <v>364</v>
      </c>
      <c r="G548" s="42" t="s">
        <v>2285</v>
      </c>
    </row>
    <row r="549" spans="1:7" x14ac:dyDescent="0.35">
      <c r="A549" s="43" t="s">
        <v>2286</v>
      </c>
      <c r="B549" s="44" t="s">
        <v>1741</v>
      </c>
      <c r="C549" s="45" t="s">
        <v>2284</v>
      </c>
      <c r="D549" s="44" t="s">
        <v>2287</v>
      </c>
      <c r="E549" s="44" t="s">
        <v>221</v>
      </c>
      <c r="F549" s="44" t="s">
        <v>364</v>
      </c>
      <c r="G549" s="46" t="s">
        <v>2288</v>
      </c>
    </row>
    <row r="550" spans="1:7" x14ac:dyDescent="0.35">
      <c r="A550" s="39" t="s">
        <v>2289</v>
      </c>
      <c r="B550" s="40" t="s">
        <v>1741</v>
      </c>
      <c r="C550" s="41" t="s">
        <v>2284</v>
      </c>
      <c r="D550" s="40" t="s">
        <v>2290</v>
      </c>
      <c r="E550" s="40" t="s">
        <v>221</v>
      </c>
      <c r="F550" s="40" t="s">
        <v>364</v>
      </c>
      <c r="G550" s="42" t="s">
        <v>2291</v>
      </c>
    </row>
    <row r="551" spans="1:7" x14ac:dyDescent="0.35">
      <c r="A551" s="43" t="s">
        <v>2292</v>
      </c>
      <c r="B551" s="44" t="s">
        <v>1741</v>
      </c>
      <c r="C551" s="45" t="s">
        <v>2284</v>
      </c>
      <c r="D551" s="44" t="s">
        <v>2293</v>
      </c>
      <c r="E551" s="44" t="s">
        <v>221</v>
      </c>
      <c r="F551" s="44" t="s">
        <v>364</v>
      </c>
      <c r="G551" s="46" t="s">
        <v>2294</v>
      </c>
    </row>
    <row r="552" spans="1:7" x14ac:dyDescent="0.35">
      <c r="A552" s="39" t="s">
        <v>2295</v>
      </c>
      <c r="B552" s="40" t="s">
        <v>1741</v>
      </c>
      <c r="C552" s="41" t="s">
        <v>2284</v>
      </c>
      <c r="D552" s="40" t="s">
        <v>2296</v>
      </c>
      <c r="E552" s="40" t="s">
        <v>221</v>
      </c>
      <c r="F552" s="40" t="s">
        <v>364</v>
      </c>
      <c r="G552" s="42" t="s">
        <v>2297</v>
      </c>
    </row>
    <row r="553" spans="1:7" x14ac:dyDescent="0.35">
      <c r="A553" s="43" t="s">
        <v>2298</v>
      </c>
      <c r="B553" s="44" t="s">
        <v>1741</v>
      </c>
      <c r="C553" s="45" t="s">
        <v>2284</v>
      </c>
      <c r="D553" s="44" t="s">
        <v>2299</v>
      </c>
      <c r="E553" s="44" t="s">
        <v>221</v>
      </c>
      <c r="F553" s="44" t="s">
        <v>364</v>
      </c>
      <c r="G553" s="46" t="s">
        <v>2300</v>
      </c>
    </row>
    <row r="554" spans="1:7" x14ac:dyDescent="0.35">
      <c r="A554" s="39" t="s">
        <v>2301</v>
      </c>
      <c r="B554" s="40" t="s">
        <v>1741</v>
      </c>
      <c r="C554" s="41" t="s">
        <v>2284</v>
      </c>
      <c r="D554" s="40" t="s">
        <v>2302</v>
      </c>
      <c r="E554" s="40" t="s">
        <v>221</v>
      </c>
      <c r="F554" s="40" t="s">
        <v>364</v>
      </c>
      <c r="G554" s="42" t="s">
        <v>2303</v>
      </c>
    </row>
    <row r="555" spans="1:7" x14ac:dyDescent="0.35">
      <c r="A555" s="43" t="s">
        <v>2304</v>
      </c>
      <c r="B555" s="44" t="s">
        <v>1781</v>
      </c>
      <c r="C555" s="45" t="s">
        <v>2305</v>
      </c>
      <c r="D555" s="44" t="s">
        <v>2306</v>
      </c>
      <c r="E555" s="44" t="s">
        <v>531</v>
      </c>
      <c r="F555" s="44" t="s">
        <v>384</v>
      </c>
      <c r="G555" s="46" t="s">
        <v>2307</v>
      </c>
    </row>
    <row r="556" spans="1:7" x14ac:dyDescent="0.35">
      <c r="A556" s="39" t="s">
        <v>2308</v>
      </c>
      <c r="B556" s="40" t="s">
        <v>1781</v>
      </c>
      <c r="C556" s="41" t="s">
        <v>2305</v>
      </c>
      <c r="D556" s="40" t="s">
        <v>2309</v>
      </c>
      <c r="E556" s="40" t="s">
        <v>531</v>
      </c>
      <c r="F556" s="40" t="s">
        <v>384</v>
      </c>
      <c r="G556" s="42" t="s">
        <v>2310</v>
      </c>
    </row>
    <row r="557" spans="1:7" x14ac:dyDescent="0.35">
      <c r="A557" s="43" t="s">
        <v>2311</v>
      </c>
      <c r="B557" s="44" t="s">
        <v>2312</v>
      </c>
      <c r="C557" s="45" t="s">
        <v>2313</v>
      </c>
      <c r="D557" s="44" t="s">
        <v>2314</v>
      </c>
      <c r="E557" s="44" t="s">
        <v>580</v>
      </c>
      <c r="F557" s="44" t="s">
        <v>331</v>
      </c>
      <c r="G557" s="46" t="s">
        <v>2315</v>
      </c>
    </row>
    <row r="558" spans="1:7" x14ac:dyDescent="0.35">
      <c r="A558" s="39" t="s">
        <v>2316</v>
      </c>
      <c r="B558" s="40" t="s">
        <v>2317</v>
      </c>
      <c r="C558" s="41" t="s">
        <v>2318</v>
      </c>
      <c r="D558" s="40" t="s">
        <v>475</v>
      </c>
      <c r="E558" s="40" t="s">
        <v>316</v>
      </c>
      <c r="F558" s="40" t="s">
        <v>1529</v>
      </c>
      <c r="G558" s="42" t="s">
        <v>2319</v>
      </c>
    </row>
    <row r="559" spans="1:7" x14ac:dyDescent="0.35">
      <c r="A559" s="43" t="s">
        <v>2320</v>
      </c>
      <c r="B559" s="44" t="s">
        <v>2321</v>
      </c>
      <c r="C559" s="45" t="s">
        <v>2322</v>
      </c>
      <c r="D559" s="44" t="s">
        <v>2323</v>
      </c>
      <c r="E559" s="44" t="s">
        <v>469</v>
      </c>
      <c r="F559" s="44" t="s">
        <v>509</v>
      </c>
      <c r="G559" s="46" t="s">
        <v>2324</v>
      </c>
    </row>
    <row r="560" spans="1:7" x14ac:dyDescent="0.35">
      <c r="A560" s="39" t="s">
        <v>2325</v>
      </c>
      <c r="B560" s="40" t="s">
        <v>2321</v>
      </c>
      <c r="C560" s="41" t="s">
        <v>2322</v>
      </c>
      <c r="D560" s="40" t="s">
        <v>2326</v>
      </c>
      <c r="E560" s="40" t="s">
        <v>469</v>
      </c>
      <c r="F560" s="40" t="s">
        <v>509</v>
      </c>
      <c r="G560" s="42" t="s">
        <v>2327</v>
      </c>
    </row>
    <row r="561" spans="1:7" x14ac:dyDescent="0.35">
      <c r="A561" s="43" t="s">
        <v>2328</v>
      </c>
      <c r="B561" s="44" t="s">
        <v>2329</v>
      </c>
      <c r="C561" s="45" t="s">
        <v>2330</v>
      </c>
      <c r="D561" s="44" t="s">
        <v>2331</v>
      </c>
      <c r="E561" s="44" t="s">
        <v>457</v>
      </c>
      <c r="F561" s="44" t="s">
        <v>347</v>
      </c>
      <c r="G561" s="46" t="s">
        <v>2332</v>
      </c>
    </row>
    <row r="562" spans="1:7" x14ac:dyDescent="0.35">
      <c r="A562" s="39" t="s">
        <v>2333</v>
      </c>
      <c r="B562" s="40" t="s">
        <v>2334</v>
      </c>
      <c r="C562" s="41" t="s">
        <v>2335</v>
      </c>
      <c r="D562" s="40" t="s">
        <v>2336</v>
      </c>
      <c r="E562" s="40" t="s">
        <v>389</v>
      </c>
      <c r="F562" s="40" t="s">
        <v>469</v>
      </c>
      <c r="G562" s="42" t="s">
        <v>2337</v>
      </c>
    </row>
    <row r="563" spans="1:7" x14ac:dyDescent="0.35">
      <c r="A563" s="43" t="s">
        <v>2338</v>
      </c>
      <c r="B563" s="44" t="s">
        <v>2339</v>
      </c>
      <c r="C563" s="45" t="s">
        <v>2340</v>
      </c>
      <c r="D563" s="44" t="s">
        <v>2341</v>
      </c>
      <c r="E563" s="44" t="s">
        <v>551</v>
      </c>
      <c r="F563" s="44" t="s">
        <v>492</v>
      </c>
      <c r="G563" s="46" t="s">
        <v>2342</v>
      </c>
    </row>
    <row r="564" spans="1:7" x14ac:dyDescent="0.35">
      <c r="A564" s="39" t="s">
        <v>2343</v>
      </c>
      <c r="B564" s="40" t="s">
        <v>2344</v>
      </c>
      <c r="C564" s="41" t="s">
        <v>2345</v>
      </c>
      <c r="D564" s="40" t="s">
        <v>2346</v>
      </c>
      <c r="E564" s="40" t="s">
        <v>1219</v>
      </c>
      <c r="F564" s="40" t="s">
        <v>1743</v>
      </c>
      <c r="G564" s="42" t="s">
        <v>2347</v>
      </c>
    </row>
    <row r="565" spans="1:7" x14ac:dyDescent="0.35">
      <c r="A565" s="43" t="s">
        <v>2348</v>
      </c>
      <c r="B565" s="44" t="s">
        <v>2349</v>
      </c>
      <c r="C565" s="45" t="s">
        <v>2350</v>
      </c>
      <c r="D565" s="44" t="s">
        <v>2351</v>
      </c>
      <c r="E565" s="44" t="s">
        <v>2290</v>
      </c>
      <c r="F565" s="44" t="s">
        <v>1452</v>
      </c>
      <c r="G565" s="46" t="s">
        <v>2352</v>
      </c>
    </row>
    <row r="566" spans="1:7" x14ac:dyDescent="0.35">
      <c r="A566" s="39" t="s">
        <v>2353</v>
      </c>
      <c r="B566" s="40" t="s">
        <v>1844</v>
      </c>
      <c r="C566" s="41" t="s">
        <v>2354</v>
      </c>
      <c r="D566" s="40" t="s">
        <v>2355</v>
      </c>
      <c r="E566" s="40" t="s">
        <v>502</v>
      </c>
      <c r="F566" s="40" t="s">
        <v>531</v>
      </c>
      <c r="G566" s="42" t="s">
        <v>2356</v>
      </c>
    </row>
    <row r="567" spans="1:7" x14ac:dyDescent="0.35">
      <c r="A567" s="43" t="s">
        <v>2357</v>
      </c>
      <c r="B567" s="44" t="s">
        <v>1844</v>
      </c>
      <c r="C567" s="45" t="s">
        <v>2354</v>
      </c>
      <c r="D567" s="44" t="s">
        <v>2358</v>
      </c>
      <c r="E567" s="44" t="s">
        <v>502</v>
      </c>
      <c r="F567" s="44" t="s">
        <v>531</v>
      </c>
      <c r="G567" s="46" t="s">
        <v>2359</v>
      </c>
    </row>
    <row r="568" spans="1:7" x14ac:dyDescent="0.35">
      <c r="A568" s="39" t="s">
        <v>2360</v>
      </c>
      <c r="B568" s="40" t="s">
        <v>1844</v>
      </c>
      <c r="C568" s="41" t="s">
        <v>2354</v>
      </c>
      <c r="D568" s="40" t="s">
        <v>2361</v>
      </c>
      <c r="E568" s="40" t="s">
        <v>502</v>
      </c>
      <c r="F568" s="40" t="s">
        <v>531</v>
      </c>
      <c r="G568" s="42" t="s">
        <v>2362</v>
      </c>
    </row>
    <row r="569" spans="1:7" x14ac:dyDescent="0.35">
      <c r="A569" s="43" t="s">
        <v>2363</v>
      </c>
      <c r="B569" s="44" t="s">
        <v>1844</v>
      </c>
      <c r="C569" s="45" t="s">
        <v>2354</v>
      </c>
      <c r="D569" s="44" t="s">
        <v>2364</v>
      </c>
      <c r="E569" s="44" t="s">
        <v>502</v>
      </c>
      <c r="F569" s="44" t="s">
        <v>531</v>
      </c>
      <c r="G569" s="46" t="s">
        <v>2365</v>
      </c>
    </row>
    <row r="570" spans="1:7" x14ac:dyDescent="0.35">
      <c r="A570" s="39" t="s">
        <v>2366</v>
      </c>
      <c r="B570" s="40" t="s">
        <v>639</v>
      </c>
      <c r="C570" s="41" t="s">
        <v>2367</v>
      </c>
      <c r="D570" s="40" t="s">
        <v>233</v>
      </c>
      <c r="E570" s="40" t="s">
        <v>296</v>
      </c>
      <c r="F570" s="40" t="s">
        <v>307</v>
      </c>
      <c r="G570" s="42" t="s">
        <v>2368</v>
      </c>
    </row>
    <row r="571" spans="1:7" x14ac:dyDescent="0.35">
      <c r="A571" s="43" t="s">
        <v>2369</v>
      </c>
      <c r="B571" s="44" t="s">
        <v>639</v>
      </c>
      <c r="C571" s="45" t="s">
        <v>2367</v>
      </c>
      <c r="D571" s="44" t="s">
        <v>2370</v>
      </c>
      <c r="E571" s="44" t="s">
        <v>296</v>
      </c>
      <c r="F571" s="44" t="s">
        <v>307</v>
      </c>
      <c r="G571" s="46" t="s">
        <v>2371</v>
      </c>
    </row>
    <row r="572" spans="1:7" x14ac:dyDescent="0.35">
      <c r="A572" s="39" t="s">
        <v>2372</v>
      </c>
      <c r="B572" s="40" t="s">
        <v>639</v>
      </c>
      <c r="C572" s="41" t="s">
        <v>2367</v>
      </c>
      <c r="D572" s="40" t="s">
        <v>2373</v>
      </c>
      <c r="E572" s="40" t="s">
        <v>296</v>
      </c>
      <c r="F572" s="40" t="s">
        <v>307</v>
      </c>
      <c r="G572" s="42" t="s">
        <v>2374</v>
      </c>
    </row>
    <row r="573" spans="1:7" x14ac:dyDescent="0.35">
      <c r="A573" s="43" t="s">
        <v>2375</v>
      </c>
      <c r="B573" s="44" t="s">
        <v>639</v>
      </c>
      <c r="C573" s="45" t="s">
        <v>2367</v>
      </c>
      <c r="D573" s="44" t="s">
        <v>2376</v>
      </c>
      <c r="E573" s="44" t="s">
        <v>296</v>
      </c>
      <c r="F573" s="44" t="s">
        <v>307</v>
      </c>
      <c r="G573" s="46" t="s">
        <v>2377</v>
      </c>
    </row>
    <row r="574" spans="1:7" x14ac:dyDescent="0.35">
      <c r="A574" s="39" t="s">
        <v>2378</v>
      </c>
      <c r="B574" s="40" t="s">
        <v>639</v>
      </c>
      <c r="C574" s="41" t="s">
        <v>2367</v>
      </c>
      <c r="D574" s="40" t="s">
        <v>2379</v>
      </c>
      <c r="E574" s="40" t="s">
        <v>296</v>
      </c>
      <c r="F574" s="40" t="s">
        <v>307</v>
      </c>
      <c r="G574" s="42" t="s">
        <v>2380</v>
      </c>
    </row>
    <row r="575" spans="1:7" x14ac:dyDescent="0.35">
      <c r="A575" s="43" t="s">
        <v>2381</v>
      </c>
      <c r="B575" s="44" t="s">
        <v>639</v>
      </c>
      <c r="C575" s="45" t="s">
        <v>2367</v>
      </c>
      <c r="D575" s="44" t="s">
        <v>2382</v>
      </c>
      <c r="E575" s="44" t="s">
        <v>296</v>
      </c>
      <c r="F575" s="44" t="s">
        <v>307</v>
      </c>
      <c r="G575" s="46" t="s">
        <v>2383</v>
      </c>
    </row>
    <row r="576" spans="1:7" x14ac:dyDescent="0.35">
      <c r="A576" s="39" t="s">
        <v>2384</v>
      </c>
      <c r="B576" s="40" t="s">
        <v>639</v>
      </c>
      <c r="C576" s="41" t="s">
        <v>2367</v>
      </c>
      <c r="D576" s="40" t="s">
        <v>2385</v>
      </c>
      <c r="E576" s="40" t="s">
        <v>296</v>
      </c>
      <c r="F576" s="40" t="s">
        <v>307</v>
      </c>
      <c r="G576" s="42" t="s">
        <v>2386</v>
      </c>
    </row>
    <row r="577" spans="1:7" x14ac:dyDescent="0.35">
      <c r="A577" s="43" t="s">
        <v>2387</v>
      </c>
      <c r="B577" s="44" t="s">
        <v>639</v>
      </c>
      <c r="C577" s="45" t="s">
        <v>2367</v>
      </c>
      <c r="D577" s="44" t="s">
        <v>2388</v>
      </c>
      <c r="E577" s="44" t="s">
        <v>296</v>
      </c>
      <c r="F577" s="44" t="s">
        <v>307</v>
      </c>
      <c r="G577" s="46" t="s">
        <v>2389</v>
      </c>
    </row>
    <row r="578" spans="1:7" x14ac:dyDescent="0.35">
      <c r="A578" s="39" t="s">
        <v>2390</v>
      </c>
      <c r="B578" s="40" t="s">
        <v>639</v>
      </c>
      <c r="C578" s="41" t="s">
        <v>2367</v>
      </c>
      <c r="D578" s="40" t="s">
        <v>2391</v>
      </c>
      <c r="E578" s="40" t="s">
        <v>296</v>
      </c>
      <c r="F578" s="40" t="s">
        <v>307</v>
      </c>
      <c r="G578" s="42" t="s">
        <v>2392</v>
      </c>
    </row>
    <row r="579" spans="1:7" x14ac:dyDescent="0.35">
      <c r="A579" s="43" t="s">
        <v>2393</v>
      </c>
      <c r="B579" s="44" t="s">
        <v>639</v>
      </c>
      <c r="C579" s="45" t="s">
        <v>2367</v>
      </c>
      <c r="D579" s="44" t="s">
        <v>2394</v>
      </c>
      <c r="E579" s="44" t="s">
        <v>296</v>
      </c>
      <c r="F579" s="44" t="s">
        <v>307</v>
      </c>
      <c r="G579" s="46" t="s">
        <v>2395</v>
      </c>
    </row>
    <row r="580" spans="1:7" x14ac:dyDescent="0.35">
      <c r="A580" s="39" t="s">
        <v>2396</v>
      </c>
      <c r="B580" s="40" t="s">
        <v>639</v>
      </c>
      <c r="C580" s="41" t="s">
        <v>2367</v>
      </c>
      <c r="D580" s="40" t="s">
        <v>2397</v>
      </c>
      <c r="E580" s="40" t="s">
        <v>296</v>
      </c>
      <c r="F580" s="40" t="s">
        <v>307</v>
      </c>
      <c r="G580" s="42" t="s">
        <v>2398</v>
      </c>
    </row>
    <row r="581" spans="1:7" x14ac:dyDescent="0.35">
      <c r="A581" s="43" t="s">
        <v>2399</v>
      </c>
      <c r="B581" s="44" t="s">
        <v>639</v>
      </c>
      <c r="C581" s="45" t="s">
        <v>2367</v>
      </c>
      <c r="D581" s="44" t="s">
        <v>2400</v>
      </c>
      <c r="E581" s="44" t="s">
        <v>296</v>
      </c>
      <c r="F581" s="44" t="s">
        <v>307</v>
      </c>
      <c r="G581" s="46" t="s">
        <v>2401</v>
      </c>
    </row>
    <row r="582" spans="1:7" x14ac:dyDescent="0.35">
      <c r="A582" s="39" t="s">
        <v>2402</v>
      </c>
      <c r="B582" s="40" t="s">
        <v>639</v>
      </c>
      <c r="C582" s="41" t="s">
        <v>2367</v>
      </c>
      <c r="D582" s="40" t="s">
        <v>2403</v>
      </c>
      <c r="E582" s="40" t="s">
        <v>296</v>
      </c>
      <c r="F582" s="40" t="s">
        <v>307</v>
      </c>
      <c r="G582" s="42" t="s">
        <v>2404</v>
      </c>
    </row>
    <row r="583" spans="1:7" x14ac:dyDescent="0.35">
      <c r="A583" s="43" t="s">
        <v>2405</v>
      </c>
      <c r="B583" s="44" t="s">
        <v>639</v>
      </c>
      <c r="C583" s="45" t="s">
        <v>2367</v>
      </c>
      <c r="D583" s="44" t="s">
        <v>2406</v>
      </c>
      <c r="E583" s="44" t="s">
        <v>296</v>
      </c>
      <c r="F583" s="44" t="s">
        <v>307</v>
      </c>
      <c r="G583" s="46" t="s">
        <v>2407</v>
      </c>
    </row>
    <row r="584" spans="1:7" x14ac:dyDescent="0.35">
      <c r="A584" s="39" t="s">
        <v>2408</v>
      </c>
      <c r="B584" s="40" t="s">
        <v>639</v>
      </c>
      <c r="C584" s="41" t="s">
        <v>2367</v>
      </c>
      <c r="D584" s="40" t="s">
        <v>2409</v>
      </c>
      <c r="E584" s="40" t="s">
        <v>296</v>
      </c>
      <c r="F584" s="40" t="s">
        <v>307</v>
      </c>
      <c r="G584" s="42" t="s">
        <v>2410</v>
      </c>
    </row>
    <row r="585" spans="1:7" x14ac:dyDescent="0.35">
      <c r="A585" s="43" t="s">
        <v>2411</v>
      </c>
      <c r="B585" s="44" t="s">
        <v>639</v>
      </c>
      <c r="C585" s="45" t="s">
        <v>2367</v>
      </c>
      <c r="D585" s="44" t="s">
        <v>2412</v>
      </c>
      <c r="E585" s="44" t="s">
        <v>296</v>
      </c>
      <c r="F585" s="44" t="s">
        <v>307</v>
      </c>
      <c r="G585" s="46" t="s">
        <v>2413</v>
      </c>
    </row>
    <row r="586" spans="1:7" x14ac:dyDescent="0.35">
      <c r="A586" s="39" t="s">
        <v>2414</v>
      </c>
      <c r="B586" s="40" t="s">
        <v>639</v>
      </c>
      <c r="C586" s="41" t="s">
        <v>2367</v>
      </c>
      <c r="D586" s="40" t="s">
        <v>2415</v>
      </c>
      <c r="E586" s="40" t="s">
        <v>296</v>
      </c>
      <c r="F586" s="40" t="s">
        <v>307</v>
      </c>
      <c r="G586" s="42" t="s">
        <v>2416</v>
      </c>
    </row>
    <row r="587" spans="1:7" x14ac:dyDescent="0.35">
      <c r="A587" s="43" t="s">
        <v>2417</v>
      </c>
      <c r="B587" s="44" t="s">
        <v>639</v>
      </c>
      <c r="C587" s="45" t="s">
        <v>2367</v>
      </c>
      <c r="D587" s="44" t="s">
        <v>2418</v>
      </c>
      <c r="E587" s="44" t="s">
        <v>296</v>
      </c>
      <c r="F587" s="44" t="s">
        <v>307</v>
      </c>
      <c r="G587" s="46" t="s">
        <v>2419</v>
      </c>
    </row>
    <row r="588" spans="1:7" x14ac:dyDescent="0.35">
      <c r="A588" s="39" t="s">
        <v>2420</v>
      </c>
      <c r="B588" s="40" t="s">
        <v>639</v>
      </c>
      <c r="C588" s="41" t="s">
        <v>2367</v>
      </c>
      <c r="D588" s="40" t="s">
        <v>2421</v>
      </c>
      <c r="E588" s="40" t="s">
        <v>296</v>
      </c>
      <c r="F588" s="40" t="s">
        <v>307</v>
      </c>
      <c r="G588" s="42" t="s">
        <v>2422</v>
      </c>
    </row>
    <row r="589" spans="1:7" x14ac:dyDescent="0.35">
      <c r="A589" s="43" t="s">
        <v>2423</v>
      </c>
      <c r="B589" s="44" t="s">
        <v>639</v>
      </c>
      <c r="C589" s="45" t="s">
        <v>2367</v>
      </c>
      <c r="D589" s="44" t="s">
        <v>2424</v>
      </c>
      <c r="E589" s="44" t="s">
        <v>296</v>
      </c>
      <c r="F589" s="44" t="s">
        <v>307</v>
      </c>
      <c r="G589" s="46" t="s">
        <v>2425</v>
      </c>
    </row>
    <row r="590" spans="1:7" x14ac:dyDescent="0.35">
      <c r="A590" s="39" t="s">
        <v>2426</v>
      </c>
      <c r="B590" s="40" t="s">
        <v>639</v>
      </c>
      <c r="C590" s="41" t="s">
        <v>2367</v>
      </c>
      <c r="D590" s="40" t="s">
        <v>2427</v>
      </c>
      <c r="E590" s="40" t="s">
        <v>296</v>
      </c>
      <c r="F590" s="40" t="s">
        <v>307</v>
      </c>
      <c r="G590" s="42" t="s">
        <v>2428</v>
      </c>
    </row>
    <row r="591" spans="1:7" x14ac:dyDescent="0.35">
      <c r="A591" s="43" t="s">
        <v>2429</v>
      </c>
      <c r="B591" s="44" t="s">
        <v>639</v>
      </c>
      <c r="C591" s="45" t="s">
        <v>2367</v>
      </c>
      <c r="D591" s="44" t="s">
        <v>2430</v>
      </c>
      <c r="E591" s="44" t="s">
        <v>296</v>
      </c>
      <c r="F591" s="44" t="s">
        <v>307</v>
      </c>
      <c r="G591" s="46" t="s">
        <v>2431</v>
      </c>
    </row>
    <row r="592" spans="1:7" x14ac:dyDescent="0.35">
      <c r="A592" s="39" t="s">
        <v>2432</v>
      </c>
      <c r="B592" s="40" t="s">
        <v>639</v>
      </c>
      <c r="C592" s="41" t="s">
        <v>2367</v>
      </c>
      <c r="D592" s="40" t="s">
        <v>2433</v>
      </c>
      <c r="E592" s="40" t="s">
        <v>296</v>
      </c>
      <c r="F592" s="40" t="s">
        <v>307</v>
      </c>
      <c r="G592" s="42" t="s">
        <v>2434</v>
      </c>
    </row>
    <row r="593" spans="1:7" x14ac:dyDescent="0.35">
      <c r="A593" s="43" t="s">
        <v>2435</v>
      </c>
      <c r="B593" s="44" t="s">
        <v>639</v>
      </c>
      <c r="C593" s="45" t="s">
        <v>2367</v>
      </c>
      <c r="D593" s="44" t="s">
        <v>2436</v>
      </c>
      <c r="E593" s="44" t="s">
        <v>296</v>
      </c>
      <c r="F593" s="44" t="s">
        <v>307</v>
      </c>
      <c r="G593" s="46" t="s">
        <v>2437</v>
      </c>
    </row>
    <row r="594" spans="1:7" x14ac:dyDescent="0.35">
      <c r="A594" s="39" t="s">
        <v>2438</v>
      </c>
      <c r="B594" s="40" t="s">
        <v>639</v>
      </c>
      <c r="C594" s="41" t="s">
        <v>2367</v>
      </c>
      <c r="D594" s="40" t="s">
        <v>2439</v>
      </c>
      <c r="E594" s="40" t="s">
        <v>296</v>
      </c>
      <c r="F594" s="40" t="s">
        <v>307</v>
      </c>
      <c r="G594" s="42" t="s">
        <v>2440</v>
      </c>
    </row>
    <row r="595" spans="1:7" x14ac:dyDescent="0.35">
      <c r="A595" s="43" t="s">
        <v>2441</v>
      </c>
      <c r="B595" s="44" t="s">
        <v>639</v>
      </c>
      <c r="C595" s="45" t="s">
        <v>2367</v>
      </c>
      <c r="D595" s="44" t="s">
        <v>2442</v>
      </c>
      <c r="E595" s="44" t="s">
        <v>296</v>
      </c>
      <c r="F595" s="44" t="s">
        <v>307</v>
      </c>
      <c r="G595" s="46" t="s">
        <v>2443</v>
      </c>
    </row>
    <row r="596" spans="1:7" x14ac:dyDescent="0.35">
      <c r="A596" s="39" t="s">
        <v>2444</v>
      </c>
      <c r="B596" s="40" t="s">
        <v>639</v>
      </c>
      <c r="C596" s="41" t="s">
        <v>2367</v>
      </c>
      <c r="D596" s="40" t="s">
        <v>2445</v>
      </c>
      <c r="E596" s="40" t="s">
        <v>296</v>
      </c>
      <c r="F596" s="40" t="s">
        <v>307</v>
      </c>
      <c r="G596" s="42" t="s">
        <v>2446</v>
      </c>
    </row>
    <row r="597" spans="1:7" x14ac:dyDescent="0.35">
      <c r="A597" s="43" t="s">
        <v>2447</v>
      </c>
      <c r="B597" s="44" t="s">
        <v>639</v>
      </c>
      <c r="C597" s="45" t="s">
        <v>2367</v>
      </c>
      <c r="D597" s="44" t="s">
        <v>2448</v>
      </c>
      <c r="E597" s="44" t="s">
        <v>296</v>
      </c>
      <c r="F597" s="44" t="s">
        <v>307</v>
      </c>
      <c r="G597" s="46" t="s">
        <v>2449</v>
      </c>
    </row>
    <row r="598" spans="1:7" x14ac:dyDescent="0.35">
      <c r="A598" s="39" t="s">
        <v>2450</v>
      </c>
      <c r="B598" s="40" t="s">
        <v>639</v>
      </c>
      <c r="C598" s="41" t="s">
        <v>2367</v>
      </c>
      <c r="D598" s="40" t="s">
        <v>2451</v>
      </c>
      <c r="E598" s="40" t="s">
        <v>296</v>
      </c>
      <c r="F598" s="40" t="s">
        <v>307</v>
      </c>
      <c r="G598" s="42" t="s">
        <v>2452</v>
      </c>
    </row>
    <row r="599" spans="1:7" x14ac:dyDescent="0.35">
      <c r="A599" s="43" t="s">
        <v>2453</v>
      </c>
      <c r="B599" s="44" t="s">
        <v>639</v>
      </c>
      <c r="C599" s="45" t="s">
        <v>2367</v>
      </c>
      <c r="D599" s="44" t="s">
        <v>2454</v>
      </c>
      <c r="E599" s="44" t="s">
        <v>296</v>
      </c>
      <c r="F599" s="44" t="s">
        <v>307</v>
      </c>
      <c r="G599" s="46" t="s">
        <v>2455</v>
      </c>
    </row>
    <row r="600" spans="1:7" x14ac:dyDescent="0.35">
      <c r="A600" s="39" t="s">
        <v>2456</v>
      </c>
      <c r="B600" s="40" t="s">
        <v>639</v>
      </c>
      <c r="C600" s="41" t="s">
        <v>2367</v>
      </c>
      <c r="D600" s="40" t="s">
        <v>2457</v>
      </c>
      <c r="E600" s="40" t="s">
        <v>296</v>
      </c>
      <c r="F600" s="40" t="s">
        <v>307</v>
      </c>
      <c r="G600" s="42" t="s">
        <v>2458</v>
      </c>
    </row>
    <row r="601" spans="1:7" x14ac:dyDescent="0.35">
      <c r="A601" s="43" t="s">
        <v>2459</v>
      </c>
      <c r="B601" s="44" t="s">
        <v>639</v>
      </c>
      <c r="C601" s="45" t="s">
        <v>2367</v>
      </c>
      <c r="D601" s="44" t="s">
        <v>2460</v>
      </c>
      <c r="E601" s="44" t="s">
        <v>296</v>
      </c>
      <c r="F601" s="44" t="s">
        <v>307</v>
      </c>
      <c r="G601" s="46" t="s">
        <v>2461</v>
      </c>
    </row>
    <row r="602" spans="1:7" x14ac:dyDescent="0.35">
      <c r="A602" s="39" t="s">
        <v>2462</v>
      </c>
      <c r="B602" s="40" t="s">
        <v>639</v>
      </c>
      <c r="C602" s="41" t="s">
        <v>2367</v>
      </c>
      <c r="D602" s="40" t="s">
        <v>2463</v>
      </c>
      <c r="E602" s="40" t="s">
        <v>296</v>
      </c>
      <c r="F602" s="40" t="s">
        <v>307</v>
      </c>
      <c r="G602" s="42" t="s">
        <v>2464</v>
      </c>
    </row>
    <row r="603" spans="1:7" x14ac:dyDescent="0.35">
      <c r="A603" s="43" t="s">
        <v>2465</v>
      </c>
      <c r="B603" s="44" t="s">
        <v>639</v>
      </c>
      <c r="C603" s="45" t="s">
        <v>2367</v>
      </c>
      <c r="D603" s="44" t="s">
        <v>2466</v>
      </c>
      <c r="E603" s="44" t="s">
        <v>296</v>
      </c>
      <c r="F603" s="44" t="s">
        <v>307</v>
      </c>
      <c r="G603" s="46" t="s">
        <v>2467</v>
      </c>
    </row>
    <row r="604" spans="1:7" x14ac:dyDescent="0.35">
      <c r="A604" s="39" t="s">
        <v>2468</v>
      </c>
      <c r="B604" s="40" t="s">
        <v>639</v>
      </c>
      <c r="C604" s="41" t="s">
        <v>2367</v>
      </c>
      <c r="D604" s="40" t="s">
        <v>2469</v>
      </c>
      <c r="E604" s="40" t="s">
        <v>296</v>
      </c>
      <c r="F604" s="40" t="s">
        <v>307</v>
      </c>
      <c r="G604" s="42" t="s">
        <v>2470</v>
      </c>
    </row>
    <row r="605" spans="1:7" x14ac:dyDescent="0.35">
      <c r="A605" s="43" t="s">
        <v>2471</v>
      </c>
      <c r="B605" s="44" t="s">
        <v>639</v>
      </c>
      <c r="C605" s="45" t="s">
        <v>2367</v>
      </c>
      <c r="D605" s="44" t="s">
        <v>2472</v>
      </c>
      <c r="E605" s="44" t="s">
        <v>296</v>
      </c>
      <c r="F605" s="44" t="s">
        <v>307</v>
      </c>
      <c r="G605" s="46" t="s">
        <v>2473</v>
      </c>
    </row>
    <row r="606" spans="1:7" x14ac:dyDescent="0.35">
      <c r="A606" s="39" t="s">
        <v>2474</v>
      </c>
      <c r="B606" s="40" t="s">
        <v>639</v>
      </c>
      <c r="C606" s="41" t="s">
        <v>2367</v>
      </c>
      <c r="D606" s="40" t="s">
        <v>2475</v>
      </c>
      <c r="E606" s="40" t="s">
        <v>296</v>
      </c>
      <c r="F606" s="40" t="s">
        <v>307</v>
      </c>
      <c r="G606" s="42" t="s">
        <v>2476</v>
      </c>
    </row>
    <row r="607" spans="1:7" x14ac:dyDescent="0.35">
      <c r="A607" s="43" t="s">
        <v>2477</v>
      </c>
      <c r="B607" s="44" t="s">
        <v>639</v>
      </c>
      <c r="C607" s="45" t="s">
        <v>2367</v>
      </c>
      <c r="D607" s="44" t="s">
        <v>2478</v>
      </c>
      <c r="E607" s="44" t="s">
        <v>296</v>
      </c>
      <c r="F607" s="44" t="s">
        <v>307</v>
      </c>
      <c r="G607" s="46" t="s">
        <v>2479</v>
      </c>
    </row>
    <row r="608" spans="1:7" x14ac:dyDescent="0.35">
      <c r="A608" s="39" t="s">
        <v>2480</v>
      </c>
      <c r="B608" s="40" t="s">
        <v>639</v>
      </c>
      <c r="C608" s="41" t="s">
        <v>2367</v>
      </c>
      <c r="D608" s="40" t="s">
        <v>1784</v>
      </c>
      <c r="E608" s="40" t="s">
        <v>296</v>
      </c>
      <c r="F608" s="40" t="s">
        <v>307</v>
      </c>
      <c r="G608" s="42" t="s">
        <v>2481</v>
      </c>
    </row>
    <row r="609" spans="1:7" x14ac:dyDescent="0.35">
      <c r="A609" s="43" t="s">
        <v>2482</v>
      </c>
      <c r="B609" s="44" t="s">
        <v>639</v>
      </c>
      <c r="C609" s="45" t="s">
        <v>2367</v>
      </c>
      <c r="D609" s="44" t="s">
        <v>2483</v>
      </c>
      <c r="E609" s="44" t="s">
        <v>296</v>
      </c>
      <c r="F609" s="44" t="s">
        <v>307</v>
      </c>
      <c r="G609" s="46" t="s">
        <v>2484</v>
      </c>
    </row>
    <row r="610" spans="1:7" x14ac:dyDescent="0.35">
      <c r="A610" s="39" t="s">
        <v>2485</v>
      </c>
      <c r="B610" s="40" t="s">
        <v>639</v>
      </c>
      <c r="C610" s="41" t="s">
        <v>2367</v>
      </c>
      <c r="D610" s="40" t="s">
        <v>2486</v>
      </c>
      <c r="E610" s="40" t="s">
        <v>296</v>
      </c>
      <c r="F610" s="40" t="s">
        <v>307</v>
      </c>
      <c r="G610" s="42" t="s">
        <v>2487</v>
      </c>
    </row>
    <row r="611" spans="1:7" x14ac:dyDescent="0.35">
      <c r="A611" s="43" t="s">
        <v>2488</v>
      </c>
      <c r="B611" s="44" t="s">
        <v>639</v>
      </c>
      <c r="C611" s="45" t="s">
        <v>2367</v>
      </c>
      <c r="D611" s="44" t="s">
        <v>2489</v>
      </c>
      <c r="E611" s="44" t="s">
        <v>296</v>
      </c>
      <c r="F611" s="44" t="s">
        <v>307</v>
      </c>
      <c r="G611" s="46" t="s">
        <v>2490</v>
      </c>
    </row>
    <row r="612" spans="1:7" x14ac:dyDescent="0.35">
      <c r="A612" s="39" t="s">
        <v>2491</v>
      </c>
      <c r="B612" s="40" t="s">
        <v>639</v>
      </c>
      <c r="C612" s="41" t="s">
        <v>2367</v>
      </c>
      <c r="D612" s="40" t="s">
        <v>2492</v>
      </c>
      <c r="E612" s="40" t="s">
        <v>296</v>
      </c>
      <c r="F612" s="40" t="s">
        <v>307</v>
      </c>
      <c r="G612" s="42" t="s">
        <v>2493</v>
      </c>
    </row>
    <row r="613" spans="1:7" x14ac:dyDescent="0.35">
      <c r="A613" s="43" t="s">
        <v>2494</v>
      </c>
      <c r="B613" s="44" t="s">
        <v>639</v>
      </c>
      <c r="C613" s="45" t="s">
        <v>2367</v>
      </c>
      <c r="D613" s="44" t="s">
        <v>2495</v>
      </c>
      <c r="E613" s="44" t="s">
        <v>296</v>
      </c>
      <c r="F613" s="44" t="s">
        <v>307</v>
      </c>
      <c r="G613" s="46" t="s">
        <v>2496</v>
      </c>
    </row>
    <row r="614" spans="1:7" x14ac:dyDescent="0.35">
      <c r="A614" s="39" t="s">
        <v>2497</v>
      </c>
      <c r="B614" s="40" t="s">
        <v>639</v>
      </c>
      <c r="C614" s="41" t="s">
        <v>2367</v>
      </c>
      <c r="D614" s="40" t="s">
        <v>2498</v>
      </c>
      <c r="E614" s="40" t="s">
        <v>296</v>
      </c>
      <c r="F614" s="40" t="s">
        <v>307</v>
      </c>
      <c r="G614" s="42" t="s">
        <v>2499</v>
      </c>
    </row>
    <row r="615" spans="1:7" x14ac:dyDescent="0.35">
      <c r="A615" s="43" t="s">
        <v>2500</v>
      </c>
      <c r="B615" s="44" t="s">
        <v>639</v>
      </c>
      <c r="C615" s="45" t="s">
        <v>2367</v>
      </c>
      <c r="D615" s="44" t="s">
        <v>2501</v>
      </c>
      <c r="E615" s="44" t="s">
        <v>296</v>
      </c>
      <c r="F615" s="44" t="s">
        <v>307</v>
      </c>
      <c r="G615" s="46" t="s">
        <v>2502</v>
      </c>
    </row>
    <row r="616" spans="1:7" x14ac:dyDescent="0.35">
      <c r="A616" s="39" t="s">
        <v>2503</v>
      </c>
      <c r="B616" s="40" t="s">
        <v>639</v>
      </c>
      <c r="C616" s="41" t="s">
        <v>2367</v>
      </c>
      <c r="D616" s="40" t="s">
        <v>2504</v>
      </c>
      <c r="E616" s="40" t="s">
        <v>296</v>
      </c>
      <c r="F616" s="40" t="s">
        <v>307</v>
      </c>
      <c r="G616" s="42" t="s">
        <v>2505</v>
      </c>
    </row>
    <row r="617" spans="1:7" x14ac:dyDescent="0.35">
      <c r="A617" s="43" t="s">
        <v>2506</v>
      </c>
      <c r="B617" s="44" t="s">
        <v>639</v>
      </c>
      <c r="C617" s="45" t="s">
        <v>2367</v>
      </c>
      <c r="D617" s="44" t="s">
        <v>2507</v>
      </c>
      <c r="E617" s="44" t="s">
        <v>296</v>
      </c>
      <c r="F617" s="44" t="s">
        <v>307</v>
      </c>
      <c r="G617" s="46" t="s">
        <v>2508</v>
      </c>
    </row>
    <row r="618" spans="1:7" x14ac:dyDescent="0.35">
      <c r="A618" s="39" t="s">
        <v>2509</v>
      </c>
      <c r="B618" s="40" t="s">
        <v>639</v>
      </c>
      <c r="C618" s="41" t="s">
        <v>2367</v>
      </c>
      <c r="D618" s="40" t="s">
        <v>2510</v>
      </c>
      <c r="E618" s="40" t="s">
        <v>296</v>
      </c>
      <c r="F618" s="40" t="s">
        <v>307</v>
      </c>
      <c r="G618" s="42" t="s">
        <v>2511</v>
      </c>
    </row>
    <row r="619" spans="1:7" x14ac:dyDescent="0.35">
      <c r="A619" s="43" t="s">
        <v>2512</v>
      </c>
      <c r="B619" s="44" t="s">
        <v>639</v>
      </c>
      <c r="C619" s="45" t="s">
        <v>2367</v>
      </c>
      <c r="D619" s="44" t="s">
        <v>2513</v>
      </c>
      <c r="E619" s="44" t="s">
        <v>296</v>
      </c>
      <c r="F619" s="44" t="s">
        <v>307</v>
      </c>
      <c r="G619" s="46" t="s">
        <v>2514</v>
      </c>
    </row>
    <row r="620" spans="1:7" x14ac:dyDescent="0.35">
      <c r="A620" s="39" t="s">
        <v>2515</v>
      </c>
      <c r="B620" s="40" t="s">
        <v>639</v>
      </c>
      <c r="C620" s="41" t="s">
        <v>2367</v>
      </c>
      <c r="D620" s="40" t="s">
        <v>2516</v>
      </c>
      <c r="E620" s="40" t="s">
        <v>296</v>
      </c>
      <c r="F620" s="40" t="s">
        <v>307</v>
      </c>
      <c r="G620" s="42" t="s">
        <v>2517</v>
      </c>
    </row>
    <row r="621" spans="1:7" x14ac:dyDescent="0.35">
      <c r="A621" s="43" t="s">
        <v>2518</v>
      </c>
      <c r="B621" s="44" t="s">
        <v>639</v>
      </c>
      <c r="C621" s="45" t="s">
        <v>2367</v>
      </c>
      <c r="D621" s="44" t="s">
        <v>2519</v>
      </c>
      <c r="E621" s="44" t="s">
        <v>296</v>
      </c>
      <c r="F621" s="44" t="s">
        <v>307</v>
      </c>
      <c r="G621" s="46" t="s">
        <v>2520</v>
      </c>
    </row>
    <row r="622" spans="1:7" x14ac:dyDescent="0.35">
      <c r="A622" s="39" t="s">
        <v>2521</v>
      </c>
      <c r="B622" s="40" t="s">
        <v>639</v>
      </c>
      <c r="C622" s="41" t="s">
        <v>2367</v>
      </c>
      <c r="D622" s="40" t="s">
        <v>2522</v>
      </c>
      <c r="E622" s="40" t="s">
        <v>296</v>
      </c>
      <c r="F622" s="40" t="s">
        <v>307</v>
      </c>
      <c r="G622" s="42" t="s">
        <v>2523</v>
      </c>
    </row>
    <row r="623" spans="1:7" x14ac:dyDescent="0.35">
      <c r="A623" s="43" t="s">
        <v>2524</v>
      </c>
      <c r="B623" s="44" t="s">
        <v>639</v>
      </c>
      <c r="C623" s="45" t="s">
        <v>2367</v>
      </c>
      <c r="D623" s="44" t="s">
        <v>2525</v>
      </c>
      <c r="E623" s="44" t="s">
        <v>296</v>
      </c>
      <c r="F623" s="44" t="s">
        <v>307</v>
      </c>
      <c r="G623" s="46" t="s">
        <v>2526</v>
      </c>
    </row>
    <row r="624" spans="1:7" x14ac:dyDescent="0.35">
      <c r="A624" s="39" t="s">
        <v>2527</v>
      </c>
      <c r="B624" s="40" t="s">
        <v>639</v>
      </c>
      <c r="C624" s="41" t="s">
        <v>2367</v>
      </c>
      <c r="D624" s="40" t="s">
        <v>1515</v>
      </c>
      <c r="E624" s="40" t="s">
        <v>296</v>
      </c>
      <c r="F624" s="40" t="s">
        <v>307</v>
      </c>
      <c r="G624" s="42" t="s">
        <v>2528</v>
      </c>
    </row>
    <row r="625" spans="1:7" x14ac:dyDescent="0.35">
      <c r="A625" s="43" t="s">
        <v>2529</v>
      </c>
      <c r="B625" s="44" t="s">
        <v>639</v>
      </c>
      <c r="C625" s="45" t="s">
        <v>2367</v>
      </c>
      <c r="D625" s="44" t="s">
        <v>2530</v>
      </c>
      <c r="E625" s="44" t="s">
        <v>296</v>
      </c>
      <c r="F625" s="44" t="s">
        <v>307</v>
      </c>
      <c r="G625" s="46" t="s">
        <v>2531</v>
      </c>
    </row>
    <row r="626" spans="1:7" x14ac:dyDescent="0.35">
      <c r="A626" s="39" t="s">
        <v>2532</v>
      </c>
      <c r="B626" s="40" t="s">
        <v>639</v>
      </c>
      <c r="C626" s="41" t="s">
        <v>2367</v>
      </c>
      <c r="D626" s="40" t="s">
        <v>2533</v>
      </c>
      <c r="E626" s="40" t="s">
        <v>296</v>
      </c>
      <c r="F626" s="40" t="s">
        <v>307</v>
      </c>
      <c r="G626" s="42" t="s">
        <v>2534</v>
      </c>
    </row>
    <row r="627" spans="1:7" x14ac:dyDescent="0.35">
      <c r="A627" s="43" t="s">
        <v>2535</v>
      </c>
      <c r="B627" s="44" t="s">
        <v>639</v>
      </c>
      <c r="C627" s="45" t="s">
        <v>2367</v>
      </c>
      <c r="D627" s="44" t="s">
        <v>2536</v>
      </c>
      <c r="E627" s="44" t="s">
        <v>296</v>
      </c>
      <c r="F627" s="44" t="s">
        <v>307</v>
      </c>
      <c r="G627" s="46" t="s">
        <v>2537</v>
      </c>
    </row>
    <row r="628" spans="1:7" x14ac:dyDescent="0.35">
      <c r="A628" s="39" t="s">
        <v>2538</v>
      </c>
      <c r="B628" s="40" t="s">
        <v>639</v>
      </c>
      <c r="C628" s="41" t="s">
        <v>2367</v>
      </c>
      <c r="D628" s="40" t="s">
        <v>2539</v>
      </c>
      <c r="E628" s="40" t="s">
        <v>296</v>
      </c>
      <c r="F628" s="40" t="s">
        <v>307</v>
      </c>
      <c r="G628" s="42" t="s">
        <v>2540</v>
      </c>
    </row>
    <row r="629" spans="1:7" x14ac:dyDescent="0.35">
      <c r="A629" s="43" t="s">
        <v>2541</v>
      </c>
      <c r="B629" s="44" t="s">
        <v>639</v>
      </c>
      <c r="C629" s="45" t="s">
        <v>2367</v>
      </c>
      <c r="D629" s="44" t="s">
        <v>2542</v>
      </c>
      <c r="E629" s="44" t="s">
        <v>296</v>
      </c>
      <c r="F629" s="44" t="s">
        <v>307</v>
      </c>
      <c r="G629" s="46" t="s">
        <v>2543</v>
      </c>
    </row>
    <row r="630" spans="1:7" x14ac:dyDescent="0.35">
      <c r="A630" s="39" t="s">
        <v>2544</v>
      </c>
      <c r="B630" s="40" t="s">
        <v>639</v>
      </c>
      <c r="C630" s="41" t="s">
        <v>2367</v>
      </c>
      <c r="D630" s="40" t="s">
        <v>2545</v>
      </c>
      <c r="E630" s="40" t="s">
        <v>296</v>
      </c>
      <c r="F630" s="40" t="s">
        <v>307</v>
      </c>
      <c r="G630" s="42" t="s">
        <v>2546</v>
      </c>
    </row>
    <row r="631" spans="1:7" x14ac:dyDescent="0.35">
      <c r="A631" s="43" t="s">
        <v>2547</v>
      </c>
      <c r="B631" s="44" t="s">
        <v>639</v>
      </c>
      <c r="C631" s="45" t="s">
        <v>2367</v>
      </c>
      <c r="D631" s="44" t="s">
        <v>2548</v>
      </c>
      <c r="E631" s="44" t="s">
        <v>296</v>
      </c>
      <c r="F631" s="44" t="s">
        <v>307</v>
      </c>
      <c r="G631" s="46" t="s">
        <v>2549</v>
      </c>
    </row>
    <row r="632" spans="1:7" x14ac:dyDescent="0.35">
      <c r="A632" s="39" t="s">
        <v>2550</v>
      </c>
      <c r="B632" s="40" t="s">
        <v>639</v>
      </c>
      <c r="C632" s="41" t="s">
        <v>2367</v>
      </c>
      <c r="D632" s="40" t="s">
        <v>2551</v>
      </c>
      <c r="E632" s="40" t="s">
        <v>296</v>
      </c>
      <c r="F632" s="40" t="s">
        <v>307</v>
      </c>
      <c r="G632" s="42" t="s">
        <v>2552</v>
      </c>
    </row>
    <row r="633" spans="1:7" x14ac:dyDescent="0.35">
      <c r="A633" s="43" t="s">
        <v>2553</v>
      </c>
      <c r="B633" s="44" t="s">
        <v>639</v>
      </c>
      <c r="C633" s="45" t="s">
        <v>2367</v>
      </c>
      <c r="D633" s="44" t="s">
        <v>2554</v>
      </c>
      <c r="E633" s="44" t="s">
        <v>296</v>
      </c>
      <c r="F633" s="44" t="s">
        <v>307</v>
      </c>
      <c r="G633" s="46" t="s">
        <v>2555</v>
      </c>
    </row>
    <row r="634" spans="1:7" x14ac:dyDescent="0.35">
      <c r="A634" s="39" t="s">
        <v>2556</v>
      </c>
      <c r="B634" s="40" t="s">
        <v>639</v>
      </c>
      <c r="C634" s="41" t="s">
        <v>2367</v>
      </c>
      <c r="D634" s="40" t="s">
        <v>2557</v>
      </c>
      <c r="E634" s="40" t="s">
        <v>296</v>
      </c>
      <c r="F634" s="40" t="s">
        <v>307</v>
      </c>
      <c r="G634" s="42" t="s">
        <v>2558</v>
      </c>
    </row>
    <row r="635" spans="1:7" x14ac:dyDescent="0.35">
      <c r="A635" s="43" t="s">
        <v>2559</v>
      </c>
      <c r="B635" s="44" t="s">
        <v>639</v>
      </c>
      <c r="C635" s="45" t="s">
        <v>2367</v>
      </c>
      <c r="D635" s="44" t="s">
        <v>2560</v>
      </c>
      <c r="E635" s="44" t="s">
        <v>296</v>
      </c>
      <c r="F635" s="44" t="s">
        <v>307</v>
      </c>
      <c r="G635" s="46" t="s">
        <v>2561</v>
      </c>
    </row>
    <row r="636" spans="1:7" x14ac:dyDescent="0.35">
      <c r="A636" s="39" t="s">
        <v>2562</v>
      </c>
      <c r="B636" s="40" t="s">
        <v>639</v>
      </c>
      <c r="C636" s="41" t="s">
        <v>2367</v>
      </c>
      <c r="D636" s="40" t="s">
        <v>2563</v>
      </c>
      <c r="E636" s="40" t="s">
        <v>296</v>
      </c>
      <c r="F636" s="40" t="s">
        <v>307</v>
      </c>
      <c r="G636" s="42" t="s">
        <v>2564</v>
      </c>
    </row>
    <row r="637" spans="1:7" x14ac:dyDescent="0.35">
      <c r="A637" s="43" t="s">
        <v>2565</v>
      </c>
      <c r="B637" s="44" t="s">
        <v>639</v>
      </c>
      <c r="C637" s="45" t="s">
        <v>2367</v>
      </c>
      <c r="D637" s="44" t="s">
        <v>2566</v>
      </c>
      <c r="E637" s="44" t="s">
        <v>296</v>
      </c>
      <c r="F637" s="44" t="s">
        <v>307</v>
      </c>
      <c r="G637" s="46" t="s">
        <v>2567</v>
      </c>
    </row>
    <row r="638" spans="1:7" x14ac:dyDescent="0.35">
      <c r="A638" s="39" t="s">
        <v>2568</v>
      </c>
      <c r="B638" s="40" t="s">
        <v>639</v>
      </c>
      <c r="C638" s="41" t="s">
        <v>2367</v>
      </c>
      <c r="D638" s="40" t="s">
        <v>2569</v>
      </c>
      <c r="E638" s="40" t="s">
        <v>296</v>
      </c>
      <c r="F638" s="40" t="s">
        <v>307</v>
      </c>
      <c r="G638" s="42" t="s">
        <v>2570</v>
      </c>
    </row>
    <row r="639" spans="1:7" x14ac:dyDescent="0.35">
      <c r="A639" s="43" t="s">
        <v>2571</v>
      </c>
      <c r="B639" s="44" t="s">
        <v>639</v>
      </c>
      <c r="C639" s="45" t="s">
        <v>2367</v>
      </c>
      <c r="D639" s="44" t="s">
        <v>2572</v>
      </c>
      <c r="E639" s="44" t="s">
        <v>296</v>
      </c>
      <c r="F639" s="44" t="s">
        <v>307</v>
      </c>
      <c r="G639" s="46" t="s">
        <v>2573</v>
      </c>
    </row>
    <row r="640" spans="1:7" x14ac:dyDescent="0.35">
      <c r="A640" s="39" t="s">
        <v>2574</v>
      </c>
      <c r="B640" s="40" t="s">
        <v>639</v>
      </c>
      <c r="C640" s="41" t="s">
        <v>2367</v>
      </c>
      <c r="D640" s="40" t="s">
        <v>2575</v>
      </c>
      <c r="E640" s="40" t="s">
        <v>296</v>
      </c>
      <c r="F640" s="40" t="s">
        <v>307</v>
      </c>
      <c r="G640" s="42" t="s">
        <v>2576</v>
      </c>
    </row>
    <row r="641" spans="1:7" x14ac:dyDescent="0.35">
      <c r="A641" s="43" t="s">
        <v>2577</v>
      </c>
      <c r="B641" s="44" t="s">
        <v>639</v>
      </c>
      <c r="C641" s="45" t="s">
        <v>2367</v>
      </c>
      <c r="D641" s="44" t="s">
        <v>2578</v>
      </c>
      <c r="E641" s="44" t="s">
        <v>296</v>
      </c>
      <c r="F641" s="44" t="s">
        <v>307</v>
      </c>
      <c r="G641" s="46" t="s">
        <v>2579</v>
      </c>
    </row>
    <row r="642" spans="1:7" x14ac:dyDescent="0.35">
      <c r="A642" s="39" t="s">
        <v>2580</v>
      </c>
      <c r="B642" s="40" t="s">
        <v>639</v>
      </c>
      <c r="C642" s="41" t="s">
        <v>2367</v>
      </c>
      <c r="D642" s="40" t="s">
        <v>2581</v>
      </c>
      <c r="E642" s="40" t="s">
        <v>296</v>
      </c>
      <c r="F642" s="40" t="s">
        <v>307</v>
      </c>
      <c r="G642" s="42" t="s">
        <v>2582</v>
      </c>
    </row>
    <row r="643" spans="1:7" x14ac:dyDescent="0.35">
      <c r="A643" s="43" t="s">
        <v>2583</v>
      </c>
      <c r="B643" s="44" t="s">
        <v>639</v>
      </c>
      <c r="C643" s="45" t="s">
        <v>2367</v>
      </c>
      <c r="D643" s="44" t="s">
        <v>2584</v>
      </c>
      <c r="E643" s="44" t="s">
        <v>296</v>
      </c>
      <c r="F643" s="44" t="s">
        <v>307</v>
      </c>
      <c r="G643" s="46" t="s">
        <v>2585</v>
      </c>
    </row>
    <row r="644" spans="1:7" x14ac:dyDescent="0.35">
      <c r="A644" s="39" t="s">
        <v>2586</v>
      </c>
      <c r="B644" s="40" t="s">
        <v>639</v>
      </c>
      <c r="C644" s="41" t="s">
        <v>2367</v>
      </c>
      <c r="D644" s="40" t="s">
        <v>316</v>
      </c>
      <c r="E644" s="40" t="s">
        <v>296</v>
      </c>
      <c r="F644" s="40" t="s">
        <v>307</v>
      </c>
      <c r="G644" s="42" t="s">
        <v>2587</v>
      </c>
    </row>
    <row r="645" spans="1:7" x14ac:dyDescent="0.35">
      <c r="A645" s="43" t="s">
        <v>2588</v>
      </c>
      <c r="B645" s="44" t="s">
        <v>639</v>
      </c>
      <c r="C645" s="45" t="s">
        <v>2367</v>
      </c>
      <c r="D645" s="44" t="s">
        <v>2589</v>
      </c>
      <c r="E645" s="44" t="s">
        <v>296</v>
      </c>
      <c r="F645" s="44" t="s">
        <v>307</v>
      </c>
      <c r="G645" s="46" t="s">
        <v>2590</v>
      </c>
    </row>
    <row r="646" spans="1:7" x14ac:dyDescent="0.35">
      <c r="A646" s="39" t="s">
        <v>2591</v>
      </c>
      <c r="B646" s="40" t="s">
        <v>639</v>
      </c>
      <c r="C646" s="41" t="s">
        <v>2367</v>
      </c>
      <c r="D646" s="40" t="s">
        <v>2592</v>
      </c>
      <c r="E646" s="40" t="s">
        <v>296</v>
      </c>
      <c r="F646" s="40" t="s">
        <v>307</v>
      </c>
      <c r="G646" s="42" t="s">
        <v>2593</v>
      </c>
    </row>
    <row r="647" spans="1:7" x14ac:dyDescent="0.35">
      <c r="A647" s="43" t="s">
        <v>2594</v>
      </c>
      <c r="B647" s="44" t="s">
        <v>639</v>
      </c>
      <c r="C647" s="45" t="s">
        <v>2367</v>
      </c>
      <c r="D647" s="44" t="s">
        <v>2595</v>
      </c>
      <c r="E647" s="44" t="s">
        <v>296</v>
      </c>
      <c r="F647" s="44" t="s">
        <v>307</v>
      </c>
      <c r="G647" s="46" t="s">
        <v>2596</v>
      </c>
    </row>
    <row r="648" spans="1:7" x14ac:dyDescent="0.35">
      <c r="A648" s="39" t="s">
        <v>2597</v>
      </c>
      <c r="B648" s="40" t="s">
        <v>639</v>
      </c>
      <c r="C648" s="41" t="s">
        <v>2367</v>
      </c>
      <c r="D648" s="40" t="s">
        <v>1725</v>
      </c>
      <c r="E648" s="40" t="s">
        <v>296</v>
      </c>
      <c r="F648" s="40" t="s">
        <v>307</v>
      </c>
      <c r="G648" s="42" t="s">
        <v>2598</v>
      </c>
    </row>
    <row r="649" spans="1:7" x14ac:dyDescent="0.35">
      <c r="A649" s="43" t="s">
        <v>2599</v>
      </c>
      <c r="B649" s="44" t="s">
        <v>639</v>
      </c>
      <c r="C649" s="45" t="s">
        <v>2367</v>
      </c>
      <c r="D649" s="44" t="s">
        <v>2180</v>
      </c>
      <c r="E649" s="44" t="s">
        <v>296</v>
      </c>
      <c r="F649" s="44" t="s">
        <v>307</v>
      </c>
      <c r="G649" s="46" t="s">
        <v>2600</v>
      </c>
    </row>
    <row r="650" spans="1:7" x14ac:dyDescent="0.35">
      <c r="A650" s="39" t="s">
        <v>2601</v>
      </c>
      <c r="B650" s="40" t="s">
        <v>639</v>
      </c>
      <c r="C650" s="41" t="s">
        <v>2367</v>
      </c>
      <c r="D650" s="40" t="s">
        <v>2602</v>
      </c>
      <c r="E650" s="40" t="s">
        <v>296</v>
      </c>
      <c r="F650" s="40" t="s">
        <v>307</v>
      </c>
      <c r="G650" s="42" t="s">
        <v>2603</v>
      </c>
    </row>
    <row r="651" spans="1:7" x14ac:dyDescent="0.35">
      <c r="A651" s="43" t="s">
        <v>2604</v>
      </c>
      <c r="B651" s="44" t="s">
        <v>639</v>
      </c>
      <c r="C651" s="45" t="s">
        <v>2367</v>
      </c>
      <c r="D651" s="44" t="s">
        <v>2605</v>
      </c>
      <c r="E651" s="44" t="s">
        <v>296</v>
      </c>
      <c r="F651" s="44" t="s">
        <v>307</v>
      </c>
      <c r="G651" s="46" t="s">
        <v>2606</v>
      </c>
    </row>
    <row r="652" spans="1:7" x14ac:dyDescent="0.35">
      <c r="A652" s="39" t="s">
        <v>2607</v>
      </c>
      <c r="B652" s="40" t="s">
        <v>639</v>
      </c>
      <c r="C652" s="41" t="s">
        <v>2367</v>
      </c>
      <c r="D652" s="40" t="s">
        <v>409</v>
      </c>
      <c r="E652" s="40" t="s">
        <v>296</v>
      </c>
      <c r="F652" s="40" t="s">
        <v>307</v>
      </c>
      <c r="G652" s="42" t="s">
        <v>2608</v>
      </c>
    </row>
    <row r="653" spans="1:7" x14ac:dyDescent="0.35">
      <c r="A653" s="43" t="s">
        <v>2609</v>
      </c>
      <c r="B653" s="44" t="s">
        <v>639</v>
      </c>
      <c r="C653" s="45" t="s">
        <v>2367</v>
      </c>
      <c r="D653" s="44" t="s">
        <v>2610</v>
      </c>
      <c r="E653" s="44" t="s">
        <v>296</v>
      </c>
      <c r="F653" s="44" t="s">
        <v>307</v>
      </c>
      <c r="G653" s="46" t="s">
        <v>2611</v>
      </c>
    </row>
    <row r="654" spans="1:7" x14ac:dyDescent="0.35">
      <c r="A654" s="39" t="s">
        <v>2612</v>
      </c>
      <c r="B654" s="40" t="s">
        <v>639</v>
      </c>
      <c r="C654" s="41" t="s">
        <v>2367</v>
      </c>
      <c r="D654" s="40" t="s">
        <v>2613</v>
      </c>
      <c r="E654" s="40" t="s">
        <v>296</v>
      </c>
      <c r="F654" s="40" t="s">
        <v>307</v>
      </c>
      <c r="G654" s="42" t="s">
        <v>2614</v>
      </c>
    </row>
    <row r="655" spans="1:7" x14ac:dyDescent="0.35">
      <c r="A655" s="43" t="s">
        <v>2615</v>
      </c>
      <c r="B655" s="44" t="s">
        <v>639</v>
      </c>
      <c r="C655" s="45" t="s">
        <v>2367</v>
      </c>
      <c r="D655" s="44" t="s">
        <v>342</v>
      </c>
      <c r="E655" s="44" t="s">
        <v>296</v>
      </c>
      <c r="F655" s="44" t="s">
        <v>307</v>
      </c>
      <c r="G655" s="46" t="s">
        <v>2616</v>
      </c>
    </row>
    <row r="656" spans="1:7" x14ac:dyDescent="0.35">
      <c r="A656" s="39" t="s">
        <v>2617</v>
      </c>
      <c r="B656" s="40" t="s">
        <v>639</v>
      </c>
      <c r="C656" s="41" t="s">
        <v>2367</v>
      </c>
      <c r="D656" s="40" t="s">
        <v>2618</v>
      </c>
      <c r="E656" s="40" t="s">
        <v>296</v>
      </c>
      <c r="F656" s="40" t="s">
        <v>307</v>
      </c>
      <c r="G656" s="42" t="s">
        <v>2619</v>
      </c>
    </row>
    <row r="657" spans="1:7" x14ac:dyDescent="0.35">
      <c r="A657" s="43" t="s">
        <v>2620</v>
      </c>
      <c r="B657" s="44" t="s">
        <v>639</v>
      </c>
      <c r="C657" s="45" t="s">
        <v>2367</v>
      </c>
      <c r="D657" s="44" t="s">
        <v>2621</v>
      </c>
      <c r="E657" s="44" t="s">
        <v>296</v>
      </c>
      <c r="F657" s="44" t="s">
        <v>307</v>
      </c>
      <c r="G657" s="46" t="s">
        <v>2622</v>
      </c>
    </row>
    <row r="658" spans="1:7" x14ac:dyDescent="0.35">
      <c r="A658" s="39" t="s">
        <v>2623</v>
      </c>
      <c r="B658" s="40" t="s">
        <v>639</v>
      </c>
      <c r="C658" s="41" t="s">
        <v>2367</v>
      </c>
      <c r="D658" s="40" t="s">
        <v>2624</v>
      </c>
      <c r="E658" s="40" t="s">
        <v>296</v>
      </c>
      <c r="F658" s="40" t="s">
        <v>307</v>
      </c>
      <c r="G658" s="42" t="s">
        <v>2625</v>
      </c>
    </row>
    <row r="659" spans="1:7" x14ac:dyDescent="0.35">
      <c r="A659" s="43" t="s">
        <v>2626</v>
      </c>
      <c r="B659" s="44" t="s">
        <v>639</v>
      </c>
      <c r="C659" s="45" t="s">
        <v>2367</v>
      </c>
      <c r="D659" s="44" t="s">
        <v>2627</v>
      </c>
      <c r="E659" s="44" t="s">
        <v>296</v>
      </c>
      <c r="F659" s="44" t="s">
        <v>307</v>
      </c>
      <c r="G659" s="46" t="s">
        <v>2628</v>
      </c>
    </row>
    <row r="660" spans="1:7" x14ac:dyDescent="0.35">
      <c r="A660" s="39" t="s">
        <v>2629</v>
      </c>
      <c r="B660" s="40" t="s">
        <v>639</v>
      </c>
      <c r="C660" s="41" t="s">
        <v>2367</v>
      </c>
      <c r="D660" s="40" t="s">
        <v>2630</v>
      </c>
      <c r="E660" s="40" t="s">
        <v>296</v>
      </c>
      <c r="F660" s="40" t="s">
        <v>307</v>
      </c>
      <c r="G660" s="42" t="s">
        <v>2631</v>
      </c>
    </row>
    <row r="661" spans="1:7" x14ac:dyDescent="0.35">
      <c r="A661" s="43" t="s">
        <v>2632</v>
      </c>
      <c r="B661" s="44" t="s">
        <v>639</v>
      </c>
      <c r="C661" s="45" t="s">
        <v>2367</v>
      </c>
      <c r="D661" s="44" t="s">
        <v>2633</v>
      </c>
      <c r="E661" s="44" t="s">
        <v>296</v>
      </c>
      <c r="F661" s="44" t="s">
        <v>307</v>
      </c>
      <c r="G661" s="46" t="s">
        <v>2634</v>
      </c>
    </row>
    <row r="662" spans="1:7" x14ac:dyDescent="0.35">
      <c r="A662" s="39" t="s">
        <v>2635</v>
      </c>
      <c r="B662" s="40" t="s">
        <v>639</v>
      </c>
      <c r="C662" s="41" t="s">
        <v>2367</v>
      </c>
      <c r="D662" s="40" t="s">
        <v>2636</v>
      </c>
      <c r="E662" s="40" t="s">
        <v>296</v>
      </c>
      <c r="F662" s="40" t="s">
        <v>307</v>
      </c>
      <c r="G662" s="42" t="s">
        <v>2637</v>
      </c>
    </row>
    <row r="663" spans="1:7" x14ac:dyDescent="0.35">
      <c r="A663" s="43" t="s">
        <v>2638</v>
      </c>
      <c r="B663" s="44" t="s">
        <v>639</v>
      </c>
      <c r="C663" s="45" t="s">
        <v>2367</v>
      </c>
      <c r="D663" s="44" t="s">
        <v>2639</v>
      </c>
      <c r="E663" s="44" t="s">
        <v>296</v>
      </c>
      <c r="F663" s="44" t="s">
        <v>307</v>
      </c>
      <c r="G663" s="46" t="s">
        <v>2640</v>
      </c>
    </row>
    <row r="664" spans="1:7" x14ac:dyDescent="0.35">
      <c r="A664" s="39" t="s">
        <v>2641</v>
      </c>
      <c r="B664" s="40" t="s">
        <v>2104</v>
      </c>
      <c r="C664" s="41" t="s">
        <v>2642</v>
      </c>
      <c r="D664" s="40" t="s">
        <v>2643</v>
      </c>
      <c r="E664" s="40" t="s">
        <v>696</v>
      </c>
      <c r="F664" s="40" t="s">
        <v>220</v>
      </c>
      <c r="G664" s="42" t="s">
        <v>2644</v>
      </c>
    </row>
    <row r="665" spans="1:7" x14ac:dyDescent="0.35">
      <c r="A665" s="43" t="s">
        <v>2645</v>
      </c>
      <c r="B665" s="44" t="s">
        <v>1741</v>
      </c>
      <c r="C665" s="45" t="s">
        <v>2646</v>
      </c>
      <c r="D665" s="44" t="s">
        <v>2647</v>
      </c>
      <c r="E665" s="44" t="s">
        <v>307</v>
      </c>
      <c r="F665" s="44" t="s">
        <v>463</v>
      </c>
      <c r="G665" s="46" t="s">
        <v>2648</v>
      </c>
    </row>
    <row r="666" spans="1:7" x14ac:dyDescent="0.35">
      <c r="A666" s="39" t="s">
        <v>2649</v>
      </c>
      <c r="B666" s="40" t="s">
        <v>1741</v>
      </c>
      <c r="C666" s="41" t="s">
        <v>2646</v>
      </c>
      <c r="D666" s="40" t="s">
        <v>2650</v>
      </c>
      <c r="E666" s="40" t="s">
        <v>307</v>
      </c>
      <c r="F666" s="40" t="s">
        <v>463</v>
      </c>
      <c r="G666" s="42" t="s">
        <v>2651</v>
      </c>
    </row>
    <row r="667" spans="1:7" x14ac:dyDescent="0.35">
      <c r="A667" s="43" t="s">
        <v>2652</v>
      </c>
      <c r="B667" s="44" t="s">
        <v>1741</v>
      </c>
      <c r="C667" s="45" t="s">
        <v>2646</v>
      </c>
      <c r="D667" s="44" t="s">
        <v>2653</v>
      </c>
      <c r="E667" s="44" t="s">
        <v>307</v>
      </c>
      <c r="F667" s="44" t="s">
        <v>463</v>
      </c>
      <c r="G667" s="46" t="s">
        <v>2654</v>
      </c>
    </row>
    <row r="668" spans="1:7" x14ac:dyDescent="0.35">
      <c r="A668" s="39" t="s">
        <v>2655</v>
      </c>
      <c r="B668" s="40" t="s">
        <v>1741</v>
      </c>
      <c r="C668" s="41" t="s">
        <v>2646</v>
      </c>
      <c r="D668" s="40" t="s">
        <v>2656</v>
      </c>
      <c r="E668" s="40" t="s">
        <v>307</v>
      </c>
      <c r="F668" s="40" t="s">
        <v>463</v>
      </c>
      <c r="G668" s="42" t="s">
        <v>2657</v>
      </c>
    </row>
    <row r="669" spans="1:7" x14ac:dyDescent="0.35">
      <c r="A669" s="43" t="s">
        <v>2658</v>
      </c>
      <c r="B669" s="44" t="s">
        <v>1741</v>
      </c>
      <c r="C669" s="45" t="s">
        <v>2646</v>
      </c>
      <c r="D669" s="44" t="s">
        <v>2659</v>
      </c>
      <c r="E669" s="44" t="s">
        <v>307</v>
      </c>
      <c r="F669" s="44" t="s">
        <v>463</v>
      </c>
      <c r="G669" s="46" t="s">
        <v>2660</v>
      </c>
    </row>
    <row r="670" spans="1:7" x14ac:dyDescent="0.35">
      <c r="A670" s="39" t="s">
        <v>2661</v>
      </c>
      <c r="B670" s="40" t="s">
        <v>1741</v>
      </c>
      <c r="C670" s="41" t="s">
        <v>2646</v>
      </c>
      <c r="D670" s="40" t="s">
        <v>2662</v>
      </c>
      <c r="E670" s="40" t="s">
        <v>307</v>
      </c>
      <c r="F670" s="40" t="s">
        <v>463</v>
      </c>
      <c r="G670" s="42" t="s">
        <v>2663</v>
      </c>
    </row>
    <row r="671" spans="1:7" x14ac:dyDescent="0.35">
      <c r="A671" s="43" t="s">
        <v>2664</v>
      </c>
      <c r="B671" s="44" t="s">
        <v>1741</v>
      </c>
      <c r="C671" s="45" t="s">
        <v>2646</v>
      </c>
      <c r="D671" s="44" t="s">
        <v>580</v>
      </c>
      <c r="E671" s="44" t="s">
        <v>307</v>
      </c>
      <c r="F671" s="44" t="s">
        <v>463</v>
      </c>
      <c r="G671" s="46" t="s">
        <v>2665</v>
      </c>
    </row>
    <row r="672" spans="1:7" x14ac:dyDescent="0.35">
      <c r="A672" s="39" t="s">
        <v>2666</v>
      </c>
      <c r="B672" s="40" t="s">
        <v>1741</v>
      </c>
      <c r="C672" s="41" t="s">
        <v>2646</v>
      </c>
      <c r="D672" s="40" t="s">
        <v>2667</v>
      </c>
      <c r="E672" s="40" t="s">
        <v>307</v>
      </c>
      <c r="F672" s="40" t="s">
        <v>463</v>
      </c>
      <c r="G672" s="42" t="s">
        <v>2668</v>
      </c>
    </row>
    <row r="673" spans="1:7" x14ac:dyDescent="0.35">
      <c r="A673" s="43" t="s">
        <v>2669</v>
      </c>
      <c r="B673" s="44" t="s">
        <v>1741</v>
      </c>
      <c r="C673" s="45" t="s">
        <v>2646</v>
      </c>
      <c r="D673" s="44" t="s">
        <v>2670</v>
      </c>
      <c r="E673" s="44" t="s">
        <v>307</v>
      </c>
      <c r="F673" s="44" t="s">
        <v>463</v>
      </c>
      <c r="G673" s="46" t="s">
        <v>2671</v>
      </c>
    </row>
    <row r="674" spans="1:7" x14ac:dyDescent="0.35">
      <c r="A674" s="39" t="s">
        <v>2672</v>
      </c>
      <c r="B674" s="40" t="s">
        <v>1060</v>
      </c>
      <c r="C674" s="41" t="s">
        <v>2673</v>
      </c>
      <c r="D674" s="40" t="s">
        <v>2674</v>
      </c>
      <c r="E674" s="40" t="s">
        <v>433</v>
      </c>
      <c r="F674" s="40" t="s">
        <v>296</v>
      </c>
      <c r="G674" s="42" t="s">
        <v>2675</v>
      </c>
    </row>
    <row r="675" spans="1:7" x14ac:dyDescent="0.35">
      <c r="A675" s="43" t="s">
        <v>2676</v>
      </c>
      <c r="B675" s="44" t="s">
        <v>1060</v>
      </c>
      <c r="C675" s="45" t="s">
        <v>2673</v>
      </c>
      <c r="D675" s="44" t="s">
        <v>2677</v>
      </c>
      <c r="E675" s="44" t="s">
        <v>433</v>
      </c>
      <c r="F675" s="44" t="s">
        <v>296</v>
      </c>
      <c r="G675" s="46" t="s">
        <v>2678</v>
      </c>
    </row>
    <row r="676" spans="1:7" x14ac:dyDescent="0.35">
      <c r="A676" s="39" t="s">
        <v>2679</v>
      </c>
      <c r="B676" s="40" t="s">
        <v>1060</v>
      </c>
      <c r="C676" s="41" t="s">
        <v>2673</v>
      </c>
      <c r="D676" s="40" t="s">
        <v>2680</v>
      </c>
      <c r="E676" s="40" t="s">
        <v>433</v>
      </c>
      <c r="F676" s="40" t="s">
        <v>296</v>
      </c>
      <c r="G676" s="42" t="s">
        <v>2681</v>
      </c>
    </row>
    <row r="677" spans="1:7" x14ac:dyDescent="0.35">
      <c r="A677" s="43" t="s">
        <v>2682</v>
      </c>
      <c r="B677" s="44" t="s">
        <v>1060</v>
      </c>
      <c r="C677" s="45" t="s">
        <v>2673</v>
      </c>
      <c r="D677" s="44" t="s">
        <v>2683</v>
      </c>
      <c r="E677" s="44" t="s">
        <v>433</v>
      </c>
      <c r="F677" s="44" t="s">
        <v>296</v>
      </c>
      <c r="G677" s="46" t="s">
        <v>2684</v>
      </c>
    </row>
    <row r="678" spans="1:7" x14ac:dyDescent="0.35">
      <c r="A678" s="39" t="s">
        <v>2685</v>
      </c>
      <c r="B678" s="40" t="s">
        <v>1060</v>
      </c>
      <c r="C678" s="41" t="s">
        <v>2673</v>
      </c>
      <c r="D678" s="40" t="s">
        <v>2686</v>
      </c>
      <c r="E678" s="40" t="s">
        <v>433</v>
      </c>
      <c r="F678" s="40" t="s">
        <v>296</v>
      </c>
      <c r="G678" s="42" t="s">
        <v>2687</v>
      </c>
    </row>
    <row r="679" spans="1:7" x14ac:dyDescent="0.35">
      <c r="A679" s="43" t="s">
        <v>2688</v>
      </c>
      <c r="B679" s="44" t="s">
        <v>1060</v>
      </c>
      <c r="C679" s="45" t="s">
        <v>2673</v>
      </c>
      <c r="D679" s="44" t="s">
        <v>2689</v>
      </c>
      <c r="E679" s="44" t="s">
        <v>433</v>
      </c>
      <c r="F679" s="44" t="s">
        <v>296</v>
      </c>
      <c r="G679" s="46" t="s">
        <v>2690</v>
      </c>
    </row>
    <row r="680" spans="1:7" x14ac:dyDescent="0.35">
      <c r="A680" s="39" t="s">
        <v>2691</v>
      </c>
      <c r="B680" s="40" t="s">
        <v>1060</v>
      </c>
      <c r="C680" s="41" t="s">
        <v>2673</v>
      </c>
      <c r="D680" s="40" t="s">
        <v>2692</v>
      </c>
      <c r="E680" s="40" t="s">
        <v>433</v>
      </c>
      <c r="F680" s="40" t="s">
        <v>296</v>
      </c>
      <c r="G680" s="42" t="s">
        <v>2693</v>
      </c>
    </row>
    <row r="681" spans="1:7" x14ac:dyDescent="0.35">
      <c r="A681" s="43" t="s">
        <v>2694</v>
      </c>
      <c r="B681" s="44" t="s">
        <v>1060</v>
      </c>
      <c r="C681" s="45" t="s">
        <v>2673</v>
      </c>
      <c r="D681" s="44" t="s">
        <v>2695</v>
      </c>
      <c r="E681" s="44" t="s">
        <v>433</v>
      </c>
      <c r="F681" s="44" t="s">
        <v>296</v>
      </c>
      <c r="G681" s="46" t="s">
        <v>2696</v>
      </c>
    </row>
    <row r="682" spans="1:7" x14ac:dyDescent="0.35">
      <c r="A682" s="39" t="s">
        <v>2697</v>
      </c>
      <c r="B682" s="40" t="s">
        <v>1060</v>
      </c>
      <c r="C682" s="41" t="s">
        <v>2673</v>
      </c>
      <c r="D682" s="40" t="s">
        <v>2698</v>
      </c>
      <c r="E682" s="40" t="s">
        <v>433</v>
      </c>
      <c r="F682" s="40" t="s">
        <v>296</v>
      </c>
      <c r="G682" s="42" t="s">
        <v>2699</v>
      </c>
    </row>
    <row r="683" spans="1:7" x14ac:dyDescent="0.35">
      <c r="A683" s="43" t="s">
        <v>2700</v>
      </c>
      <c r="B683" s="44" t="s">
        <v>1060</v>
      </c>
      <c r="C683" s="45" t="s">
        <v>2673</v>
      </c>
      <c r="D683" s="44" t="s">
        <v>2701</v>
      </c>
      <c r="E683" s="44" t="s">
        <v>433</v>
      </c>
      <c r="F683" s="44" t="s">
        <v>296</v>
      </c>
      <c r="G683" s="46" t="s">
        <v>2702</v>
      </c>
    </row>
    <row r="684" spans="1:7" x14ac:dyDescent="0.35">
      <c r="A684" s="39" t="s">
        <v>2703</v>
      </c>
      <c r="B684" s="40" t="s">
        <v>1060</v>
      </c>
      <c r="C684" s="41" t="s">
        <v>2673</v>
      </c>
      <c r="D684" s="40" t="s">
        <v>2704</v>
      </c>
      <c r="E684" s="40" t="s">
        <v>433</v>
      </c>
      <c r="F684" s="40" t="s">
        <v>296</v>
      </c>
      <c r="G684" s="42" t="s">
        <v>2705</v>
      </c>
    </row>
    <row r="685" spans="1:7" x14ac:dyDescent="0.35">
      <c r="A685" s="43" t="s">
        <v>2706</v>
      </c>
      <c r="B685" s="44" t="s">
        <v>1060</v>
      </c>
      <c r="C685" s="45" t="s">
        <v>2673</v>
      </c>
      <c r="D685" s="44" t="s">
        <v>2707</v>
      </c>
      <c r="E685" s="44" t="s">
        <v>433</v>
      </c>
      <c r="F685" s="44" t="s">
        <v>296</v>
      </c>
      <c r="G685" s="46" t="s">
        <v>2708</v>
      </c>
    </row>
    <row r="686" spans="1:7" x14ac:dyDescent="0.35">
      <c r="A686" s="39" t="s">
        <v>2709</v>
      </c>
      <c r="B686" s="40" t="s">
        <v>1060</v>
      </c>
      <c r="C686" s="41" t="s">
        <v>2673</v>
      </c>
      <c r="D686" s="40" t="s">
        <v>2710</v>
      </c>
      <c r="E686" s="40" t="s">
        <v>433</v>
      </c>
      <c r="F686" s="40" t="s">
        <v>296</v>
      </c>
      <c r="G686" s="42" t="s">
        <v>2711</v>
      </c>
    </row>
    <row r="687" spans="1:7" x14ac:dyDescent="0.35">
      <c r="A687" s="43" t="s">
        <v>2712</v>
      </c>
      <c r="B687" s="44" t="s">
        <v>1060</v>
      </c>
      <c r="C687" s="45" t="s">
        <v>2673</v>
      </c>
      <c r="D687" s="44" t="s">
        <v>2713</v>
      </c>
      <c r="E687" s="44" t="s">
        <v>433</v>
      </c>
      <c r="F687" s="44" t="s">
        <v>296</v>
      </c>
      <c r="G687" s="46" t="s">
        <v>2714</v>
      </c>
    </row>
    <row r="688" spans="1:7" x14ac:dyDescent="0.35">
      <c r="A688" s="39" t="s">
        <v>2715</v>
      </c>
      <c r="B688" s="40" t="s">
        <v>1060</v>
      </c>
      <c r="C688" s="41" t="s">
        <v>2673</v>
      </c>
      <c r="D688" s="40" t="s">
        <v>2716</v>
      </c>
      <c r="E688" s="40" t="s">
        <v>433</v>
      </c>
      <c r="F688" s="40" t="s">
        <v>296</v>
      </c>
      <c r="G688" s="42" t="s">
        <v>2717</v>
      </c>
    </row>
    <row r="689" spans="1:7" x14ac:dyDescent="0.35">
      <c r="A689" s="43" t="s">
        <v>2718</v>
      </c>
      <c r="B689" s="44" t="s">
        <v>1060</v>
      </c>
      <c r="C689" s="45" t="s">
        <v>2673</v>
      </c>
      <c r="D689" s="44" t="s">
        <v>2719</v>
      </c>
      <c r="E689" s="44" t="s">
        <v>433</v>
      </c>
      <c r="F689" s="44" t="s">
        <v>296</v>
      </c>
      <c r="G689" s="46" t="s">
        <v>2720</v>
      </c>
    </row>
    <row r="690" spans="1:7" x14ac:dyDescent="0.35">
      <c r="A690" s="39" t="s">
        <v>2721</v>
      </c>
      <c r="B690" s="40" t="s">
        <v>1060</v>
      </c>
      <c r="C690" s="41" t="s">
        <v>2673</v>
      </c>
      <c r="D690" s="40" t="s">
        <v>2722</v>
      </c>
      <c r="E690" s="40" t="s">
        <v>433</v>
      </c>
      <c r="F690" s="40" t="s">
        <v>296</v>
      </c>
      <c r="G690" s="42" t="s">
        <v>2723</v>
      </c>
    </row>
    <row r="691" spans="1:7" x14ac:dyDescent="0.35">
      <c r="A691" s="43" t="s">
        <v>2724</v>
      </c>
      <c r="B691" s="44" t="s">
        <v>1060</v>
      </c>
      <c r="C691" s="45" t="s">
        <v>2673</v>
      </c>
      <c r="D691" s="44" t="s">
        <v>1529</v>
      </c>
      <c r="E691" s="44" t="s">
        <v>433</v>
      </c>
      <c r="F691" s="44" t="s">
        <v>296</v>
      </c>
      <c r="G691" s="46" t="s">
        <v>2725</v>
      </c>
    </row>
    <row r="692" spans="1:7" x14ac:dyDescent="0.35">
      <c r="A692" s="39" t="s">
        <v>2726</v>
      </c>
      <c r="B692" s="40" t="s">
        <v>1060</v>
      </c>
      <c r="C692" s="41" t="s">
        <v>2673</v>
      </c>
      <c r="D692" s="40" t="s">
        <v>2727</v>
      </c>
      <c r="E692" s="40" t="s">
        <v>433</v>
      </c>
      <c r="F692" s="40" t="s">
        <v>296</v>
      </c>
      <c r="G692" s="42" t="s">
        <v>2728</v>
      </c>
    </row>
    <row r="693" spans="1:7" x14ac:dyDescent="0.35">
      <c r="A693" s="43" t="s">
        <v>2729</v>
      </c>
      <c r="B693" s="44" t="s">
        <v>1060</v>
      </c>
      <c r="C693" s="45" t="s">
        <v>2673</v>
      </c>
      <c r="D693" s="44" t="s">
        <v>2730</v>
      </c>
      <c r="E693" s="44" t="s">
        <v>433</v>
      </c>
      <c r="F693" s="44" t="s">
        <v>296</v>
      </c>
      <c r="G693" s="46" t="s">
        <v>2731</v>
      </c>
    </row>
    <row r="694" spans="1:7" x14ac:dyDescent="0.35">
      <c r="A694" s="39" t="s">
        <v>2732</v>
      </c>
      <c r="B694" s="40" t="s">
        <v>1060</v>
      </c>
      <c r="C694" s="41" t="s">
        <v>2673</v>
      </c>
      <c r="D694" s="40" t="s">
        <v>2733</v>
      </c>
      <c r="E694" s="40" t="s">
        <v>433</v>
      </c>
      <c r="F694" s="40" t="s">
        <v>296</v>
      </c>
      <c r="G694" s="42" t="s">
        <v>2734</v>
      </c>
    </row>
    <row r="695" spans="1:7" x14ac:dyDescent="0.35">
      <c r="A695" s="43" t="s">
        <v>2735</v>
      </c>
      <c r="B695" s="44" t="s">
        <v>1060</v>
      </c>
      <c r="C695" s="45" t="s">
        <v>2673</v>
      </c>
      <c r="D695" s="44" t="s">
        <v>2736</v>
      </c>
      <c r="E695" s="44" t="s">
        <v>433</v>
      </c>
      <c r="F695" s="44" t="s">
        <v>296</v>
      </c>
      <c r="G695" s="46" t="s">
        <v>2737</v>
      </c>
    </row>
    <row r="696" spans="1:7" x14ac:dyDescent="0.35">
      <c r="A696" s="39" t="s">
        <v>2738</v>
      </c>
      <c r="B696" s="40" t="s">
        <v>1060</v>
      </c>
      <c r="C696" s="41" t="s">
        <v>2673</v>
      </c>
      <c r="D696" s="40" t="s">
        <v>215</v>
      </c>
      <c r="E696" s="40" t="s">
        <v>433</v>
      </c>
      <c r="F696" s="40" t="s">
        <v>296</v>
      </c>
      <c r="G696" s="42" t="s">
        <v>2739</v>
      </c>
    </row>
    <row r="697" spans="1:7" x14ac:dyDescent="0.35">
      <c r="A697" s="43" t="s">
        <v>2740</v>
      </c>
      <c r="B697" s="44" t="s">
        <v>1060</v>
      </c>
      <c r="C697" s="45" t="s">
        <v>2673</v>
      </c>
      <c r="D697" s="44" t="s">
        <v>2741</v>
      </c>
      <c r="E697" s="44" t="s">
        <v>433</v>
      </c>
      <c r="F697" s="44" t="s">
        <v>296</v>
      </c>
      <c r="G697" s="46" t="s">
        <v>2742</v>
      </c>
    </row>
    <row r="698" spans="1:7" x14ac:dyDescent="0.35">
      <c r="A698" s="39" t="s">
        <v>2743</v>
      </c>
      <c r="B698" s="40" t="s">
        <v>1060</v>
      </c>
      <c r="C698" s="41" t="s">
        <v>2673</v>
      </c>
      <c r="D698" s="40" t="s">
        <v>2744</v>
      </c>
      <c r="E698" s="40" t="s">
        <v>433</v>
      </c>
      <c r="F698" s="40" t="s">
        <v>296</v>
      </c>
      <c r="G698" s="42" t="s">
        <v>2745</v>
      </c>
    </row>
    <row r="699" spans="1:7" x14ac:dyDescent="0.35">
      <c r="A699" s="43" t="s">
        <v>2746</v>
      </c>
      <c r="B699" s="44" t="s">
        <v>1060</v>
      </c>
      <c r="C699" s="45" t="s">
        <v>2673</v>
      </c>
      <c r="D699" s="44" t="s">
        <v>2747</v>
      </c>
      <c r="E699" s="44" t="s">
        <v>433</v>
      </c>
      <c r="F699" s="44" t="s">
        <v>296</v>
      </c>
      <c r="G699" s="46" t="s">
        <v>2748</v>
      </c>
    </row>
    <row r="700" spans="1:7" x14ac:dyDescent="0.35">
      <c r="A700" s="39" t="s">
        <v>2749</v>
      </c>
      <c r="B700" s="40" t="s">
        <v>1060</v>
      </c>
      <c r="C700" s="41" t="s">
        <v>2673</v>
      </c>
      <c r="D700" s="40" t="s">
        <v>2750</v>
      </c>
      <c r="E700" s="40" t="s">
        <v>433</v>
      </c>
      <c r="F700" s="40" t="s">
        <v>296</v>
      </c>
      <c r="G700" s="42" t="s">
        <v>2751</v>
      </c>
    </row>
    <row r="701" spans="1:7" x14ac:dyDescent="0.35">
      <c r="A701" s="43" t="s">
        <v>2752</v>
      </c>
      <c r="B701" s="44" t="s">
        <v>1060</v>
      </c>
      <c r="C701" s="45" t="s">
        <v>2673</v>
      </c>
      <c r="D701" s="44" t="s">
        <v>2753</v>
      </c>
      <c r="E701" s="44" t="s">
        <v>433</v>
      </c>
      <c r="F701" s="44" t="s">
        <v>296</v>
      </c>
      <c r="G701" s="46" t="s">
        <v>2754</v>
      </c>
    </row>
    <row r="702" spans="1:7" x14ac:dyDescent="0.35">
      <c r="A702" s="39" t="s">
        <v>2755</v>
      </c>
      <c r="B702" s="40" t="s">
        <v>1060</v>
      </c>
      <c r="C702" s="41" t="s">
        <v>2673</v>
      </c>
      <c r="D702" s="40" t="s">
        <v>2756</v>
      </c>
      <c r="E702" s="40" t="s">
        <v>433</v>
      </c>
      <c r="F702" s="40" t="s">
        <v>296</v>
      </c>
      <c r="G702" s="42" t="s">
        <v>2757</v>
      </c>
    </row>
    <row r="703" spans="1:7" x14ac:dyDescent="0.35">
      <c r="A703" s="43" t="s">
        <v>2758</v>
      </c>
      <c r="B703" s="44" t="s">
        <v>1060</v>
      </c>
      <c r="C703" s="45" t="s">
        <v>2673</v>
      </c>
      <c r="D703" s="44" t="s">
        <v>2759</v>
      </c>
      <c r="E703" s="44" t="s">
        <v>433</v>
      </c>
      <c r="F703" s="44" t="s">
        <v>296</v>
      </c>
      <c r="G703" s="46" t="s">
        <v>2760</v>
      </c>
    </row>
    <row r="704" spans="1:7" x14ac:dyDescent="0.35">
      <c r="A704" s="39" t="s">
        <v>2761</v>
      </c>
      <c r="B704" s="40" t="s">
        <v>1060</v>
      </c>
      <c r="C704" s="41" t="s">
        <v>2673</v>
      </c>
      <c r="D704" s="40" t="s">
        <v>2762</v>
      </c>
      <c r="E704" s="40" t="s">
        <v>433</v>
      </c>
      <c r="F704" s="40" t="s">
        <v>296</v>
      </c>
      <c r="G704" s="42" t="s">
        <v>2763</v>
      </c>
    </row>
    <row r="705" spans="1:7" x14ac:dyDescent="0.35">
      <c r="A705" s="43" t="s">
        <v>2764</v>
      </c>
      <c r="B705" s="44" t="s">
        <v>1060</v>
      </c>
      <c r="C705" s="45" t="s">
        <v>2673</v>
      </c>
      <c r="D705" s="44" t="s">
        <v>2765</v>
      </c>
      <c r="E705" s="44" t="s">
        <v>433</v>
      </c>
      <c r="F705" s="44" t="s">
        <v>296</v>
      </c>
      <c r="G705" s="46" t="s">
        <v>2766</v>
      </c>
    </row>
    <row r="706" spans="1:7" x14ac:dyDescent="0.35">
      <c r="A706" s="39" t="s">
        <v>2767</v>
      </c>
      <c r="B706" s="40" t="s">
        <v>1060</v>
      </c>
      <c r="C706" s="41" t="s">
        <v>2673</v>
      </c>
      <c r="D706" s="40" t="s">
        <v>2768</v>
      </c>
      <c r="E706" s="40" t="s">
        <v>433</v>
      </c>
      <c r="F706" s="40" t="s">
        <v>296</v>
      </c>
      <c r="G706" s="42" t="s">
        <v>2769</v>
      </c>
    </row>
    <row r="707" spans="1:7" x14ac:dyDescent="0.35">
      <c r="A707" s="43" t="s">
        <v>2770</v>
      </c>
      <c r="B707" s="44" t="s">
        <v>1060</v>
      </c>
      <c r="C707" s="45" t="s">
        <v>2673</v>
      </c>
      <c r="D707" s="44" t="s">
        <v>2771</v>
      </c>
      <c r="E707" s="44" t="s">
        <v>433</v>
      </c>
      <c r="F707" s="44" t="s">
        <v>296</v>
      </c>
      <c r="G707" s="46" t="s">
        <v>2772</v>
      </c>
    </row>
    <row r="708" spans="1:7" x14ac:dyDescent="0.35">
      <c r="A708" s="39" t="s">
        <v>2773</v>
      </c>
      <c r="B708" s="40" t="s">
        <v>1060</v>
      </c>
      <c r="C708" s="41" t="s">
        <v>2673</v>
      </c>
      <c r="D708" s="40" t="s">
        <v>2774</v>
      </c>
      <c r="E708" s="40" t="s">
        <v>433</v>
      </c>
      <c r="F708" s="40" t="s">
        <v>296</v>
      </c>
      <c r="G708" s="42" t="s">
        <v>2775</v>
      </c>
    </row>
    <row r="709" spans="1:7" x14ac:dyDescent="0.35">
      <c r="A709" s="43" t="s">
        <v>2776</v>
      </c>
      <c r="B709" s="44" t="s">
        <v>1060</v>
      </c>
      <c r="C709" s="45" t="s">
        <v>2673</v>
      </c>
      <c r="D709" s="44" t="s">
        <v>2777</v>
      </c>
      <c r="E709" s="44" t="s">
        <v>433</v>
      </c>
      <c r="F709" s="44" t="s">
        <v>296</v>
      </c>
      <c r="G709" s="46" t="s">
        <v>2778</v>
      </c>
    </row>
    <row r="710" spans="1:7" x14ac:dyDescent="0.35">
      <c r="A710" s="39" t="s">
        <v>2779</v>
      </c>
      <c r="B710" s="40" t="s">
        <v>1060</v>
      </c>
      <c r="C710" s="41" t="s">
        <v>2673</v>
      </c>
      <c r="D710" s="40" t="s">
        <v>2780</v>
      </c>
      <c r="E710" s="40" t="s">
        <v>433</v>
      </c>
      <c r="F710" s="40" t="s">
        <v>296</v>
      </c>
      <c r="G710" s="42" t="s">
        <v>2781</v>
      </c>
    </row>
    <row r="711" spans="1:7" x14ac:dyDescent="0.35">
      <c r="A711" s="43" t="s">
        <v>2782</v>
      </c>
      <c r="B711" s="44" t="s">
        <v>1060</v>
      </c>
      <c r="C711" s="45" t="s">
        <v>2673</v>
      </c>
      <c r="D711" s="44" t="s">
        <v>2783</v>
      </c>
      <c r="E711" s="44" t="s">
        <v>433</v>
      </c>
      <c r="F711" s="44" t="s">
        <v>296</v>
      </c>
      <c r="G711" s="46" t="s">
        <v>2784</v>
      </c>
    </row>
    <row r="712" spans="1:7" x14ac:dyDescent="0.35">
      <c r="A712" s="39" t="s">
        <v>2785</v>
      </c>
      <c r="B712" s="40" t="s">
        <v>1060</v>
      </c>
      <c r="C712" s="41" t="s">
        <v>2673</v>
      </c>
      <c r="D712" s="40" t="s">
        <v>2786</v>
      </c>
      <c r="E712" s="40" t="s">
        <v>433</v>
      </c>
      <c r="F712" s="40" t="s">
        <v>296</v>
      </c>
      <c r="G712" s="42" t="s">
        <v>2787</v>
      </c>
    </row>
    <row r="713" spans="1:7" x14ac:dyDescent="0.35">
      <c r="A713" s="43" t="s">
        <v>2788</v>
      </c>
      <c r="B713" s="44" t="s">
        <v>1060</v>
      </c>
      <c r="C713" s="45" t="s">
        <v>2673</v>
      </c>
      <c r="D713" s="44" t="s">
        <v>2789</v>
      </c>
      <c r="E713" s="44" t="s">
        <v>433</v>
      </c>
      <c r="F713" s="44" t="s">
        <v>296</v>
      </c>
      <c r="G713" s="46" t="s">
        <v>2790</v>
      </c>
    </row>
    <row r="714" spans="1:7" x14ac:dyDescent="0.35">
      <c r="A714" s="39" t="s">
        <v>2791</v>
      </c>
      <c r="B714" s="40" t="s">
        <v>1060</v>
      </c>
      <c r="C714" s="41" t="s">
        <v>2673</v>
      </c>
      <c r="D714" s="40" t="s">
        <v>2792</v>
      </c>
      <c r="E714" s="40" t="s">
        <v>433</v>
      </c>
      <c r="F714" s="40" t="s">
        <v>296</v>
      </c>
      <c r="G714" s="42" t="s">
        <v>2793</v>
      </c>
    </row>
    <row r="715" spans="1:7" x14ac:dyDescent="0.35">
      <c r="A715" s="43" t="s">
        <v>2794</v>
      </c>
      <c r="B715" s="44" t="s">
        <v>1060</v>
      </c>
      <c r="C715" s="45" t="s">
        <v>2673</v>
      </c>
      <c r="D715" s="44" t="s">
        <v>2795</v>
      </c>
      <c r="E715" s="44" t="s">
        <v>433</v>
      </c>
      <c r="F715" s="44" t="s">
        <v>296</v>
      </c>
      <c r="G715" s="46" t="s">
        <v>2796</v>
      </c>
    </row>
    <row r="716" spans="1:7" x14ac:dyDescent="0.35">
      <c r="A716" s="39" t="s">
        <v>2797</v>
      </c>
      <c r="B716" s="40" t="s">
        <v>1060</v>
      </c>
      <c r="C716" s="41" t="s">
        <v>2673</v>
      </c>
      <c r="D716" s="40" t="s">
        <v>2798</v>
      </c>
      <c r="E716" s="40" t="s">
        <v>433</v>
      </c>
      <c r="F716" s="40" t="s">
        <v>296</v>
      </c>
      <c r="G716" s="42" t="s">
        <v>2799</v>
      </c>
    </row>
    <row r="717" spans="1:7" x14ac:dyDescent="0.35">
      <c r="A717" s="43" t="s">
        <v>2800</v>
      </c>
      <c r="B717" s="44" t="s">
        <v>1060</v>
      </c>
      <c r="C717" s="45" t="s">
        <v>2673</v>
      </c>
      <c r="D717" s="44" t="s">
        <v>2801</v>
      </c>
      <c r="E717" s="44" t="s">
        <v>433</v>
      </c>
      <c r="F717" s="44" t="s">
        <v>296</v>
      </c>
      <c r="G717" s="46" t="s">
        <v>2802</v>
      </c>
    </row>
    <row r="718" spans="1:7" x14ac:dyDescent="0.35">
      <c r="A718" s="39" t="s">
        <v>2803</v>
      </c>
      <c r="B718" s="40" t="s">
        <v>1060</v>
      </c>
      <c r="C718" s="41" t="s">
        <v>2673</v>
      </c>
      <c r="D718" s="40" t="s">
        <v>2804</v>
      </c>
      <c r="E718" s="40" t="s">
        <v>433</v>
      </c>
      <c r="F718" s="40" t="s">
        <v>296</v>
      </c>
      <c r="G718" s="42" t="s">
        <v>2805</v>
      </c>
    </row>
    <row r="719" spans="1:7" x14ac:dyDescent="0.35">
      <c r="A719" s="43" t="s">
        <v>2806</v>
      </c>
      <c r="B719" s="44" t="s">
        <v>1060</v>
      </c>
      <c r="C719" s="45" t="s">
        <v>2673</v>
      </c>
      <c r="D719" s="44" t="s">
        <v>2807</v>
      </c>
      <c r="E719" s="44" t="s">
        <v>433</v>
      </c>
      <c r="F719" s="44" t="s">
        <v>296</v>
      </c>
      <c r="G719" s="46" t="s">
        <v>2808</v>
      </c>
    </row>
    <row r="720" spans="1:7" x14ac:dyDescent="0.35">
      <c r="A720" s="39" t="s">
        <v>2809</v>
      </c>
      <c r="B720" s="40" t="s">
        <v>1060</v>
      </c>
      <c r="C720" s="41" t="s">
        <v>2673</v>
      </c>
      <c r="D720" s="40" t="s">
        <v>2810</v>
      </c>
      <c r="E720" s="40" t="s">
        <v>433</v>
      </c>
      <c r="F720" s="40" t="s">
        <v>296</v>
      </c>
      <c r="G720" s="42" t="s">
        <v>2811</v>
      </c>
    </row>
    <row r="721" spans="1:7" x14ac:dyDescent="0.35">
      <c r="A721" s="43" t="s">
        <v>2812</v>
      </c>
      <c r="B721" s="44" t="s">
        <v>1060</v>
      </c>
      <c r="C721" s="45" t="s">
        <v>2673</v>
      </c>
      <c r="D721" s="44" t="s">
        <v>2813</v>
      </c>
      <c r="E721" s="44" t="s">
        <v>433</v>
      </c>
      <c r="F721" s="44" t="s">
        <v>296</v>
      </c>
      <c r="G721" s="46" t="s">
        <v>2814</v>
      </c>
    </row>
    <row r="722" spans="1:7" x14ac:dyDescent="0.35">
      <c r="A722" s="39" t="s">
        <v>2815</v>
      </c>
      <c r="B722" s="40" t="s">
        <v>1060</v>
      </c>
      <c r="C722" s="41" t="s">
        <v>2673</v>
      </c>
      <c r="D722" s="40" t="s">
        <v>2816</v>
      </c>
      <c r="E722" s="40" t="s">
        <v>433</v>
      </c>
      <c r="F722" s="40" t="s">
        <v>296</v>
      </c>
      <c r="G722" s="42" t="s">
        <v>2817</v>
      </c>
    </row>
    <row r="723" spans="1:7" x14ac:dyDescent="0.35">
      <c r="A723" s="43" t="s">
        <v>2818</v>
      </c>
      <c r="B723" s="44" t="s">
        <v>1060</v>
      </c>
      <c r="C723" s="45" t="s">
        <v>2673</v>
      </c>
      <c r="D723" s="44" t="s">
        <v>2819</v>
      </c>
      <c r="E723" s="44" t="s">
        <v>433</v>
      </c>
      <c r="F723" s="44" t="s">
        <v>296</v>
      </c>
      <c r="G723" s="46" t="s">
        <v>2820</v>
      </c>
    </row>
    <row r="724" spans="1:7" x14ac:dyDescent="0.35">
      <c r="A724" s="39" t="s">
        <v>2821</v>
      </c>
      <c r="B724" s="40" t="s">
        <v>1060</v>
      </c>
      <c r="C724" s="41" t="s">
        <v>2673</v>
      </c>
      <c r="D724" s="40" t="s">
        <v>2822</v>
      </c>
      <c r="E724" s="40" t="s">
        <v>433</v>
      </c>
      <c r="F724" s="40" t="s">
        <v>296</v>
      </c>
      <c r="G724" s="42" t="s">
        <v>2823</v>
      </c>
    </row>
    <row r="725" spans="1:7" x14ac:dyDescent="0.35">
      <c r="A725" s="43" t="s">
        <v>2824</v>
      </c>
      <c r="B725" s="44" t="s">
        <v>1060</v>
      </c>
      <c r="C725" s="45" t="s">
        <v>2673</v>
      </c>
      <c r="D725" s="44" t="s">
        <v>2825</v>
      </c>
      <c r="E725" s="44" t="s">
        <v>433</v>
      </c>
      <c r="F725" s="44" t="s">
        <v>296</v>
      </c>
      <c r="G725" s="46" t="s">
        <v>2826</v>
      </c>
    </row>
    <row r="726" spans="1:7" x14ac:dyDescent="0.35">
      <c r="A726" s="39" t="s">
        <v>2827</v>
      </c>
      <c r="B726" s="40" t="s">
        <v>1060</v>
      </c>
      <c r="C726" s="41" t="s">
        <v>2673</v>
      </c>
      <c r="D726" s="40" t="s">
        <v>2828</v>
      </c>
      <c r="E726" s="40" t="s">
        <v>433</v>
      </c>
      <c r="F726" s="40" t="s">
        <v>296</v>
      </c>
      <c r="G726" s="42" t="s">
        <v>183</v>
      </c>
    </row>
    <row r="727" spans="1:7" x14ac:dyDescent="0.35">
      <c r="A727" s="43" t="s">
        <v>2829</v>
      </c>
      <c r="B727" s="44" t="s">
        <v>1060</v>
      </c>
      <c r="C727" s="45" t="s">
        <v>2673</v>
      </c>
      <c r="D727" s="44" t="s">
        <v>2830</v>
      </c>
      <c r="E727" s="44" t="s">
        <v>433</v>
      </c>
      <c r="F727" s="44" t="s">
        <v>296</v>
      </c>
      <c r="G727" s="46" t="s">
        <v>2831</v>
      </c>
    </row>
    <row r="728" spans="1:7" x14ac:dyDescent="0.35">
      <c r="A728" s="39" t="s">
        <v>2832</v>
      </c>
      <c r="B728" s="40" t="s">
        <v>1060</v>
      </c>
      <c r="C728" s="41" t="s">
        <v>2673</v>
      </c>
      <c r="D728" s="40" t="s">
        <v>2833</v>
      </c>
      <c r="E728" s="40" t="s">
        <v>433</v>
      </c>
      <c r="F728" s="40" t="s">
        <v>296</v>
      </c>
      <c r="G728" s="42" t="s">
        <v>2834</v>
      </c>
    </row>
    <row r="729" spans="1:7" x14ac:dyDescent="0.35">
      <c r="A729" s="43" t="s">
        <v>2835</v>
      </c>
      <c r="B729" s="44" t="s">
        <v>1060</v>
      </c>
      <c r="C729" s="45" t="s">
        <v>2673</v>
      </c>
      <c r="D729" s="44" t="s">
        <v>2836</v>
      </c>
      <c r="E729" s="44" t="s">
        <v>433</v>
      </c>
      <c r="F729" s="44" t="s">
        <v>296</v>
      </c>
      <c r="G729" s="46" t="s">
        <v>2837</v>
      </c>
    </row>
    <row r="730" spans="1:7" x14ac:dyDescent="0.35">
      <c r="A730" s="39" t="s">
        <v>2838</v>
      </c>
      <c r="B730" s="40" t="s">
        <v>1060</v>
      </c>
      <c r="C730" s="41" t="s">
        <v>2673</v>
      </c>
      <c r="D730" s="40" t="s">
        <v>2839</v>
      </c>
      <c r="E730" s="40" t="s">
        <v>433</v>
      </c>
      <c r="F730" s="40" t="s">
        <v>296</v>
      </c>
      <c r="G730" s="42" t="s">
        <v>2840</v>
      </c>
    </row>
    <row r="731" spans="1:7" x14ac:dyDescent="0.35">
      <c r="A731" s="43" t="s">
        <v>2841</v>
      </c>
      <c r="B731" s="44" t="s">
        <v>1060</v>
      </c>
      <c r="C731" s="45" t="s">
        <v>2673</v>
      </c>
      <c r="D731" s="44" t="s">
        <v>2842</v>
      </c>
      <c r="E731" s="44" t="s">
        <v>433</v>
      </c>
      <c r="F731" s="44" t="s">
        <v>296</v>
      </c>
      <c r="G731" s="46" t="s">
        <v>2843</v>
      </c>
    </row>
    <row r="732" spans="1:7" x14ac:dyDescent="0.35">
      <c r="A732" s="39" t="s">
        <v>2844</v>
      </c>
      <c r="B732" s="40" t="s">
        <v>1060</v>
      </c>
      <c r="C732" s="41" t="s">
        <v>2673</v>
      </c>
      <c r="D732" s="40" t="s">
        <v>2845</v>
      </c>
      <c r="E732" s="40" t="s">
        <v>433</v>
      </c>
      <c r="F732" s="40" t="s">
        <v>296</v>
      </c>
      <c r="G732" s="42" t="s">
        <v>2846</v>
      </c>
    </row>
    <row r="733" spans="1:7" x14ac:dyDescent="0.35">
      <c r="A733" s="43" t="s">
        <v>2847</v>
      </c>
      <c r="B733" s="44" t="s">
        <v>1060</v>
      </c>
      <c r="C733" s="45" t="s">
        <v>2673</v>
      </c>
      <c r="D733" s="44" t="s">
        <v>2848</v>
      </c>
      <c r="E733" s="44" t="s">
        <v>433</v>
      </c>
      <c r="F733" s="44" t="s">
        <v>296</v>
      </c>
      <c r="G733" s="46" t="s">
        <v>2849</v>
      </c>
    </row>
    <row r="734" spans="1:7" x14ac:dyDescent="0.35">
      <c r="A734" s="39" t="s">
        <v>2850</v>
      </c>
      <c r="B734" s="40" t="s">
        <v>1060</v>
      </c>
      <c r="C734" s="41" t="s">
        <v>2673</v>
      </c>
      <c r="D734" s="40" t="s">
        <v>2851</v>
      </c>
      <c r="E734" s="40" t="s">
        <v>433</v>
      </c>
      <c r="F734" s="40" t="s">
        <v>296</v>
      </c>
      <c r="G734" s="42" t="s">
        <v>2852</v>
      </c>
    </row>
    <row r="735" spans="1:7" x14ac:dyDescent="0.35">
      <c r="A735" s="43" t="s">
        <v>2853</v>
      </c>
      <c r="B735" s="44" t="s">
        <v>1060</v>
      </c>
      <c r="C735" s="45" t="s">
        <v>2673</v>
      </c>
      <c r="D735" s="44" t="s">
        <v>2854</v>
      </c>
      <c r="E735" s="44" t="s">
        <v>433</v>
      </c>
      <c r="F735" s="44" t="s">
        <v>296</v>
      </c>
      <c r="G735" s="46" t="s">
        <v>2855</v>
      </c>
    </row>
    <row r="736" spans="1:7" x14ac:dyDescent="0.35">
      <c r="A736" s="39" t="s">
        <v>2856</v>
      </c>
      <c r="B736" s="40" t="s">
        <v>1060</v>
      </c>
      <c r="C736" s="41" t="s">
        <v>2673</v>
      </c>
      <c r="D736" s="40" t="s">
        <v>2857</v>
      </c>
      <c r="E736" s="40" t="s">
        <v>433</v>
      </c>
      <c r="F736" s="40" t="s">
        <v>296</v>
      </c>
      <c r="G736" s="42" t="s">
        <v>2858</v>
      </c>
    </row>
    <row r="737" spans="1:7" x14ac:dyDescent="0.35">
      <c r="A737" s="43" t="s">
        <v>2859</v>
      </c>
      <c r="B737" s="44" t="s">
        <v>1060</v>
      </c>
      <c r="C737" s="45" t="s">
        <v>2673</v>
      </c>
      <c r="D737" s="44" t="s">
        <v>2860</v>
      </c>
      <c r="E737" s="44" t="s">
        <v>433</v>
      </c>
      <c r="F737" s="44" t="s">
        <v>296</v>
      </c>
      <c r="G737" s="46" t="s">
        <v>2861</v>
      </c>
    </row>
    <row r="738" spans="1:7" x14ac:dyDescent="0.35">
      <c r="A738" s="39" t="s">
        <v>2862</v>
      </c>
      <c r="B738" s="40" t="s">
        <v>1060</v>
      </c>
      <c r="C738" s="41" t="s">
        <v>2673</v>
      </c>
      <c r="D738" s="40" t="s">
        <v>2863</v>
      </c>
      <c r="E738" s="40" t="s">
        <v>433</v>
      </c>
      <c r="F738" s="40" t="s">
        <v>296</v>
      </c>
      <c r="G738" s="42" t="s">
        <v>2864</v>
      </c>
    </row>
    <row r="739" spans="1:7" x14ac:dyDescent="0.35">
      <c r="A739" s="43" t="s">
        <v>2865</v>
      </c>
      <c r="B739" s="44" t="s">
        <v>1656</v>
      </c>
      <c r="C739" s="45" t="s">
        <v>2866</v>
      </c>
      <c r="D739" s="44" t="s">
        <v>2867</v>
      </c>
      <c r="E739" s="44" t="s">
        <v>364</v>
      </c>
      <c r="F739" s="44" t="s">
        <v>353</v>
      </c>
      <c r="G739" s="46" t="s">
        <v>2868</v>
      </c>
    </row>
    <row r="740" spans="1:7" x14ac:dyDescent="0.35">
      <c r="A740" s="39" t="s">
        <v>2869</v>
      </c>
      <c r="B740" s="40" t="s">
        <v>2870</v>
      </c>
      <c r="C740" s="41" t="s">
        <v>2871</v>
      </c>
      <c r="D740" s="40" t="s">
        <v>2872</v>
      </c>
      <c r="E740" s="40" t="s">
        <v>632</v>
      </c>
      <c r="F740" s="40" t="s">
        <v>347</v>
      </c>
      <c r="G740" s="42" t="s">
        <v>2873</v>
      </c>
    </row>
    <row r="741" spans="1:7" x14ac:dyDescent="0.35">
      <c r="A741" s="43" t="s">
        <v>2874</v>
      </c>
      <c r="B741" s="44" t="s">
        <v>2875</v>
      </c>
      <c r="C741" s="45" t="s">
        <v>2876</v>
      </c>
      <c r="D741" s="44" t="s">
        <v>2877</v>
      </c>
      <c r="E741" s="44" t="s">
        <v>353</v>
      </c>
      <c r="F741" s="44" t="s">
        <v>469</v>
      </c>
      <c r="G741" s="46" t="s">
        <v>2878</v>
      </c>
    </row>
    <row r="742" spans="1:7" x14ac:dyDescent="0.35">
      <c r="A742" s="39" t="s">
        <v>2879</v>
      </c>
      <c r="B742" s="40" t="s">
        <v>2004</v>
      </c>
      <c r="C742" s="41" t="s">
        <v>2880</v>
      </c>
      <c r="D742" s="40" t="s">
        <v>2881</v>
      </c>
      <c r="E742" s="40" t="s">
        <v>307</v>
      </c>
      <c r="F742" s="40" t="s">
        <v>433</v>
      </c>
      <c r="G742" s="42" t="s">
        <v>2882</v>
      </c>
    </row>
    <row r="743" spans="1:7" x14ac:dyDescent="0.35">
      <c r="A743" s="43" t="s">
        <v>2883</v>
      </c>
      <c r="B743" s="44" t="s">
        <v>2004</v>
      </c>
      <c r="C743" s="45" t="s">
        <v>2880</v>
      </c>
      <c r="D743" s="44" t="s">
        <v>2884</v>
      </c>
      <c r="E743" s="44" t="s">
        <v>307</v>
      </c>
      <c r="F743" s="44" t="s">
        <v>433</v>
      </c>
      <c r="G743" s="46" t="s">
        <v>2885</v>
      </c>
    </row>
    <row r="744" spans="1:7" x14ac:dyDescent="0.35">
      <c r="A744" s="39" t="s">
        <v>2886</v>
      </c>
      <c r="B744" s="40" t="s">
        <v>2004</v>
      </c>
      <c r="C744" s="41" t="s">
        <v>2880</v>
      </c>
      <c r="D744" s="40" t="s">
        <v>2887</v>
      </c>
      <c r="E744" s="40" t="s">
        <v>307</v>
      </c>
      <c r="F744" s="40" t="s">
        <v>433</v>
      </c>
      <c r="G744" s="42" t="s">
        <v>2888</v>
      </c>
    </row>
    <row r="745" spans="1:7" x14ac:dyDescent="0.35">
      <c r="A745" s="43" t="s">
        <v>2889</v>
      </c>
      <c r="B745" s="44" t="s">
        <v>2004</v>
      </c>
      <c r="C745" s="45" t="s">
        <v>2880</v>
      </c>
      <c r="D745" s="44" t="s">
        <v>2890</v>
      </c>
      <c r="E745" s="44" t="s">
        <v>307</v>
      </c>
      <c r="F745" s="44" t="s">
        <v>433</v>
      </c>
      <c r="G745" s="46" t="s">
        <v>2891</v>
      </c>
    </row>
    <row r="746" spans="1:7" x14ac:dyDescent="0.35">
      <c r="A746" s="39" t="s">
        <v>2892</v>
      </c>
      <c r="B746" s="40" t="s">
        <v>2004</v>
      </c>
      <c r="C746" s="41" t="s">
        <v>2880</v>
      </c>
      <c r="D746" s="40" t="s">
        <v>2893</v>
      </c>
      <c r="E746" s="40" t="s">
        <v>307</v>
      </c>
      <c r="F746" s="40" t="s">
        <v>433</v>
      </c>
      <c r="G746" s="42" t="s">
        <v>2894</v>
      </c>
    </row>
    <row r="747" spans="1:7" x14ac:dyDescent="0.35">
      <c r="A747" s="43" t="s">
        <v>2895</v>
      </c>
      <c r="B747" s="44" t="s">
        <v>2004</v>
      </c>
      <c r="C747" s="45" t="s">
        <v>2880</v>
      </c>
      <c r="D747" s="44" t="s">
        <v>2896</v>
      </c>
      <c r="E747" s="44" t="s">
        <v>307</v>
      </c>
      <c r="F747" s="44" t="s">
        <v>433</v>
      </c>
      <c r="G747" s="46" t="s">
        <v>2897</v>
      </c>
    </row>
    <row r="748" spans="1:7" x14ac:dyDescent="0.35">
      <c r="A748" s="39" t="s">
        <v>2898</v>
      </c>
      <c r="B748" s="40" t="s">
        <v>2004</v>
      </c>
      <c r="C748" s="41" t="s">
        <v>2880</v>
      </c>
      <c r="D748" s="40" t="s">
        <v>2899</v>
      </c>
      <c r="E748" s="40" t="s">
        <v>307</v>
      </c>
      <c r="F748" s="40" t="s">
        <v>433</v>
      </c>
      <c r="G748" s="42" t="s">
        <v>2900</v>
      </c>
    </row>
    <row r="749" spans="1:7" x14ac:dyDescent="0.35">
      <c r="A749" s="43" t="s">
        <v>2901</v>
      </c>
      <c r="B749" s="44" t="s">
        <v>2004</v>
      </c>
      <c r="C749" s="45" t="s">
        <v>2880</v>
      </c>
      <c r="D749" s="44" t="s">
        <v>2902</v>
      </c>
      <c r="E749" s="44" t="s">
        <v>307</v>
      </c>
      <c r="F749" s="44" t="s">
        <v>433</v>
      </c>
      <c r="G749" s="46" t="s">
        <v>2903</v>
      </c>
    </row>
    <row r="750" spans="1:7" x14ac:dyDescent="0.35">
      <c r="A750" s="39" t="s">
        <v>2904</v>
      </c>
      <c r="B750" s="40" t="s">
        <v>2004</v>
      </c>
      <c r="C750" s="41" t="s">
        <v>2880</v>
      </c>
      <c r="D750" s="40" t="s">
        <v>2905</v>
      </c>
      <c r="E750" s="40" t="s">
        <v>307</v>
      </c>
      <c r="F750" s="40" t="s">
        <v>433</v>
      </c>
      <c r="G750" s="42" t="s">
        <v>2906</v>
      </c>
    </row>
    <row r="751" spans="1:7" x14ac:dyDescent="0.35">
      <c r="A751" s="43" t="s">
        <v>2907</v>
      </c>
      <c r="B751" s="44" t="s">
        <v>2004</v>
      </c>
      <c r="C751" s="45" t="s">
        <v>2880</v>
      </c>
      <c r="D751" s="44" t="s">
        <v>2908</v>
      </c>
      <c r="E751" s="44" t="s">
        <v>307</v>
      </c>
      <c r="F751" s="44" t="s">
        <v>433</v>
      </c>
      <c r="G751" s="46" t="s">
        <v>2909</v>
      </c>
    </row>
    <row r="752" spans="1:7" x14ac:dyDescent="0.35">
      <c r="A752" s="39" t="s">
        <v>2910</v>
      </c>
      <c r="B752" s="40" t="s">
        <v>2004</v>
      </c>
      <c r="C752" s="41" t="s">
        <v>2880</v>
      </c>
      <c r="D752" s="40" t="s">
        <v>2911</v>
      </c>
      <c r="E752" s="40" t="s">
        <v>307</v>
      </c>
      <c r="F752" s="40" t="s">
        <v>433</v>
      </c>
      <c r="G752" s="42" t="s">
        <v>2912</v>
      </c>
    </row>
    <row r="753" spans="1:7" x14ac:dyDescent="0.35">
      <c r="A753" s="43" t="s">
        <v>2913</v>
      </c>
      <c r="B753" s="44" t="s">
        <v>1781</v>
      </c>
      <c r="C753" s="45" t="s">
        <v>2914</v>
      </c>
      <c r="D753" s="44" t="s">
        <v>2915</v>
      </c>
      <c r="E753" s="44" t="s">
        <v>463</v>
      </c>
      <c r="F753" s="44" t="s">
        <v>551</v>
      </c>
      <c r="G753" s="46" t="s">
        <v>2916</v>
      </c>
    </row>
    <row r="754" spans="1:7" x14ac:dyDescent="0.35">
      <c r="A754" s="39" t="s">
        <v>2917</v>
      </c>
      <c r="B754" s="40" t="s">
        <v>1781</v>
      </c>
      <c r="C754" s="41" t="s">
        <v>2914</v>
      </c>
      <c r="D754" s="40" t="s">
        <v>2918</v>
      </c>
      <c r="E754" s="40" t="s">
        <v>463</v>
      </c>
      <c r="F754" s="40" t="s">
        <v>551</v>
      </c>
      <c r="G754" s="42" t="s">
        <v>2919</v>
      </c>
    </row>
    <row r="755" spans="1:7" x14ac:dyDescent="0.35">
      <c r="A755" s="43" t="s">
        <v>2920</v>
      </c>
      <c r="B755" s="44" t="s">
        <v>2921</v>
      </c>
      <c r="C755" s="45" t="s">
        <v>2922</v>
      </c>
      <c r="D755" s="44" t="s">
        <v>2923</v>
      </c>
      <c r="E755" s="44" t="s">
        <v>316</v>
      </c>
      <c r="F755" s="44" t="s">
        <v>541</v>
      </c>
      <c r="G755" s="46" t="s">
        <v>2924</v>
      </c>
    </row>
    <row r="756" spans="1:7" x14ac:dyDescent="0.35">
      <c r="A756" s="39" t="s">
        <v>2925</v>
      </c>
      <c r="B756" s="40" t="s">
        <v>2926</v>
      </c>
      <c r="C756" s="41" t="s">
        <v>2927</v>
      </c>
      <c r="D756" s="40" t="s">
        <v>2928</v>
      </c>
      <c r="E756" s="40" t="s">
        <v>531</v>
      </c>
      <c r="F756" s="40" t="s">
        <v>280</v>
      </c>
      <c r="G756" s="42" t="s">
        <v>2929</v>
      </c>
    </row>
    <row r="757" spans="1:7" x14ac:dyDescent="0.35">
      <c r="A757" s="43" t="s">
        <v>2930</v>
      </c>
      <c r="B757" s="44" t="s">
        <v>2931</v>
      </c>
      <c r="C757" s="45" t="s">
        <v>2932</v>
      </c>
      <c r="D757" s="44" t="s">
        <v>2933</v>
      </c>
      <c r="E757" s="44" t="s">
        <v>531</v>
      </c>
      <c r="F757" s="44" t="s">
        <v>364</v>
      </c>
      <c r="G757" s="46" t="s">
        <v>2934</v>
      </c>
    </row>
    <row r="758" spans="1:7" x14ac:dyDescent="0.35">
      <c r="A758" s="39" t="s">
        <v>2935</v>
      </c>
      <c r="B758" s="40" t="s">
        <v>2225</v>
      </c>
      <c r="C758" s="41" t="s">
        <v>2936</v>
      </c>
      <c r="D758" s="40" t="s">
        <v>2937</v>
      </c>
      <c r="E758" s="40" t="s">
        <v>221</v>
      </c>
      <c r="F758" s="40" t="s">
        <v>307</v>
      </c>
      <c r="G758" s="42" t="s">
        <v>2938</v>
      </c>
    </row>
    <row r="759" spans="1:7" x14ac:dyDescent="0.35">
      <c r="A759" s="43" t="s">
        <v>2939</v>
      </c>
      <c r="B759" s="44" t="s">
        <v>2225</v>
      </c>
      <c r="C759" s="45" t="s">
        <v>2936</v>
      </c>
      <c r="D759" s="44" t="s">
        <v>2940</v>
      </c>
      <c r="E759" s="44" t="s">
        <v>221</v>
      </c>
      <c r="F759" s="44" t="s">
        <v>307</v>
      </c>
      <c r="G759" s="46" t="s">
        <v>2941</v>
      </c>
    </row>
    <row r="760" spans="1:7" x14ac:dyDescent="0.35">
      <c r="A760" s="39" t="s">
        <v>2942</v>
      </c>
      <c r="B760" s="40" t="s">
        <v>2225</v>
      </c>
      <c r="C760" s="41" t="s">
        <v>2936</v>
      </c>
      <c r="D760" s="40" t="s">
        <v>2943</v>
      </c>
      <c r="E760" s="40" t="s">
        <v>221</v>
      </c>
      <c r="F760" s="40" t="s">
        <v>307</v>
      </c>
      <c r="G760" s="42" t="s">
        <v>2944</v>
      </c>
    </row>
    <row r="761" spans="1:7" x14ac:dyDescent="0.35">
      <c r="A761" s="43" t="s">
        <v>2945</v>
      </c>
      <c r="B761" s="44" t="s">
        <v>2225</v>
      </c>
      <c r="C761" s="45" t="s">
        <v>2936</v>
      </c>
      <c r="D761" s="44" t="s">
        <v>2946</v>
      </c>
      <c r="E761" s="44" t="s">
        <v>221</v>
      </c>
      <c r="F761" s="44" t="s">
        <v>307</v>
      </c>
      <c r="G761" s="46" t="s">
        <v>2947</v>
      </c>
    </row>
    <row r="762" spans="1:7" x14ac:dyDescent="0.35">
      <c r="A762" s="39" t="s">
        <v>2948</v>
      </c>
      <c r="B762" s="40" t="s">
        <v>2087</v>
      </c>
      <c r="C762" s="41" t="s">
        <v>2949</v>
      </c>
      <c r="D762" s="40" t="s">
        <v>2950</v>
      </c>
      <c r="E762" s="40" t="s">
        <v>389</v>
      </c>
      <c r="F762" s="40" t="s">
        <v>463</v>
      </c>
      <c r="G762" s="42" t="s">
        <v>2951</v>
      </c>
    </row>
    <row r="763" spans="1:7" x14ac:dyDescent="0.35">
      <c r="A763" s="43" t="s">
        <v>2952</v>
      </c>
      <c r="B763" s="44" t="s">
        <v>2087</v>
      </c>
      <c r="C763" s="45" t="s">
        <v>2949</v>
      </c>
      <c r="D763" s="44" t="s">
        <v>2953</v>
      </c>
      <c r="E763" s="44" t="s">
        <v>389</v>
      </c>
      <c r="F763" s="44" t="s">
        <v>463</v>
      </c>
      <c r="G763" s="46" t="s">
        <v>2954</v>
      </c>
    </row>
    <row r="764" spans="1:7" x14ac:dyDescent="0.35">
      <c r="A764" s="39" t="s">
        <v>2955</v>
      </c>
      <c r="B764" s="40" t="s">
        <v>2087</v>
      </c>
      <c r="C764" s="41" t="s">
        <v>2949</v>
      </c>
      <c r="D764" s="40" t="s">
        <v>2956</v>
      </c>
      <c r="E764" s="40" t="s">
        <v>389</v>
      </c>
      <c r="F764" s="40" t="s">
        <v>463</v>
      </c>
      <c r="G764" s="42" t="s">
        <v>2957</v>
      </c>
    </row>
    <row r="765" spans="1:7" x14ac:dyDescent="0.35">
      <c r="A765" s="43" t="s">
        <v>2958</v>
      </c>
      <c r="B765" s="44" t="s">
        <v>2959</v>
      </c>
      <c r="C765" s="45" t="s">
        <v>2960</v>
      </c>
      <c r="D765" s="44" t="s">
        <v>2961</v>
      </c>
      <c r="E765" s="44" t="s">
        <v>502</v>
      </c>
      <c r="F765" s="44" t="s">
        <v>221</v>
      </c>
      <c r="G765" s="46" t="s">
        <v>2962</v>
      </c>
    </row>
    <row r="766" spans="1:7" x14ac:dyDescent="0.35">
      <c r="A766" s="39" t="s">
        <v>2963</v>
      </c>
      <c r="B766" s="40" t="s">
        <v>2959</v>
      </c>
      <c r="C766" s="41" t="s">
        <v>2960</v>
      </c>
      <c r="D766" s="40" t="s">
        <v>2964</v>
      </c>
      <c r="E766" s="40" t="s">
        <v>502</v>
      </c>
      <c r="F766" s="40" t="s">
        <v>221</v>
      </c>
      <c r="G766" s="42" t="s">
        <v>2965</v>
      </c>
    </row>
    <row r="767" spans="1:7" x14ac:dyDescent="0.35">
      <c r="A767" s="43" t="s">
        <v>2966</v>
      </c>
      <c r="B767" s="44" t="s">
        <v>2967</v>
      </c>
      <c r="C767" s="45" t="s">
        <v>2968</v>
      </c>
      <c r="D767" s="44" t="s">
        <v>2969</v>
      </c>
      <c r="E767" s="44" t="s">
        <v>463</v>
      </c>
      <c r="F767" s="44" t="s">
        <v>502</v>
      </c>
      <c r="G767" s="46" t="s">
        <v>2970</v>
      </c>
    </row>
    <row r="768" spans="1:7" x14ac:dyDescent="0.35">
      <c r="A768" s="39" t="s">
        <v>2971</v>
      </c>
      <c r="B768" s="40" t="s">
        <v>2967</v>
      </c>
      <c r="C768" s="41" t="s">
        <v>2968</v>
      </c>
      <c r="D768" s="40" t="s">
        <v>244</v>
      </c>
      <c r="E768" s="40" t="s">
        <v>463</v>
      </c>
      <c r="F768" s="40" t="s">
        <v>502</v>
      </c>
      <c r="G768" s="42" t="s">
        <v>2972</v>
      </c>
    </row>
    <row r="769" spans="1:7" x14ac:dyDescent="0.35">
      <c r="A769" s="43" t="s">
        <v>2973</v>
      </c>
      <c r="B769" s="44" t="s">
        <v>2229</v>
      </c>
      <c r="C769" s="45" t="s">
        <v>2974</v>
      </c>
      <c r="D769" s="44" t="s">
        <v>2975</v>
      </c>
      <c r="E769" s="44" t="s">
        <v>221</v>
      </c>
      <c r="F769" s="44" t="s">
        <v>389</v>
      </c>
      <c r="G769" s="46" t="s">
        <v>2976</v>
      </c>
    </row>
    <row r="770" spans="1:7" x14ac:dyDescent="0.35">
      <c r="A770" s="39" t="s">
        <v>2977</v>
      </c>
      <c r="B770" s="40" t="s">
        <v>2229</v>
      </c>
      <c r="C770" s="41" t="s">
        <v>2974</v>
      </c>
      <c r="D770" s="40" t="s">
        <v>238</v>
      </c>
      <c r="E770" s="40" t="s">
        <v>221</v>
      </c>
      <c r="F770" s="40" t="s">
        <v>389</v>
      </c>
      <c r="G770" s="42" t="s">
        <v>2978</v>
      </c>
    </row>
    <row r="771" spans="1:7" x14ac:dyDescent="0.35">
      <c r="A771" s="43" t="s">
        <v>2979</v>
      </c>
      <c r="B771" s="44" t="s">
        <v>2229</v>
      </c>
      <c r="C771" s="45" t="s">
        <v>2974</v>
      </c>
      <c r="D771" s="44" t="s">
        <v>2980</v>
      </c>
      <c r="E771" s="44" t="s">
        <v>221</v>
      </c>
      <c r="F771" s="44" t="s">
        <v>389</v>
      </c>
      <c r="G771" s="46" t="s">
        <v>2981</v>
      </c>
    </row>
    <row r="772" spans="1:7" x14ac:dyDescent="0.35">
      <c r="A772" s="39" t="s">
        <v>2982</v>
      </c>
      <c r="B772" s="40" t="s">
        <v>2229</v>
      </c>
      <c r="C772" s="41" t="s">
        <v>2974</v>
      </c>
      <c r="D772" s="40" t="s">
        <v>2983</v>
      </c>
      <c r="E772" s="40" t="s">
        <v>221</v>
      </c>
      <c r="F772" s="40" t="s">
        <v>389</v>
      </c>
      <c r="G772" s="42" t="s">
        <v>2984</v>
      </c>
    </row>
    <row r="773" spans="1:7" x14ac:dyDescent="0.35">
      <c r="A773" s="43" t="s">
        <v>2985</v>
      </c>
      <c r="B773" s="44" t="s">
        <v>2229</v>
      </c>
      <c r="C773" s="45" t="s">
        <v>2974</v>
      </c>
      <c r="D773" s="44" t="s">
        <v>2986</v>
      </c>
      <c r="E773" s="44" t="s">
        <v>221</v>
      </c>
      <c r="F773" s="44" t="s">
        <v>389</v>
      </c>
      <c r="G773" s="46" t="s">
        <v>2987</v>
      </c>
    </row>
    <row r="774" spans="1:7" x14ac:dyDescent="0.35">
      <c r="A774" s="39" t="s">
        <v>2988</v>
      </c>
      <c r="B774" s="40" t="s">
        <v>1887</v>
      </c>
      <c r="C774" s="41" t="s">
        <v>2989</v>
      </c>
      <c r="D774" s="40" t="s">
        <v>2990</v>
      </c>
      <c r="E774" s="40" t="s">
        <v>551</v>
      </c>
      <c r="F774" s="40" t="s">
        <v>384</v>
      </c>
      <c r="G774" s="42" t="s">
        <v>2991</v>
      </c>
    </row>
    <row r="775" spans="1:7" x14ac:dyDescent="0.35">
      <c r="A775" s="43" t="s">
        <v>2992</v>
      </c>
      <c r="B775" s="44" t="s">
        <v>2993</v>
      </c>
      <c r="C775" s="45" t="s">
        <v>2994</v>
      </c>
      <c r="D775" s="44" t="s">
        <v>2995</v>
      </c>
      <c r="E775" s="44" t="s">
        <v>389</v>
      </c>
      <c r="F775" s="44" t="s">
        <v>642</v>
      </c>
      <c r="G775" s="46" t="s">
        <v>2996</v>
      </c>
    </row>
    <row r="776" spans="1:7" x14ac:dyDescent="0.35">
      <c r="A776" s="39" t="s">
        <v>2997</v>
      </c>
      <c r="B776" s="40" t="s">
        <v>1741</v>
      </c>
      <c r="C776" s="41" t="s">
        <v>2998</v>
      </c>
      <c r="D776" s="40" t="s">
        <v>2999</v>
      </c>
      <c r="E776" s="40" t="s">
        <v>433</v>
      </c>
      <c r="F776" s="40" t="s">
        <v>221</v>
      </c>
      <c r="G776" s="42" t="s">
        <v>3000</v>
      </c>
    </row>
    <row r="777" spans="1:7" x14ac:dyDescent="0.35">
      <c r="A777" s="43" t="s">
        <v>3001</v>
      </c>
      <c r="B777" s="44" t="s">
        <v>1741</v>
      </c>
      <c r="C777" s="45" t="s">
        <v>2998</v>
      </c>
      <c r="D777" s="44" t="s">
        <v>3002</v>
      </c>
      <c r="E777" s="44" t="s">
        <v>433</v>
      </c>
      <c r="F777" s="44" t="s">
        <v>221</v>
      </c>
      <c r="G777" s="46" t="s">
        <v>3003</v>
      </c>
    </row>
    <row r="778" spans="1:7" x14ac:dyDescent="0.35">
      <c r="A778" s="39" t="s">
        <v>3004</v>
      </c>
      <c r="B778" s="40" t="s">
        <v>1741</v>
      </c>
      <c r="C778" s="41" t="s">
        <v>2998</v>
      </c>
      <c r="D778" s="40" t="s">
        <v>3005</v>
      </c>
      <c r="E778" s="40" t="s">
        <v>433</v>
      </c>
      <c r="F778" s="40" t="s">
        <v>221</v>
      </c>
      <c r="G778" s="42" t="s">
        <v>3006</v>
      </c>
    </row>
    <row r="779" spans="1:7" x14ac:dyDescent="0.35">
      <c r="A779" s="43" t="s">
        <v>3007</v>
      </c>
      <c r="B779" s="44" t="s">
        <v>1741</v>
      </c>
      <c r="C779" s="45" t="s">
        <v>2998</v>
      </c>
      <c r="D779" s="44" t="s">
        <v>3008</v>
      </c>
      <c r="E779" s="44" t="s">
        <v>433</v>
      </c>
      <c r="F779" s="44" t="s">
        <v>221</v>
      </c>
      <c r="G779" s="46" t="s">
        <v>3009</v>
      </c>
    </row>
    <row r="780" spans="1:7" x14ac:dyDescent="0.35">
      <c r="A780" s="39" t="s">
        <v>3010</v>
      </c>
      <c r="B780" s="40" t="s">
        <v>1741</v>
      </c>
      <c r="C780" s="41" t="s">
        <v>2998</v>
      </c>
      <c r="D780" s="40" t="s">
        <v>3011</v>
      </c>
      <c r="E780" s="40" t="s">
        <v>433</v>
      </c>
      <c r="F780" s="40" t="s">
        <v>221</v>
      </c>
      <c r="G780" s="42" t="s">
        <v>3012</v>
      </c>
    </row>
    <row r="781" spans="1:7" x14ac:dyDescent="0.35">
      <c r="A781" s="43" t="s">
        <v>3013</v>
      </c>
      <c r="B781" s="44" t="s">
        <v>1741</v>
      </c>
      <c r="C781" s="45" t="s">
        <v>2998</v>
      </c>
      <c r="D781" s="44" t="s">
        <v>3014</v>
      </c>
      <c r="E781" s="44" t="s">
        <v>433</v>
      </c>
      <c r="F781" s="44" t="s">
        <v>221</v>
      </c>
      <c r="G781" s="46" t="s">
        <v>3015</v>
      </c>
    </row>
    <row r="782" spans="1:7" x14ac:dyDescent="0.35">
      <c r="A782" s="39" t="s">
        <v>3016</v>
      </c>
      <c r="B782" s="40" t="s">
        <v>1741</v>
      </c>
      <c r="C782" s="41" t="s">
        <v>2998</v>
      </c>
      <c r="D782" s="40" t="s">
        <v>3017</v>
      </c>
      <c r="E782" s="40" t="s">
        <v>433</v>
      </c>
      <c r="F782" s="40" t="s">
        <v>221</v>
      </c>
      <c r="G782" s="42" t="s">
        <v>3018</v>
      </c>
    </row>
    <row r="783" spans="1:7" x14ac:dyDescent="0.35">
      <c r="A783" s="43" t="s">
        <v>3019</v>
      </c>
      <c r="B783" s="44" t="s">
        <v>1741</v>
      </c>
      <c r="C783" s="45" t="s">
        <v>2998</v>
      </c>
      <c r="D783" s="44" t="s">
        <v>3020</v>
      </c>
      <c r="E783" s="44" t="s">
        <v>433</v>
      </c>
      <c r="F783" s="44" t="s">
        <v>221</v>
      </c>
      <c r="G783" s="46" t="s">
        <v>3021</v>
      </c>
    </row>
    <row r="784" spans="1:7" x14ac:dyDescent="0.35">
      <c r="A784" s="39" t="s">
        <v>3022</v>
      </c>
      <c r="B784" s="40" t="s">
        <v>1741</v>
      </c>
      <c r="C784" s="41" t="s">
        <v>2998</v>
      </c>
      <c r="D784" s="40" t="s">
        <v>3023</v>
      </c>
      <c r="E784" s="40" t="s">
        <v>433</v>
      </c>
      <c r="F784" s="40" t="s">
        <v>221</v>
      </c>
      <c r="G784" s="42" t="s">
        <v>3024</v>
      </c>
    </row>
    <row r="785" spans="1:7" x14ac:dyDescent="0.35">
      <c r="A785" s="43" t="s">
        <v>3025</v>
      </c>
      <c r="B785" s="44" t="s">
        <v>1741</v>
      </c>
      <c r="C785" s="45" t="s">
        <v>2998</v>
      </c>
      <c r="D785" s="44" t="s">
        <v>3026</v>
      </c>
      <c r="E785" s="44" t="s">
        <v>433</v>
      </c>
      <c r="F785" s="44" t="s">
        <v>221</v>
      </c>
      <c r="G785" s="46" t="s">
        <v>3027</v>
      </c>
    </row>
    <row r="786" spans="1:7" x14ac:dyDescent="0.35">
      <c r="A786" s="39" t="s">
        <v>3028</v>
      </c>
      <c r="B786" s="40" t="s">
        <v>1741</v>
      </c>
      <c r="C786" s="41" t="s">
        <v>2998</v>
      </c>
      <c r="D786" s="40" t="s">
        <v>3029</v>
      </c>
      <c r="E786" s="40" t="s">
        <v>433</v>
      </c>
      <c r="F786" s="40" t="s">
        <v>221</v>
      </c>
      <c r="G786" s="42" t="s">
        <v>3030</v>
      </c>
    </row>
    <row r="787" spans="1:7" x14ac:dyDescent="0.35">
      <c r="A787" s="43" t="s">
        <v>3031</v>
      </c>
      <c r="B787" s="44" t="s">
        <v>1741</v>
      </c>
      <c r="C787" s="45" t="s">
        <v>2998</v>
      </c>
      <c r="D787" s="44" t="s">
        <v>3032</v>
      </c>
      <c r="E787" s="44" t="s">
        <v>433</v>
      </c>
      <c r="F787" s="44" t="s">
        <v>221</v>
      </c>
      <c r="G787" s="46" t="s">
        <v>3033</v>
      </c>
    </row>
    <row r="788" spans="1:7" x14ac:dyDescent="0.35">
      <c r="A788" s="39" t="s">
        <v>3034</v>
      </c>
      <c r="B788" s="40" t="s">
        <v>1741</v>
      </c>
      <c r="C788" s="41" t="s">
        <v>2998</v>
      </c>
      <c r="D788" s="40" t="s">
        <v>3035</v>
      </c>
      <c r="E788" s="40" t="s">
        <v>433</v>
      </c>
      <c r="F788" s="40" t="s">
        <v>221</v>
      </c>
      <c r="G788" s="42" t="s">
        <v>3036</v>
      </c>
    </row>
    <row r="789" spans="1:7" x14ac:dyDescent="0.35">
      <c r="A789" s="43" t="s">
        <v>3037</v>
      </c>
      <c r="B789" s="44" t="s">
        <v>1741</v>
      </c>
      <c r="C789" s="45" t="s">
        <v>2998</v>
      </c>
      <c r="D789" s="44" t="s">
        <v>3038</v>
      </c>
      <c r="E789" s="44" t="s">
        <v>433</v>
      </c>
      <c r="F789" s="44" t="s">
        <v>221</v>
      </c>
      <c r="G789" s="46" t="s">
        <v>3039</v>
      </c>
    </row>
    <row r="790" spans="1:7" x14ac:dyDescent="0.35">
      <c r="A790" s="39" t="s">
        <v>3040</v>
      </c>
      <c r="B790" s="40" t="s">
        <v>1741</v>
      </c>
      <c r="C790" s="41" t="s">
        <v>2998</v>
      </c>
      <c r="D790" s="40" t="s">
        <v>3041</v>
      </c>
      <c r="E790" s="40" t="s">
        <v>433</v>
      </c>
      <c r="F790" s="40" t="s">
        <v>221</v>
      </c>
      <c r="G790" s="42" t="s">
        <v>3042</v>
      </c>
    </row>
    <row r="791" spans="1:7" x14ac:dyDescent="0.35">
      <c r="A791" s="43" t="s">
        <v>3043</v>
      </c>
      <c r="B791" s="44" t="s">
        <v>1741</v>
      </c>
      <c r="C791" s="45" t="s">
        <v>2998</v>
      </c>
      <c r="D791" s="44" t="s">
        <v>3044</v>
      </c>
      <c r="E791" s="44" t="s">
        <v>433</v>
      </c>
      <c r="F791" s="44" t="s">
        <v>221</v>
      </c>
      <c r="G791" s="46" t="s">
        <v>3045</v>
      </c>
    </row>
    <row r="792" spans="1:7" x14ac:dyDescent="0.35">
      <c r="A792" s="39" t="s">
        <v>3046</v>
      </c>
      <c r="B792" s="40" t="s">
        <v>1741</v>
      </c>
      <c r="C792" s="41" t="s">
        <v>2998</v>
      </c>
      <c r="D792" s="40" t="s">
        <v>3047</v>
      </c>
      <c r="E792" s="40" t="s">
        <v>433</v>
      </c>
      <c r="F792" s="40" t="s">
        <v>221</v>
      </c>
      <c r="G792" s="42" t="s">
        <v>3048</v>
      </c>
    </row>
    <row r="793" spans="1:7" x14ac:dyDescent="0.35">
      <c r="A793" s="43" t="s">
        <v>3049</v>
      </c>
      <c r="B793" s="44" t="s">
        <v>1741</v>
      </c>
      <c r="C793" s="45" t="s">
        <v>2998</v>
      </c>
      <c r="D793" s="44" t="s">
        <v>3050</v>
      </c>
      <c r="E793" s="44" t="s">
        <v>433</v>
      </c>
      <c r="F793" s="44" t="s">
        <v>221</v>
      </c>
      <c r="G793" s="46" t="s">
        <v>3051</v>
      </c>
    </row>
    <row r="794" spans="1:7" x14ac:dyDescent="0.35">
      <c r="A794" s="39" t="s">
        <v>3052</v>
      </c>
      <c r="B794" s="40" t="s">
        <v>1741</v>
      </c>
      <c r="C794" s="41" t="s">
        <v>2998</v>
      </c>
      <c r="D794" s="40" t="s">
        <v>3053</v>
      </c>
      <c r="E794" s="40" t="s">
        <v>433</v>
      </c>
      <c r="F794" s="40" t="s">
        <v>221</v>
      </c>
      <c r="G794" s="42" t="s">
        <v>3054</v>
      </c>
    </row>
    <row r="795" spans="1:7" x14ac:dyDescent="0.35">
      <c r="A795" s="43" t="s">
        <v>3055</v>
      </c>
      <c r="B795" s="44" t="s">
        <v>1741</v>
      </c>
      <c r="C795" s="45" t="s">
        <v>2998</v>
      </c>
      <c r="D795" s="44" t="s">
        <v>3056</v>
      </c>
      <c r="E795" s="44" t="s">
        <v>433</v>
      </c>
      <c r="F795" s="44" t="s">
        <v>221</v>
      </c>
      <c r="G795" s="46" t="s">
        <v>3057</v>
      </c>
    </row>
    <row r="796" spans="1:7" x14ac:dyDescent="0.35">
      <c r="A796" s="39" t="s">
        <v>3058</v>
      </c>
      <c r="B796" s="40" t="s">
        <v>1741</v>
      </c>
      <c r="C796" s="41" t="s">
        <v>2998</v>
      </c>
      <c r="D796" s="40" t="s">
        <v>3059</v>
      </c>
      <c r="E796" s="40" t="s">
        <v>433</v>
      </c>
      <c r="F796" s="40" t="s">
        <v>221</v>
      </c>
      <c r="G796" s="42" t="s">
        <v>3060</v>
      </c>
    </row>
    <row r="797" spans="1:7" x14ac:dyDescent="0.35">
      <c r="A797" s="43" t="s">
        <v>3061</v>
      </c>
      <c r="B797" s="44" t="s">
        <v>1741</v>
      </c>
      <c r="C797" s="45" t="s">
        <v>2998</v>
      </c>
      <c r="D797" s="44" t="s">
        <v>3062</v>
      </c>
      <c r="E797" s="44" t="s">
        <v>433</v>
      </c>
      <c r="F797" s="44" t="s">
        <v>221</v>
      </c>
      <c r="G797" s="46" t="s">
        <v>3063</v>
      </c>
    </row>
    <row r="798" spans="1:7" x14ac:dyDescent="0.35">
      <c r="A798" s="39" t="s">
        <v>3064</v>
      </c>
      <c r="B798" s="40" t="s">
        <v>1741</v>
      </c>
      <c r="C798" s="41" t="s">
        <v>2998</v>
      </c>
      <c r="D798" s="40" t="s">
        <v>3065</v>
      </c>
      <c r="E798" s="40" t="s">
        <v>433</v>
      </c>
      <c r="F798" s="40" t="s">
        <v>221</v>
      </c>
      <c r="G798" s="42" t="s">
        <v>3066</v>
      </c>
    </row>
    <row r="799" spans="1:7" x14ac:dyDescent="0.35">
      <c r="A799" s="43" t="s">
        <v>3067</v>
      </c>
      <c r="B799" s="44" t="s">
        <v>1741</v>
      </c>
      <c r="C799" s="45" t="s">
        <v>2998</v>
      </c>
      <c r="D799" s="44" t="s">
        <v>3068</v>
      </c>
      <c r="E799" s="44" t="s">
        <v>433</v>
      </c>
      <c r="F799" s="44" t="s">
        <v>221</v>
      </c>
      <c r="G799" s="46" t="s">
        <v>3069</v>
      </c>
    </row>
    <row r="800" spans="1:7" x14ac:dyDescent="0.35">
      <c r="A800" s="39" t="s">
        <v>3070</v>
      </c>
      <c r="B800" s="40" t="s">
        <v>1741</v>
      </c>
      <c r="C800" s="41" t="s">
        <v>2998</v>
      </c>
      <c r="D800" s="40" t="s">
        <v>3071</v>
      </c>
      <c r="E800" s="40" t="s">
        <v>433</v>
      </c>
      <c r="F800" s="40" t="s">
        <v>221</v>
      </c>
      <c r="G800" s="42" t="s">
        <v>3072</v>
      </c>
    </row>
    <row r="801" spans="1:7" x14ac:dyDescent="0.35">
      <c r="A801" s="43" t="s">
        <v>3073</v>
      </c>
      <c r="B801" s="44" t="s">
        <v>1741</v>
      </c>
      <c r="C801" s="45" t="s">
        <v>2998</v>
      </c>
      <c r="D801" s="44" t="s">
        <v>3074</v>
      </c>
      <c r="E801" s="44" t="s">
        <v>433</v>
      </c>
      <c r="F801" s="44" t="s">
        <v>221</v>
      </c>
      <c r="G801" s="46" t="s">
        <v>3075</v>
      </c>
    </row>
    <row r="802" spans="1:7" x14ac:dyDescent="0.35">
      <c r="A802" s="39" t="s">
        <v>3076</v>
      </c>
      <c r="B802" s="40" t="s">
        <v>1741</v>
      </c>
      <c r="C802" s="41" t="s">
        <v>2998</v>
      </c>
      <c r="D802" s="40" t="s">
        <v>3077</v>
      </c>
      <c r="E802" s="40" t="s">
        <v>433</v>
      </c>
      <c r="F802" s="40" t="s">
        <v>221</v>
      </c>
      <c r="G802" s="42" t="s">
        <v>3078</v>
      </c>
    </row>
    <row r="803" spans="1:7" x14ac:dyDescent="0.35">
      <c r="A803" s="43" t="s">
        <v>3079</v>
      </c>
      <c r="B803" s="44" t="s">
        <v>1741</v>
      </c>
      <c r="C803" s="45" t="s">
        <v>2998</v>
      </c>
      <c r="D803" s="44" t="s">
        <v>3080</v>
      </c>
      <c r="E803" s="44" t="s">
        <v>433</v>
      </c>
      <c r="F803" s="44" t="s">
        <v>221</v>
      </c>
      <c r="G803" s="46" t="s">
        <v>3081</v>
      </c>
    </row>
    <row r="804" spans="1:7" x14ac:dyDescent="0.35">
      <c r="A804" s="39" t="s">
        <v>3082</v>
      </c>
      <c r="B804" s="40" t="s">
        <v>1741</v>
      </c>
      <c r="C804" s="41" t="s">
        <v>2998</v>
      </c>
      <c r="D804" s="40" t="s">
        <v>3083</v>
      </c>
      <c r="E804" s="40" t="s">
        <v>433</v>
      </c>
      <c r="F804" s="40" t="s">
        <v>221</v>
      </c>
      <c r="G804" s="42" t="s">
        <v>3084</v>
      </c>
    </row>
    <row r="805" spans="1:7" x14ac:dyDescent="0.35">
      <c r="A805" s="43" t="s">
        <v>3085</v>
      </c>
      <c r="B805" s="44" t="s">
        <v>1741</v>
      </c>
      <c r="C805" s="45" t="s">
        <v>2998</v>
      </c>
      <c r="D805" s="44" t="s">
        <v>470</v>
      </c>
      <c r="E805" s="44" t="s">
        <v>433</v>
      </c>
      <c r="F805" s="44" t="s">
        <v>221</v>
      </c>
      <c r="G805" s="46" t="s">
        <v>3086</v>
      </c>
    </row>
    <row r="806" spans="1:7" x14ac:dyDescent="0.35">
      <c r="A806" s="39" t="s">
        <v>3087</v>
      </c>
      <c r="B806" s="40" t="s">
        <v>1741</v>
      </c>
      <c r="C806" s="41" t="s">
        <v>2998</v>
      </c>
      <c r="D806" s="40" t="s">
        <v>3088</v>
      </c>
      <c r="E806" s="40" t="s">
        <v>433</v>
      </c>
      <c r="F806" s="40" t="s">
        <v>221</v>
      </c>
      <c r="G806" s="42" t="s">
        <v>3089</v>
      </c>
    </row>
    <row r="807" spans="1:7" x14ac:dyDescent="0.35">
      <c r="A807" s="43" t="s">
        <v>3090</v>
      </c>
      <c r="B807" s="44" t="s">
        <v>1741</v>
      </c>
      <c r="C807" s="45" t="s">
        <v>2998</v>
      </c>
      <c r="D807" s="44" t="s">
        <v>3091</v>
      </c>
      <c r="E807" s="44" t="s">
        <v>433</v>
      </c>
      <c r="F807" s="44" t="s">
        <v>221</v>
      </c>
      <c r="G807" s="46" t="s">
        <v>3092</v>
      </c>
    </row>
    <row r="808" spans="1:7" x14ac:dyDescent="0.35">
      <c r="A808" s="39" t="s">
        <v>3093</v>
      </c>
      <c r="B808" s="40" t="s">
        <v>1921</v>
      </c>
      <c r="C808" s="41" t="s">
        <v>3094</v>
      </c>
      <c r="D808" s="40" t="s">
        <v>509</v>
      </c>
      <c r="E808" s="40" t="s">
        <v>632</v>
      </c>
      <c r="F808" s="40" t="s">
        <v>632</v>
      </c>
      <c r="G808" s="42" t="s">
        <v>3095</v>
      </c>
    </row>
    <row r="809" spans="1:7" x14ac:dyDescent="0.35">
      <c r="A809" s="43" t="s">
        <v>3096</v>
      </c>
      <c r="B809" s="44" t="s">
        <v>1887</v>
      </c>
      <c r="C809" s="45" t="s">
        <v>3097</v>
      </c>
      <c r="D809" s="44" t="s">
        <v>3098</v>
      </c>
      <c r="E809" s="44" t="s">
        <v>364</v>
      </c>
      <c r="F809" s="44" t="s">
        <v>469</v>
      </c>
      <c r="G809" s="46" t="s">
        <v>3099</v>
      </c>
    </row>
    <row r="810" spans="1:7" x14ac:dyDescent="0.35">
      <c r="A810" s="39" t="s">
        <v>3100</v>
      </c>
      <c r="B810" s="40" t="s">
        <v>2339</v>
      </c>
      <c r="C810" s="41" t="s">
        <v>3101</v>
      </c>
      <c r="D810" s="40" t="s">
        <v>3102</v>
      </c>
      <c r="E810" s="40" t="s">
        <v>502</v>
      </c>
      <c r="F810" s="40" t="s">
        <v>364</v>
      </c>
      <c r="G810" s="42" t="s">
        <v>3103</v>
      </c>
    </row>
    <row r="811" spans="1:7" x14ac:dyDescent="0.35">
      <c r="A811" s="43" t="s">
        <v>3104</v>
      </c>
      <c r="B811" s="44" t="s">
        <v>2339</v>
      </c>
      <c r="C811" s="45" t="s">
        <v>3101</v>
      </c>
      <c r="D811" s="44" t="s">
        <v>3105</v>
      </c>
      <c r="E811" s="44" t="s">
        <v>502</v>
      </c>
      <c r="F811" s="44" t="s">
        <v>364</v>
      </c>
      <c r="G811" s="46" t="s">
        <v>3106</v>
      </c>
    </row>
    <row r="812" spans="1:7" x14ac:dyDescent="0.35">
      <c r="A812" s="39" t="s">
        <v>3107</v>
      </c>
      <c r="B812" s="40" t="s">
        <v>2339</v>
      </c>
      <c r="C812" s="41" t="s">
        <v>3101</v>
      </c>
      <c r="D812" s="40" t="s">
        <v>3108</v>
      </c>
      <c r="E812" s="40" t="s">
        <v>502</v>
      </c>
      <c r="F812" s="40" t="s">
        <v>364</v>
      </c>
      <c r="G812" s="42" t="s">
        <v>3109</v>
      </c>
    </row>
    <row r="813" spans="1:7" x14ac:dyDescent="0.35">
      <c r="A813" s="43" t="s">
        <v>3110</v>
      </c>
      <c r="B813" s="44" t="s">
        <v>3111</v>
      </c>
      <c r="C813" s="45" t="s">
        <v>3112</v>
      </c>
      <c r="D813" s="44" t="s">
        <v>2001</v>
      </c>
      <c r="E813" s="44" t="s">
        <v>1784</v>
      </c>
      <c r="F813" s="44" t="s">
        <v>2460</v>
      </c>
      <c r="G813" s="46" t="s">
        <v>3113</v>
      </c>
    </row>
    <row r="814" spans="1:7" x14ac:dyDescent="0.35">
      <c r="A814" s="39" t="s">
        <v>3114</v>
      </c>
      <c r="B814" s="40" t="s">
        <v>3115</v>
      </c>
      <c r="C814" s="41" t="s">
        <v>3116</v>
      </c>
      <c r="D814" s="40" t="s">
        <v>632</v>
      </c>
      <c r="E814" s="40" t="s">
        <v>384</v>
      </c>
      <c r="F814" s="40" t="s">
        <v>648</v>
      </c>
      <c r="G814" s="42" t="s">
        <v>3117</v>
      </c>
    </row>
    <row r="815" spans="1:7" x14ac:dyDescent="0.35">
      <c r="A815" s="43" t="s">
        <v>3118</v>
      </c>
      <c r="B815" s="44" t="s">
        <v>1887</v>
      </c>
      <c r="C815" s="45" t="s">
        <v>3119</v>
      </c>
      <c r="D815" s="44" t="s">
        <v>3120</v>
      </c>
      <c r="E815" s="44" t="s">
        <v>463</v>
      </c>
      <c r="F815" s="44" t="s">
        <v>531</v>
      </c>
      <c r="G815" s="46" t="s">
        <v>3121</v>
      </c>
    </row>
    <row r="816" spans="1:7" x14ac:dyDescent="0.35">
      <c r="A816" s="39" t="s">
        <v>3122</v>
      </c>
      <c r="B816" s="40" t="s">
        <v>1887</v>
      </c>
      <c r="C816" s="41" t="s">
        <v>3119</v>
      </c>
      <c r="D816" s="40" t="s">
        <v>3123</v>
      </c>
      <c r="E816" s="40" t="s">
        <v>463</v>
      </c>
      <c r="F816" s="40" t="s">
        <v>531</v>
      </c>
      <c r="G816" s="42" t="s">
        <v>3124</v>
      </c>
    </row>
    <row r="817" spans="1:7" x14ac:dyDescent="0.35">
      <c r="A817" s="43" t="s">
        <v>3125</v>
      </c>
      <c r="B817" s="44" t="s">
        <v>1781</v>
      </c>
      <c r="C817" s="45" t="s">
        <v>3126</v>
      </c>
      <c r="D817" s="44" t="s">
        <v>3127</v>
      </c>
      <c r="E817" s="44" t="s">
        <v>307</v>
      </c>
      <c r="F817" s="44" t="s">
        <v>502</v>
      </c>
      <c r="G817" s="46" t="s">
        <v>3128</v>
      </c>
    </row>
    <row r="818" spans="1:7" x14ac:dyDescent="0.35">
      <c r="A818" s="39" t="s">
        <v>3129</v>
      </c>
      <c r="B818" s="40" t="s">
        <v>1781</v>
      </c>
      <c r="C818" s="41" t="s">
        <v>3126</v>
      </c>
      <c r="D818" s="40" t="s">
        <v>3130</v>
      </c>
      <c r="E818" s="40" t="s">
        <v>307</v>
      </c>
      <c r="F818" s="40" t="s">
        <v>502</v>
      </c>
      <c r="G818" s="42" t="s">
        <v>3131</v>
      </c>
    </row>
    <row r="819" spans="1:7" x14ac:dyDescent="0.35">
      <c r="A819" s="43" t="s">
        <v>3132</v>
      </c>
      <c r="B819" s="44" t="s">
        <v>1781</v>
      </c>
      <c r="C819" s="45" t="s">
        <v>3126</v>
      </c>
      <c r="D819" s="44" t="s">
        <v>3133</v>
      </c>
      <c r="E819" s="44" t="s">
        <v>307</v>
      </c>
      <c r="F819" s="44" t="s">
        <v>502</v>
      </c>
      <c r="G819" s="46" t="s">
        <v>3134</v>
      </c>
    </row>
    <row r="820" spans="1:7" x14ac:dyDescent="0.35">
      <c r="A820" s="39" t="s">
        <v>3135</v>
      </c>
      <c r="B820" s="40" t="s">
        <v>1781</v>
      </c>
      <c r="C820" s="41" t="s">
        <v>3126</v>
      </c>
      <c r="D820" s="40" t="s">
        <v>3136</v>
      </c>
      <c r="E820" s="40" t="s">
        <v>307</v>
      </c>
      <c r="F820" s="40" t="s">
        <v>502</v>
      </c>
      <c r="G820" s="42" t="s">
        <v>3137</v>
      </c>
    </row>
    <row r="821" spans="1:7" x14ac:dyDescent="0.35">
      <c r="A821" s="43" t="s">
        <v>3138</v>
      </c>
      <c r="B821" s="44" t="s">
        <v>1781</v>
      </c>
      <c r="C821" s="45" t="s">
        <v>3126</v>
      </c>
      <c r="D821" s="44" t="s">
        <v>3139</v>
      </c>
      <c r="E821" s="44" t="s">
        <v>307</v>
      </c>
      <c r="F821" s="44" t="s">
        <v>502</v>
      </c>
      <c r="G821" s="46" t="s">
        <v>3140</v>
      </c>
    </row>
    <row r="822" spans="1:7" x14ac:dyDescent="0.35">
      <c r="A822" s="39" t="s">
        <v>3141</v>
      </c>
      <c r="B822" s="40" t="s">
        <v>1781</v>
      </c>
      <c r="C822" s="41" t="s">
        <v>3126</v>
      </c>
      <c r="D822" s="40" t="s">
        <v>3142</v>
      </c>
      <c r="E822" s="40" t="s">
        <v>307</v>
      </c>
      <c r="F822" s="40" t="s">
        <v>502</v>
      </c>
      <c r="G822" s="42" t="s">
        <v>3143</v>
      </c>
    </row>
    <row r="823" spans="1:7" x14ac:dyDescent="0.35">
      <c r="A823" s="43" t="s">
        <v>3144</v>
      </c>
      <c r="B823" s="44" t="s">
        <v>1781</v>
      </c>
      <c r="C823" s="45" t="s">
        <v>3126</v>
      </c>
      <c r="D823" s="44" t="s">
        <v>3145</v>
      </c>
      <c r="E823" s="44" t="s">
        <v>307</v>
      </c>
      <c r="F823" s="44" t="s">
        <v>502</v>
      </c>
      <c r="G823" s="46" t="s">
        <v>3146</v>
      </c>
    </row>
    <row r="824" spans="1:7" x14ac:dyDescent="0.35">
      <c r="A824" s="39" t="s">
        <v>3147</v>
      </c>
      <c r="B824" s="40" t="s">
        <v>1781</v>
      </c>
      <c r="C824" s="41" t="s">
        <v>3126</v>
      </c>
      <c r="D824" s="40" t="s">
        <v>3148</v>
      </c>
      <c r="E824" s="40" t="s">
        <v>307</v>
      </c>
      <c r="F824" s="40" t="s">
        <v>502</v>
      </c>
      <c r="G824" s="42" t="s">
        <v>3149</v>
      </c>
    </row>
    <row r="825" spans="1:7" x14ac:dyDescent="0.35">
      <c r="A825" s="43" t="s">
        <v>3150</v>
      </c>
      <c r="B825" s="44" t="s">
        <v>1781</v>
      </c>
      <c r="C825" s="45" t="s">
        <v>3126</v>
      </c>
      <c r="D825" s="44" t="s">
        <v>3151</v>
      </c>
      <c r="E825" s="44" t="s">
        <v>307</v>
      </c>
      <c r="F825" s="44" t="s">
        <v>502</v>
      </c>
      <c r="G825" s="46" t="s">
        <v>3152</v>
      </c>
    </row>
    <row r="826" spans="1:7" x14ac:dyDescent="0.35">
      <c r="A826" s="39" t="s">
        <v>3153</v>
      </c>
      <c r="B826" s="40" t="s">
        <v>1781</v>
      </c>
      <c r="C826" s="41" t="s">
        <v>3126</v>
      </c>
      <c r="D826" s="40" t="s">
        <v>3154</v>
      </c>
      <c r="E826" s="40" t="s">
        <v>307</v>
      </c>
      <c r="F826" s="40" t="s">
        <v>502</v>
      </c>
      <c r="G826" s="42" t="s">
        <v>3155</v>
      </c>
    </row>
    <row r="827" spans="1:7" x14ac:dyDescent="0.35">
      <c r="A827" s="43" t="s">
        <v>3156</v>
      </c>
      <c r="B827" s="44" t="s">
        <v>1781</v>
      </c>
      <c r="C827" s="45" t="s">
        <v>3126</v>
      </c>
      <c r="D827" s="44" t="s">
        <v>285</v>
      </c>
      <c r="E827" s="44" t="s">
        <v>307</v>
      </c>
      <c r="F827" s="44" t="s">
        <v>502</v>
      </c>
      <c r="G827" s="46" t="s">
        <v>3157</v>
      </c>
    </row>
    <row r="828" spans="1:7" x14ac:dyDescent="0.35">
      <c r="A828" s="39" t="s">
        <v>3158</v>
      </c>
      <c r="B828" s="40" t="s">
        <v>1781</v>
      </c>
      <c r="C828" s="41" t="s">
        <v>3126</v>
      </c>
      <c r="D828" s="40" t="s">
        <v>3159</v>
      </c>
      <c r="E828" s="40" t="s">
        <v>307</v>
      </c>
      <c r="F828" s="40" t="s">
        <v>502</v>
      </c>
      <c r="G828" s="42" t="s">
        <v>3160</v>
      </c>
    </row>
    <row r="829" spans="1:7" x14ac:dyDescent="0.35">
      <c r="A829" s="43" t="s">
        <v>3161</v>
      </c>
      <c r="B829" s="44" t="s">
        <v>1781</v>
      </c>
      <c r="C829" s="45" t="s">
        <v>3126</v>
      </c>
      <c r="D829" s="44" t="s">
        <v>3162</v>
      </c>
      <c r="E829" s="44" t="s">
        <v>307</v>
      </c>
      <c r="F829" s="44" t="s">
        <v>502</v>
      </c>
      <c r="G829" s="46" t="s">
        <v>3163</v>
      </c>
    </row>
    <row r="830" spans="1:7" x14ac:dyDescent="0.35">
      <c r="A830" s="39" t="s">
        <v>3164</v>
      </c>
      <c r="B830" s="40" t="s">
        <v>1781</v>
      </c>
      <c r="C830" s="41" t="s">
        <v>3126</v>
      </c>
      <c r="D830" s="40" t="s">
        <v>3165</v>
      </c>
      <c r="E830" s="40" t="s">
        <v>307</v>
      </c>
      <c r="F830" s="40" t="s">
        <v>502</v>
      </c>
      <c r="G830" s="42" t="s">
        <v>3166</v>
      </c>
    </row>
    <row r="831" spans="1:7" x14ac:dyDescent="0.35">
      <c r="A831" s="43" t="s">
        <v>3167</v>
      </c>
      <c r="B831" s="44" t="s">
        <v>1781</v>
      </c>
      <c r="C831" s="45" t="s">
        <v>3126</v>
      </c>
      <c r="D831" s="44" t="s">
        <v>3168</v>
      </c>
      <c r="E831" s="44" t="s">
        <v>307</v>
      </c>
      <c r="F831" s="44" t="s">
        <v>502</v>
      </c>
      <c r="G831" s="46" t="s">
        <v>3169</v>
      </c>
    </row>
    <row r="832" spans="1:7" x14ac:dyDescent="0.35">
      <c r="A832" s="39" t="s">
        <v>3170</v>
      </c>
      <c r="B832" s="40" t="s">
        <v>1781</v>
      </c>
      <c r="C832" s="41" t="s">
        <v>3126</v>
      </c>
      <c r="D832" s="40" t="s">
        <v>250</v>
      </c>
      <c r="E832" s="40" t="s">
        <v>307</v>
      </c>
      <c r="F832" s="40" t="s">
        <v>502</v>
      </c>
      <c r="G832" s="42" t="s">
        <v>3171</v>
      </c>
    </row>
    <row r="833" spans="1:7" x14ac:dyDescent="0.35">
      <c r="A833" s="43" t="s">
        <v>3172</v>
      </c>
      <c r="B833" s="44" t="s">
        <v>1781</v>
      </c>
      <c r="C833" s="45" t="s">
        <v>3126</v>
      </c>
      <c r="D833" s="44" t="s">
        <v>3173</v>
      </c>
      <c r="E833" s="44" t="s">
        <v>307</v>
      </c>
      <c r="F833" s="44" t="s">
        <v>502</v>
      </c>
      <c r="G833" s="46" t="s">
        <v>3174</v>
      </c>
    </row>
    <row r="834" spans="1:7" x14ac:dyDescent="0.35">
      <c r="A834" s="39" t="s">
        <v>3175</v>
      </c>
      <c r="B834" s="40" t="s">
        <v>1781</v>
      </c>
      <c r="C834" s="41" t="s">
        <v>3126</v>
      </c>
      <c r="D834" s="40" t="s">
        <v>3176</v>
      </c>
      <c r="E834" s="40" t="s">
        <v>307</v>
      </c>
      <c r="F834" s="40" t="s">
        <v>502</v>
      </c>
      <c r="G834" s="42" t="s">
        <v>3177</v>
      </c>
    </row>
    <row r="835" spans="1:7" x14ac:dyDescent="0.35">
      <c r="A835" s="43" t="s">
        <v>3178</v>
      </c>
      <c r="B835" s="44" t="s">
        <v>3179</v>
      </c>
      <c r="C835" s="45" t="s">
        <v>3180</v>
      </c>
      <c r="D835" s="44" t="s">
        <v>3181</v>
      </c>
      <c r="E835" s="44" t="s">
        <v>353</v>
      </c>
      <c r="F835" s="44" t="s">
        <v>268</v>
      </c>
      <c r="G835" s="46" t="s">
        <v>3182</v>
      </c>
    </row>
    <row r="836" spans="1:7" x14ac:dyDescent="0.35">
      <c r="A836" s="39" t="s">
        <v>3183</v>
      </c>
      <c r="B836" s="40" t="s">
        <v>3184</v>
      </c>
      <c r="C836" s="41" t="s">
        <v>3185</v>
      </c>
      <c r="D836" s="40" t="s">
        <v>444</v>
      </c>
      <c r="E836" s="40" t="s">
        <v>220</v>
      </c>
      <c r="F836" s="40" t="s">
        <v>1536</v>
      </c>
      <c r="G836" s="42" t="s">
        <v>3186</v>
      </c>
    </row>
    <row r="837" spans="1:7" x14ac:dyDescent="0.35">
      <c r="A837" s="43" t="s">
        <v>3187</v>
      </c>
      <c r="B837" s="44" t="s">
        <v>1921</v>
      </c>
      <c r="C837" s="45" t="s">
        <v>3188</v>
      </c>
      <c r="D837" s="44" t="s">
        <v>3189</v>
      </c>
      <c r="E837" s="44" t="s">
        <v>531</v>
      </c>
      <c r="F837" s="44" t="s">
        <v>531</v>
      </c>
      <c r="G837" s="46" t="s">
        <v>3190</v>
      </c>
    </row>
    <row r="838" spans="1:7" x14ac:dyDescent="0.35">
      <c r="A838" s="39" t="s">
        <v>3191</v>
      </c>
      <c r="B838" s="40" t="s">
        <v>1921</v>
      </c>
      <c r="C838" s="41" t="s">
        <v>3192</v>
      </c>
      <c r="D838" s="40" t="s">
        <v>450</v>
      </c>
      <c r="E838" s="40" t="s">
        <v>389</v>
      </c>
      <c r="F838" s="40" t="s">
        <v>389</v>
      </c>
      <c r="G838" s="42" t="s">
        <v>3193</v>
      </c>
    </row>
    <row r="839" spans="1:7" x14ac:dyDescent="0.35">
      <c r="A839" s="43" t="s">
        <v>3194</v>
      </c>
      <c r="B839" s="44" t="s">
        <v>1921</v>
      </c>
      <c r="C839" s="45" t="s">
        <v>3192</v>
      </c>
      <c r="D839" s="44" t="s">
        <v>3195</v>
      </c>
      <c r="E839" s="44" t="s">
        <v>389</v>
      </c>
      <c r="F839" s="44" t="s">
        <v>389</v>
      </c>
      <c r="G839" s="46" t="s">
        <v>3196</v>
      </c>
    </row>
    <row r="840" spans="1:7" x14ac:dyDescent="0.35">
      <c r="A840" s="39" t="s">
        <v>3197</v>
      </c>
      <c r="B840" s="40" t="s">
        <v>3198</v>
      </c>
      <c r="C840" s="41" t="s">
        <v>3199</v>
      </c>
      <c r="D840" s="40" t="s">
        <v>3200</v>
      </c>
      <c r="E840" s="40" t="s">
        <v>642</v>
      </c>
      <c r="F840" s="40" t="s">
        <v>384</v>
      </c>
      <c r="G840" s="42" t="s">
        <v>3201</v>
      </c>
    </row>
    <row r="841" spans="1:7" x14ac:dyDescent="0.35">
      <c r="A841" s="43" t="s">
        <v>3202</v>
      </c>
      <c r="B841" s="44" t="s">
        <v>1887</v>
      </c>
      <c r="C841" s="45" t="s">
        <v>3203</v>
      </c>
      <c r="D841" s="44" t="s">
        <v>3204</v>
      </c>
      <c r="E841" s="44" t="s">
        <v>221</v>
      </c>
      <c r="F841" s="44" t="s">
        <v>463</v>
      </c>
      <c r="G841" s="46" t="s">
        <v>3205</v>
      </c>
    </row>
    <row r="842" spans="1:7" x14ac:dyDescent="0.35">
      <c r="A842" s="39" t="s">
        <v>3206</v>
      </c>
      <c r="B842" s="40" t="s">
        <v>1887</v>
      </c>
      <c r="C842" s="41" t="s">
        <v>3203</v>
      </c>
      <c r="D842" s="40" t="s">
        <v>3207</v>
      </c>
      <c r="E842" s="40" t="s">
        <v>221</v>
      </c>
      <c r="F842" s="40" t="s">
        <v>463</v>
      </c>
      <c r="G842" s="42" t="s">
        <v>3208</v>
      </c>
    </row>
    <row r="843" spans="1:7" x14ac:dyDescent="0.35">
      <c r="A843" s="43" t="s">
        <v>3209</v>
      </c>
      <c r="B843" s="44" t="s">
        <v>1887</v>
      </c>
      <c r="C843" s="45" t="s">
        <v>3203</v>
      </c>
      <c r="D843" s="44" t="s">
        <v>3210</v>
      </c>
      <c r="E843" s="44" t="s">
        <v>221</v>
      </c>
      <c r="F843" s="44" t="s">
        <v>463</v>
      </c>
      <c r="G843" s="46" t="s">
        <v>3211</v>
      </c>
    </row>
    <row r="844" spans="1:7" x14ac:dyDescent="0.35">
      <c r="A844" s="39" t="s">
        <v>3212</v>
      </c>
      <c r="B844" s="40" t="s">
        <v>1887</v>
      </c>
      <c r="C844" s="41" t="s">
        <v>3203</v>
      </c>
      <c r="D844" s="40" t="s">
        <v>3213</v>
      </c>
      <c r="E844" s="40" t="s">
        <v>221</v>
      </c>
      <c r="F844" s="40" t="s">
        <v>463</v>
      </c>
      <c r="G844" s="42" t="s">
        <v>3214</v>
      </c>
    </row>
    <row r="845" spans="1:7" x14ac:dyDescent="0.35">
      <c r="A845" s="43" t="s">
        <v>3215</v>
      </c>
      <c r="B845" s="44" t="s">
        <v>1887</v>
      </c>
      <c r="C845" s="45" t="s">
        <v>3203</v>
      </c>
      <c r="D845" s="44" t="s">
        <v>3216</v>
      </c>
      <c r="E845" s="44" t="s">
        <v>221</v>
      </c>
      <c r="F845" s="44" t="s">
        <v>463</v>
      </c>
      <c r="G845" s="46" t="s">
        <v>3217</v>
      </c>
    </row>
    <row r="846" spans="1:7" x14ac:dyDescent="0.35">
      <c r="A846" s="39" t="s">
        <v>3218</v>
      </c>
      <c r="B846" s="40" t="s">
        <v>1887</v>
      </c>
      <c r="C846" s="41" t="s">
        <v>3203</v>
      </c>
      <c r="D846" s="40" t="s">
        <v>3219</v>
      </c>
      <c r="E846" s="40" t="s">
        <v>221</v>
      </c>
      <c r="F846" s="40" t="s">
        <v>463</v>
      </c>
      <c r="G846" s="42" t="s">
        <v>3220</v>
      </c>
    </row>
    <row r="847" spans="1:7" x14ac:dyDescent="0.35">
      <c r="A847" s="43" t="s">
        <v>3221</v>
      </c>
      <c r="B847" s="44" t="s">
        <v>1887</v>
      </c>
      <c r="C847" s="45" t="s">
        <v>3203</v>
      </c>
      <c r="D847" s="44" t="s">
        <v>296</v>
      </c>
      <c r="E847" s="44" t="s">
        <v>221</v>
      </c>
      <c r="F847" s="44" t="s">
        <v>463</v>
      </c>
      <c r="G847" s="46" t="s">
        <v>3222</v>
      </c>
    </row>
    <row r="848" spans="1:7" x14ac:dyDescent="0.35">
      <c r="A848" s="39" t="s">
        <v>3223</v>
      </c>
      <c r="B848" s="40" t="s">
        <v>1887</v>
      </c>
      <c r="C848" s="41" t="s">
        <v>3203</v>
      </c>
      <c r="D848" s="40" t="s">
        <v>3224</v>
      </c>
      <c r="E848" s="40" t="s">
        <v>221</v>
      </c>
      <c r="F848" s="40" t="s">
        <v>463</v>
      </c>
      <c r="G848" s="42" t="s">
        <v>3225</v>
      </c>
    </row>
    <row r="849" spans="1:7" x14ac:dyDescent="0.35">
      <c r="A849" s="43" t="s">
        <v>3226</v>
      </c>
      <c r="B849" s="44" t="s">
        <v>1921</v>
      </c>
      <c r="C849" s="45" t="s">
        <v>3227</v>
      </c>
      <c r="D849" s="44" t="s">
        <v>3228</v>
      </c>
      <c r="E849" s="44" t="s">
        <v>463</v>
      </c>
      <c r="F849" s="44" t="s">
        <v>463</v>
      </c>
      <c r="G849" s="46" t="s">
        <v>3229</v>
      </c>
    </row>
    <row r="850" spans="1:7" x14ac:dyDescent="0.35">
      <c r="A850" s="39" t="s">
        <v>3230</v>
      </c>
      <c r="B850" s="40" t="s">
        <v>1921</v>
      </c>
      <c r="C850" s="41" t="s">
        <v>3227</v>
      </c>
      <c r="D850" s="40" t="s">
        <v>3231</v>
      </c>
      <c r="E850" s="40" t="s">
        <v>463</v>
      </c>
      <c r="F850" s="40" t="s">
        <v>463</v>
      </c>
      <c r="G850" s="42" t="s">
        <v>3232</v>
      </c>
    </row>
    <row r="851" spans="1:7" x14ac:dyDescent="0.35">
      <c r="A851" s="43" t="s">
        <v>3233</v>
      </c>
      <c r="B851" s="44" t="s">
        <v>1741</v>
      </c>
      <c r="C851" s="45" t="s">
        <v>3234</v>
      </c>
      <c r="D851" s="44" t="s">
        <v>359</v>
      </c>
      <c r="E851" s="44" t="s">
        <v>296</v>
      </c>
      <c r="F851" s="44" t="s">
        <v>433</v>
      </c>
      <c r="G851" s="46" t="s">
        <v>3235</v>
      </c>
    </row>
    <row r="852" spans="1:7" x14ac:dyDescent="0.35">
      <c r="A852" s="39" t="s">
        <v>3236</v>
      </c>
      <c r="B852" s="40" t="s">
        <v>1741</v>
      </c>
      <c r="C852" s="41" t="s">
        <v>3234</v>
      </c>
      <c r="D852" s="40" t="s">
        <v>3237</v>
      </c>
      <c r="E852" s="40" t="s">
        <v>296</v>
      </c>
      <c r="F852" s="40" t="s">
        <v>433</v>
      </c>
      <c r="G852" s="42" t="s">
        <v>3238</v>
      </c>
    </row>
    <row r="853" spans="1:7" x14ac:dyDescent="0.35">
      <c r="A853" s="43" t="s">
        <v>3239</v>
      </c>
      <c r="B853" s="44" t="s">
        <v>1741</v>
      </c>
      <c r="C853" s="45" t="s">
        <v>3234</v>
      </c>
      <c r="D853" s="44" t="s">
        <v>3240</v>
      </c>
      <c r="E853" s="44" t="s">
        <v>296</v>
      </c>
      <c r="F853" s="44" t="s">
        <v>433</v>
      </c>
      <c r="G853" s="46" t="s">
        <v>3241</v>
      </c>
    </row>
    <row r="854" spans="1:7" x14ac:dyDescent="0.35">
      <c r="A854" s="39" t="s">
        <v>3242</v>
      </c>
      <c r="B854" s="40" t="s">
        <v>1741</v>
      </c>
      <c r="C854" s="41" t="s">
        <v>3234</v>
      </c>
      <c r="D854" s="40" t="s">
        <v>255</v>
      </c>
      <c r="E854" s="40" t="s">
        <v>296</v>
      </c>
      <c r="F854" s="40" t="s">
        <v>433</v>
      </c>
      <c r="G854" s="42" t="s">
        <v>3243</v>
      </c>
    </row>
    <row r="855" spans="1:7" x14ac:dyDescent="0.35">
      <c r="A855" s="43" t="s">
        <v>3244</v>
      </c>
      <c r="B855" s="44" t="s">
        <v>1741</v>
      </c>
      <c r="C855" s="45" t="s">
        <v>3234</v>
      </c>
      <c r="D855" s="44" t="s">
        <v>451</v>
      </c>
      <c r="E855" s="44" t="s">
        <v>296</v>
      </c>
      <c r="F855" s="44" t="s">
        <v>433</v>
      </c>
      <c r="G855" s="46" t="s">
        <v>3245</v>
      </c>
    </row>
    <row r="856" spans="1:7" x14ac:dyDescent="0.35">
      <c r="A856" s="39" t="s">
        <v>3246</v>
      </c>
      <c r="B856" s="40" t="s">
        <v>1741</v>
      </c>
      <c r="C856" s="41" t="s">
        <v>3234</v>
      </c>
      <c r="D856" s="40" t="s">
        <v>3247</v>
      </c>
      <c r="E856" s="40" t="s">
        <v>296</v>
      </c>
      <c r="F856" s="40" t="s">
        <v>433</v>
      </c>
      <c r="G856" s="42" t="s">
        <v>3248</v>
      </c>
    </row>
    <row r="857" spans="1:7" x14ac:dyDescent="0.35">
      <c r="A857" s="43" t="s">
        <v>3249</v>
      </c>
      <c r="B857" s="44" t="s">
        <v>1741</v>
      </c>
      <c r="C857" s="45" t="s">
        <v>3234</v>
      </c>
      <c r="D857" s="44" t="s">
        <v>3250</v>
      </c>
      <c r="E857" s="44" t="s">
        <v>296</v>
      </c>
      <c r="F857" s="44" t="s">
        <v>433</v>
      </c>
      <c r="G857" s="46" t="s">
        <v>3251</v>
      </c>
    </row>
    <row r="858" spans="1:7" x14ac:dyDescent="0.35">
      <c r="A858" s="39" t="s">
        <v>3252</v>
      </c>
      <c r="B858" s="40" t="s">
        <v>1741</v>
      </c>
      <c r="C858" s="41" t="s">
        <v>3234</v>
      </c>
      <c r="D858" s="40" t="s">
        <v>3253</v>
      </c>
      <c r="E858" s="40" t="s">
        <v>296</v>
      </c>
      <c r="F858" s="40" t="s">
        <v>433</v>
      </c>
      <c r="G858" s="42" t="s">
        <v>3254</v>
      </c>
    </row>
    <row r="859" spans="1:7" x14ac:dyDescent="0.35">
      <c r="A859" s="43" t="s">
        <v>3255</v>
      </c>
      <c r="B859" s="44" t="s">
        <v>1741</v>
      </c>
      <c r="C859" s="45" t="s">
        <v>3234</v>
      </c>
      <c r="D859" s="44" t="s">
        <v>3256</v>
      </c>
      <c r="E859" s="44" t="s">
        <v>296</v>
      </c>
      <c r="F859" s="44" t="s">
        <v>433</v>
      </c>
      <c r="G859" s="46" t="s">
        <v>3257</v>
      </c>
    </row>
    <row r="860" spans="1:7" x14ac:dyDescent="0.35">
      <c r="A860" s="39" t="s">
        <v>3258</v>
      </c>
      <c r="B860" s="40" t="s">
        <v>1741</v>
      </c>
      <c r="C860" s="41" t="s">
        <v>3234</v>
      </c>
      <c r="D860" s="40" t="s">
        <v>3259</v>
      </c>
      <c r="E860" s="40" t="s">
        <v>296</v>
      </c>
      <c r="F860" s="40" t="s">
        <v>433</v>
      </c>
      <c r="G860" s="42" t="s">
        <v>3260</v>
      </c>
    </row>
    <row r="861" spans="1:7" x14ac:dyDescent="0.35">
      <c r="A861" s="43" t="s">
        <v>3261</v>
      </c>
      <c r="B861" s="44" t="s">
        <v>1741</v>
      </c>
      <c r="C861" s="45" t="s">
        <v>3234</v>
      </c>
      <c r="D861" s="44" t="s">
        <v>3262</v>
      </c>
      <c r="E861" s="44" t="s">
        <v>296</v>
      </c>
      <c r="F861" s="44" t="s">
        <v>433</v>
      </c>
      <c r="G861" s="46" t="s">
        <v>3263</v>
      </c>
    </row>
    <row r="862" spans="1:7" x14ac:dyDescent="0.35">
      <c r="A862" s="39" t="s">
        <v>3264</v>
      </c>
      <c r="B862" s="40" t="s">
        <v>1741</v>
      </c>
      <c r="C862" s="41" t="s">
        <v>3234</v>
      </c>
      <c r="D862" s="40" t="s">
        <v>3265</v>
      </c>
      <c r="E862" s="40" t="s">
        <v>296</v>
      </c>
      <c r="F862" s="40" t="s">
        <v>433</v>
      </c>
      <c r="G862" s="42" t="s">
        <v>3266</v>
      </c>
    </row>
    <row r="863" spans="1:7" x14ac:dyDescent="0.35">
      <c r="A863" s="43" t="s">
        <v>3267</v>
      </c>
      <c r="B863" s="44" t="s">
        <v>1741</v>
      </c>
      <c r="C863" s="45" t="s">
        <v>3234</v>
      </c>
      <c r="D863" s="44" t="s">
        <v>3268</v>
      </c>
      <c r="E863" s="44" t="s">
        <v>296</v>
      </c>
      <c r="F863" s="44" t="s">
        <v>433</v>
      </c>
      <c r="G863" s="46" t="s">
        <v>3269</v>
      </c>
    </row>
    <row r="864" spans="1:7" x14ac:dyDescent="0.35">
      <c r="A864" s="39" t="s">
        <v>3270</v>
      </c>
      <c r="B864" s="40" t="s">
        <v>1741</v>
      </c>
      <c r="C864" s="41" t="s">
        <v>3234</v>
      </c>
      <c r="D864" s="40" t="s">
        <v>3271</v>
      </c>
      <c r="E864" s="40" t="s">
        <v>296</v>
      </c>
      <c r="F864" s="40" t="s">
        <v>433</v>
      </c>
      <c r="G864" s="42" t="s">
        <v>3272</v>
      </c>
    </row>
    <row r="865" spans="1:7" x14ac:dyDescent="0.35">
      <c r="A865" s="43" t="s">
        <v>3273</v>
      </c>
      <c r="B865" s="44" t="s">
        <v>1741</v>
      </c>
      <c r="C865" s="45" t="s">
        <v>3234</v>
      </c>
      <c r="D865" s="44" t="s">
        <v>3274</v>
      </c>
      <c r="E865" s="44" t="s">
        <v>296</v>
      </c>
      <c r="F865" s="44" t="s">
        <v>433</v>
      </c>
      <c r="G865" s="46" t="s">
        <v>3275</v>
      </c>
    </row>
    <row r="866" spans="1:7" x14ac:dyDescent="0.35">
      <c r="A866" s="39" t="s">
        <v>3276</v>
      </c>
      <c r="B866" s="40" t="s">
        <v>1741</v>
      </c>
      <c r="C866" s="41" t="s">
        <v>3234</v>
      </c>
      <c r="D866" s="40" t="s">
        <v>3277</v>
      </c>
      <c r="E866" s="40" t="s">
        <v>296</v>
      </c>
      <c r="F866" s="40" t="s">
        <v>433</v>
      </c>
      <c r="G866" s="42" t="s">
        <v>3278</v>
      </c>
    </row>
    <row r="867" spans="1:7" x14ac:dyDescent="0.35">
      <c r="A867" s="43" t="s">
        <v>3279</v>
      </c>
      <c r="B867" s="44" t="s">
        <v>1741</v>
      </c>
      <c r="C867" s="45" t="s">
        <v>3234</v>
      </c>
      <c r="D867" s="44" t="s">
        <v>3280</v>
      </c>
      <c r="E867" s="44" t="s">
        <v>296</v>
      </c>
      <c r="F867" s="44" t="s">
        <v>433</v>
      </c>
      <c r="G867" s="46" t="s">
        <v>3281</v>
      </c>
    </row>
    <row r="868" spans="1:7" x14ac:dyDescent="0.35">
      <c r="A868" s="39" t="s">
        <v>3282</v>
      </c>
      <c r="B868" s="40" t="s">
        <v>1741</v>
      </c>
      <c r="C868" s="41" t="s">
        <v>3234</v>
      </c>
      <c r="D868" s="40" t="s">
        <v>3283</v>
      </c>
      <c r="E868" s="40" t="s">
        <v>296</v>
      </c>
      <c r="F868" s="40" t="s">
        <v>433</v>
      </c>
      <c r="G868" s="42" t="s">
        <v>3284</v>
      </c>
    </row>
    <row r="869" spans="1:7" x14ac:dyDescent="0.35">
      <c r="A869" s="43" t="s">
        <v>3285</v>
      </c>
      <c r="B869" s="44" t="s">
        <v>1741</v>
      </c>
      <c r="C869" s="45" t="s">
        <v>3234</v>
      </c>
      <c r="D869" s="44" t="s">
        <v>3286</v>
      </c>
      <c r="E869" s="44" t="s">
        <v>296</v>
      </c>
      <c r="F869" s="44" t="s">
        <v>433</v>
      </c>
      <c r="G869" s="46" t="s">
        <v>3287</v>
      </c>
    </row>
    <row r="870" spans="1:7" x14ac:dyDescent="0.35">
      <c r="A870" s="39" t="s">
        <v>3288</v>
      </c>
      <c r="B870" s="40" t="s">
        <v>1741</v>
      </c>
      <c r="C870" s="41" t="s">
        <v>3234</v>
      </c>
      <c r="D870" s="40" t="s">
        <v>3289</v>
      </c>
      <c r="E870" s="40" t="s">
        <v>296</v>
      </c>
      <c r="F870" s="40" t="s">
        <v>433</v>
      </c>
      <c r="G870" s="42" t="s">
        <v>3290</v>
      </c>
    </row>
    <row r="871" spans="1:7" x14ac:dyDescent="0.35">
      <c r="A871" s="43" t="s">
        <v>3291</v>
      </c>
      <c r="B871" s="44" t="s">
        <v>1741</v>
      </c>
      <c r="C871" s="45" t="s">
        <v>3234</v>
      </c>
      <c r="D871" s="44" t="s">
        <v>3292</v>
      </c>
      <c r="E871" s="44" t="s">
        <v>296</v>
      </c>
      <c r="F871" s="44" t="s">
        <v>433</v>
      </c>
      <c r="G871" s="46" t="s">
        <v>3293</v>
      </c>
    </row>
    <row r="872" spans="1:7" x14ac:dyDescent="0.35">
      <c r="A872" s="39" t="s">
        <v>3294</v>
      </c>
      <c r="B872" s="40" t="s">
        <v>1741</v>
      </c>
      <c r="C872" s="41" t="s">
        <v>3234</v>
      </c>
      <c r="D872" s="40" t="s">
        <v>3295</v>
      </c>
      <c r="E872" s="40" t="s">
        <v>296</v>
      </c>
      <c r="F872" s="40" t="s">
        <v>433</v>
      </c>
      <c r="G872" s="42" t="s">
        <v>3296</v>
      </c>
    </row>
    <row r="873" spans="1:7" x14ac:dyDescent="0.35">
      <c r="A873" s="43" t="s">
        <v>3297</v>
      </c>
      <c r="B873" s="44" t="s">
        <v>1741</v>
      </c>
      <c r="C873" s="45" t="s">
        <v>3234</v>
      </c>
      <c r="D873" s="44" t="s">
        <v>3298</v>
      </c>
      <c r="E873" s="44" t="s">
        <v>296</v>
      </c>
      <c r="F873" s="44" t="s">
        <v>433</v>
      </c>
      <c r="G873" s="46" t="s">
        <v>3299</v>
      </c>
    </row>
    <row r="874" spans="1:7" x14ac:dyDescent="0.35">
      <c r="A874" s="39" t="s">
        <v>3300</v>
      </c>
      <c r="B874" s="40" t="s">
        <v>1741</v>
      </c>
      <c r="C874" s="41" t="s">
        <v>3234</v>
      </c>
      <c r="D874" s="40" t="s">
        <v>3301</v>
      </c>
      <c r="E874" s="40" t="s">
        <v>296</v>
      </c>
      <c r="F874" s="40" t="s">
        <v>433</v>
      </c>
      <c r="G874" s="42" t="s">
        <v>3302</v>
      </c>
    </row>
    <row r="875" spans="1:7" x14ac:dyDescent="0.35">
      <c r="A875" s="43" t="s">
        <v>3303</v>
      </c>
      <c r="B875" s="44" t="s">
        <v>1741</v>
      </c>
      <c r="C875" s="45" t="s">
        <v>3234</v>
      </c>
      <c r="D875" s="44" t="s">
        <v>3304</v>
      </c>
      <c r="E875" s="44" t="s">
        <v>296</v>
      </c>
      <c r="F875" s="44" t="s">
        <v>433</v>
      </c>
      <c r="G875" s="46" t="s">
        <v>3305</v>
      </c>
    </row>
    <row r="876" spans="1:7" x14ac:dyDescent="0.35">
      <c r="A876" s="39" t="s">
        <v>3306</v>
      </c>
      <c r="B876" s="40" t="s">
        <v>1741</v>
      </c>
      <c r="C876" s="41" t="s">
        <v>3234</v>
      </c>
      <c r="D876" s="40" t="s">
        <v>3307</v>
      </c>
      <c r="E876" s="40" t="s">
        <v>296</v>
      </c>
      <c r="F876" s="40" t="s">
        <v>433</v>
      </c>
      <c r="G876" s="42" t="s">
        <v>3308</v>
      </c>
    </row>
    <row r="877" spans="1:7" x14ac:dyDescent="0.35">
      <c r="A877" s="43" t="s">
        <v>3309</v>
      </c>
      <c r="B877" s="44" t="s">
        <v>1741</v>
      </c>
      <c r="C877" s="45" t="s">
        <v>3234</v>
      </c>
      <c r="D877" s="44" t="s">
        <v>416</v>
      </c>
      <c r="E877" s="44" t="s">
        <v>296</v>
      </c>
      <c r="F877" s="44" t="s">
        <v>433</v>
      </c>
      <c r="G877" s="46" t="s">
        <v>3310</v>
      </c>
    </row>
    <row r="878" spans="1:7" x14ac:dyDescent="0.35">
      <c r="A878" s="39" t="s">
        <v>3311</v>
      </c>
      <c r="B878" s="40" t="s">
        <v>1741</v>
      </c>
      <c r="C878" s="41" t="s">
        <v>3234</v>
      </c>
      <c r="D878" s="40" t="s">
        <v>3312</v>
      </c>
      <c r="E878" s="40" t="s">
        <v>296</v>
      </c>
      <c r="F878" s="40" t="s">
        <v>433</v>
      </c>
      <c r="G878" s="42" t="s">
        <v>3313</v>
      </c>
    </row>
    <row r="879" spans="1:7" x14ac:dyDescent="0.35">
      <c r="A879" s="43" t="s">
        <v>3314</v>
      </c>
      <c r="B879" s="44" t="s">
        <v>1741</v>
      </c>
      <c r="C879" s="45" t="s">
        <v>3234</v>
      </c>
      <c r="D879" s="44" t="s">
        <v>3315</v>
      </c>
      <c r="E879" s="44" t="s">
        <v>296</v>
      </c>
      <c r="F879" s="44" t="s">
        <v>433</v>
      </c>
      <c r="G879" s="46" t="s">
        <v>3316</v>
      </c>
    </row>
    <row r="880" spans="1:7" x14ac:dyDescent="0.35">
      <c r="A880" s="39" t="s">
        <v>3317</v>
      </c>
      <c r="B880" s="40" t="s">
        <v>1741</v>
      </c>
      <c r="C880" s="41" t="s">
        <v>3234</v>
      </c>
      <c r="D880" s="40" t="s">
        <v>3318</v>
      </c>
      <c r="E880" s="40" t="s">
        <v>296</v>
      </c>
      <c r="F880" s="40" t="s">
        <v>433</v>
      </c>
      <c r="G880" s="42" t="s">
        <v>3319</v>
      </c>
    </row>
    <row r="881" spans="1:7" x14ac:dyDescent="0.35">
      <c r="A881" s="43" t="s">
        <v>3320</v>
      </c>
      <c r="B881" s="44" t="s">
        <v>1741</v>
      </c>
      <c r="C881" s="45" t="s">
        <v>3234</v>
      </c>
      <c r="D881" s="44" t="s">
        <v>3321</v>
      </c>
      <c r="E881" s="44" t="s">
        <v>296</v>
      </c>
      <c r="F881" s="44" t="s">
        <v>433</v>
      </c>
      <c r="G881" s="46" t="s">
        <v>3322</v>
      </c>
    </row>
    <row r="882" spans="1:7" x14ac:dyDescent="0.35">
      <c r="A882" s="39" t="s">
        <v>3323</v>
      </c>
      <c r="B882" s="40" t="s">
        <v>1741</v>
      </c>
      <c r="C882" s="41" t="s">
        <v>3234</v>
      </c>
      <c r="D882" s="40" t="s">
        <v>3324</v>
      </c>
      <c r="E882" s="40" t="s">
        <v>296</v>
      </c>
      <c r="F882" s="40" t="s">
        <v>433</v>
      </c>
      <c r="G882" s="42" t="s">
        <v>3325</v>
      </c>
    </row>
    <row r="883" spans="1:7" x14ac:dyDescent="0.35">
      <c r="A883" s="43" t="s">
        <v>3326</v>
      </c>
      <c r="B883" s="44" t="s">
        <v>1741</v>
      </c>
      <c r="C883" s="45" t="s">
        <v>3234</v>
      </c>
      <c r="D883" s="44" t="s">
        <v>3327</v>
      </c>
      <c r="E883" s="44" t="s">
        <v>296</v>
      </c>
      <c r="F883" s="44" t="s">
        <v>433</v>
      </c>
      <c r="G883" s="46" t="s">
        <v>3328</v>
      </c>
    </row>
    <row r="884" spans="1:7" x14ac:dyDescent="0.35">
      <c r="A884" s="39" t="s">
        <v>3329</v>
      </c>
      <c r="B884" s="40" t="s">
        <v>1741</v>
      </c>
      <c r="C884" s="41" t="s">
        <v>3234</v>
      </c>
      <c r="D884" s="40" t="s">
        <v>3330</v>
      </c>
      <c r="E884" s="40" t="s">
        <v>296</v>
      </c>
      <c r="F884" s="40" t="s">
        <v>433</v>
      </c>
      <c r="G884" s="42" t="s">
        <v>3331</v>
      </c>
    </row>
    <row r="885" spans="1:7" x14ac:dyDescent="0.35">
      <c r="A885" s="43" t="s">
        <v>3332</v>
      </c>
      <c r="B885" s="44" t="s">
        <v>1741</v>
      </c>
      <c r="C885" s="45" t="s">
        <v>3234</v>
      </c>
      <c r="D885" s="44" t="s">
        <v>3333</v>
      </c>
      <c r="E885" s="44" t="s">
        <v>296</v>
      </c>
      <c r="F885" s="44" t="s">
        <v>433</v>
      </c>
      <c r="G885" s="46" t="s">
        <v>3334</v>
      </c>
    </row>
    <row r="886" spans="1:7" x14ac:dyDescent="0.35">
      <c r="A886" s="39" t="s">
        <v>3335</v>
      </c>
      <c r="B886" s="40" t="s">
        <v>1741</v>
      </c>
      <c r="C886" s="41" t="s">
        <v>3234</v>
      </c>
      <c r="D886" s="40" t="s">
        <v>3336</v>
      </c>
      <c r="E886" s="40" t="s">
        <v>296</v>
      </c>
      <c r="F886" s="40" t="s">
        <v>433</v>
      </c>
      <c r="G886" s="42" t="s">
        <v>3337</v>
      </c>
    </row>
    <row r="887" spans="1:7" x14ac:dyDescent="0.35">
      <c r="A887" s="43" t="s">
        <v>3338</v>
      </c>
      <c r="B887" s="44" t="s">
        <v>1741</v>
      </c>
      <c r="C887" s="45" t="s">
        <v>3234</v>
      </c>
      <c r="D887" s="44" t="s">
        <v>3339</v>
      </c>
      <c r="E887" s="44" t="s">
        <v>296</v>
      </c>
      <c r="F887" s="44" t="s">
        <v>433</v>
      </c>
      <c r="G887" s="46" t="s">
        <v>3340</v>
      </c>
    </row>
    <row r="888" spans="1:7" x14ac:dyDescent="0.35">
      <c r="A888" s="39" t="s">
        <v>3341</v>
      </c>
      <c r="B888" s="40" t="s">
        <v>1741</v>
      </c>
      <c r="C888" s="41" t="s">
        <v>3234</v>
      </c>
      <c r="D888" s="40" t="s">
        <v>3342</v>
      </c>
      <c r="E888" s="40" t="s">
        <v>296</v>
      </c>
      <c r="F888" s="40" t="s">
        <v>433</v>
      </c>
      <c r="G888" s="42" t="s">
        <v>3343</v>
      </c>
    </row>
    <row r="889" spans="1:7" x14ac:dyDescent="0.35">
      <c r="A889" s="43" t="s">
        <v>3344</v>
      </c>
      <c r="B889" s="44" t="s">
        <v>1741</v>
      </c>
      <c r="C889" s="45" t="s">
        <v>3234</v>
      </c>
      <c r="D889" s="44" t="s">
        <v>3345</v>
      </c>
      <c r="E889" s="44" t="s">
        <v>296</v>
      </c>
      <c r="F889" s="44" t="s">
        <v>433</v>
      </c>
      <c r="G889" s="46" t="s">
        <v>3346</v>
      </c>
    </row>
    <row r="890" spans="1:7" x14ac:dyDescent="0.35">
      <c r="A890" s="39" t="s">
        <v>3347</v>
      </c>
      <c r="B890" s="40" t="s">
        <v>1741</v>
      </c>
      <c r="C890" s="41" t="s">
        <v>3234</v>
      </c>
      <c r="D890" s="40" t="s">
        <v>3348</v>
      </c>
      <c r="E890" s="40" t="s">
        <v>296</v>
      </c>
      <c r="F890" s="40" t="s">
        <v>433</v>
      </c>
      <c r="G890" s="42" t="s">
        <v>3349</v>
      </c>
    </row>
    <row r="891" spans="1:7" x14ac:dyDescent="0.35">
      <c r="A891" s="43" t="s">
        <v>3350</v>
      </c>
      <c r="B891" s="44" t="s">
        <v>1741</v>
      </c>
      <c r="C891" s="45" t="s">
        <v>3234</v>
      </c>
      <c r="D891" s="44" t="s">
        <v>3351</v>
      </c>
      <c r="E891" s="44" t="s">
        <v>296</v>
      </c>
      <c r="F891" s="44" t="s">
        <v>433</v>
      </c>
      <c r="G891" s="46" t="s">
        <v>3352</v>
      </c>
    </row>
    <row r="892" spans="1:7" x14ac:dyDescent="0.35">
      <c r="A892" s="39" t="s">
        <v>3353</v>
      </c>
      <c r="B892" s="40" t="s">
        <v>1741</v>
      </c>
      <c r="C892" s="41" t="s">
        <v>3234</v>
      </c>
      <c r="D892" s="40" t="s">
        <v>3354</v>
      </c>
      <c r="E892" s="40" t="s">
        <v>296</v>
      </c>
      <c r="F892" s="40" t="s">
        <v>433</v>
      </c>
      <c r="G892" s="42" t="s">
        <v>3355</v>
      </c>
    </row>
    <row r="893" spans="1:7" x14ac:dyDescent="0.35">
      <c r="A893" s="43" t="s">
        <v>3356</v>
      </c>
      <c r="B893" s="44" t="s">
        <v>1741</v>
      </c>
      <c r="C893" s="45" t="s">
        <v>3234</v>
      </c>
      <c r="D893" s="44" t="s">
        <v>3357</v>
      </c>
      <c r="E893" s="44" t="s">
        <v>296</v>
      </c>
      <c r="F893" s="44" t="s">
        <v>433</v>
      </c>
      <c r="G893" s="46" t="s">
        <v>3358</v>
      </c>
    </row>
    <row r="894" spans="1:7" x14ac:dyDescent="0.35">
      <c r="A894" s="39" t="s">
        <v>3359</v>
      </c>
      <c r="B894" s="40" t="s">
        <v>1741</v>
      </c>
      <c r="C894" s="41" t="s">
        <v>3234</v>
      </c>
      <c r="D894" s="40" t="s">
        <v>3360</v>
      </c>
      <c r="E894" s="40" t="s">
        <v>296</v>
      </c>
      <c r="F894" s="40" t="s">
        <v>433</v>
      </c>
      <c r="G894" s="42" t="s">
        <v>3361</v>
      </c>
    </row>
    <row r="895" spans="1:7" x14ac:dyDescent="0.35">
      <c r="A895" s="43" t="s">
        <v>3362</v>
      </c>
      <c r="B895" s="44" t="s">
        <v>1741</v>
      </c>
      <c r="C895" s="45" t="s">
        <v>3234</v>
      </c>
      <c r="D895" s="44" t="s">
        <v>3363</v>
      </c>
      <c r="E895" s="44" t="s">
        <v>296</v>
      </c>
      <c r="F895" s="44" t="s">
        <v>433</v>
      </c>
      <c r="G895" s="46" t="s">
        <v>3364</v>
      </c>
    </row>
    <row r="896" spans="1:7" x14ac:dyDescent="0.35">
      <c r="A896" s="39" t="s">
        <v>3365</v>
      </c>
      <c r="B896" s="40" t="s">
        <v>1741</v>
      </c>
      <c r="C896" s="41" t="s">
        <v>3234</v>
      </c>
      <c r="D896" s="40" t="s">
        <v>3366</v>
      </c>
      <c r="E896" s="40" t="s">
        <v>296</v>
      </c>
      <c r="F896" s="40" t="s">
        <v>433</v>
      </c>
      <c r="G896" s="42" t="s">
        <v>3367</v>
      </c>
    </row>
    <row r="897" spans="1:7" x14ac:dyDescent="0.35">
      <c r="A897" s="43" t="s">
        <v>3368</v>
      </c>
      <c r="B897" s="44" t="s">
        <v>1741</v>
      </c>
      <c r="C897" s="45" t="s">
        <v>3234</v>
      </c>
      <c r="D897" s="44" t="s">
        <v>3369</v>
      </c>
      <c r="E897" s="44" t="s">
        <v>296</v>
      </c>
      <c r="F897" s="44" t="s">
        <v>433</v>
      </c>
      <c r="G897" s="46" t="s">
        <v>3370</v>
      </c>
    </row>
    <row r="898" spans="1:7" x14ac:dyDescent="0.35">
      <c r="A898" s="39" t="s">
        <v>3371</v>
      </c>
      <c r="B898" s="40" t="s">
        <v>1741</v>
      </c>
      <c r="C898" s="41" t="s">
        <v>3234</v>
      </c>
      <c r="D898" s="40" t="s">
        <v>3372</v>
      </c>
      <c r="E898" s="40" t="s">
        <v>296</v>
      </c>
      <c r="F898" s="40" t="s">
        <v>433</v>
      </c>
      <c r="G898" s="42" t="s">
        <v>3373</v>
      </c>
    </row>
    <row r="899" spans="1:7" x14ac:dyDescent="0.35">
      <c r="A899" s="43" t="s">
        <v>3374</v>
      </c>
      <c r="B899" s="44" t="s">
        <v>1741</v>
      </c>
      <c r="C899" s="45" t="s">
        <v>3234</v>
      </c>
      <c r="D899" s="44" t="s">
        <v>3375</v>
      </c>
      <c r="E899" s="44" t="s">
        <v>296</v>
      </c>
      <c r="F899" s="44" t="s">
        <v>433</v>
      </c>
      <c r="G899" s="46" t="s">
        <v>3376</v>
      </c>
    </row>
    <row r="900" spans="1:7" x14ac:dyDescent="0.35">
      <c r="A900" s="39" t="s">
        <v>3377</v>
      </c>
      <c r="B900" s="40" t="s">
        <v>1741</v>
      </c>
      <c r="C900" s="41" t="s">
        <v>3234</v>
      </c>
      <c r="D900" s="40" t="s">
        <v>3378</v>
      </c>
      <c r="E900" s="40" t="s">
        <v>296</v>
      </c>
      <c r="F900" s="40" t="s">
        <v>433</v>
      </c>
      <c r="G900" s="42" t="s">
        <v>3379</v>
      </c>
    </row>
    <row r="901" spans="1:7" x14ac:dyDescent="0.35">
      <c r="A901" s="43" t="s">
        <v>3380</v>
      </c>
      <c r="B901" s="44" t="s">
        <v>1741</v>
      </c>
      <c r="C901" s="45" t="s">
        <v>3234</v>
      </c>
      <c r="D901" s="44" t="s">
        <v>3381</v>
      </c>
      <c r="E901" s="44" t="s">
        <v>296</v>
      </c>
      <c r="F901" s="44" t="s">
        <v>433</v>
      </c>
      <c r="G901" s="46" t="s">
        <v>3382</v>
      </c>
    </row>
    <row r="902" spans="1:7" x14ac:dyDescent="0.35">
      <c r="A902" s="39" t="s">
        <v>3383</v>
      </c>
      <c r="B902" s="40" t="s">
        <v>1741</v>
      </c>
      <c r="C902" s="41" t="s">
        <v>3234</v>
      </c>
      <c r="D902" s="40" t="s">
        <v>3384</v>
      </c>
      <c r="E902" s="40" t="s">
        <v>296</v>
      </c>
      <c r="F902" s="40" t="s">
        <v>433</v>
      </c>
      <c r="G902" s="42" t="s">
        <v>3385</v>
      </c>
    </row>
    <row r="903" spans="1:7" x14ac:dyDescent="0.35">
      <c r="A903" s="43" t="s">
        <v>3386</v>
      </c>
      <c r="B903" s="44" t="s">
        <v>1741</v>
      </c>
      <c r="C903" s="45" t="s">
        <v>3234</v>
      </c>
      <c r="D903" s="44" t="s">
        <v>3387</v>
      </c>
      <c r="E903" s="44" t="s">
        <v>296</v>
      </c>
      <c r="F903" s="44" t="s">
        <v>433</v>
      </c>
      <c r="G903" s="46" t="s">
        <v>3388</v>
      </c>
    </row>
    <row r="904" spans="1:7" x14ac:dyDescent="0.35">
      <c r="A904" s="39" t="s">
        <v>3389</v>
      </c>
      <c r="B904" s="40" t="s">
        <v>1741</v>
      </c>
      <c r="C904" s="41" t="s">
        <v>3234</v>
      </c>
      <c r="D904" s="40" t="s">
        <v>3390</v>
      </c>
      <c r="E904" s="40" t="s">
        <v>296</v>
      </c>
      <c r="F904" s="40" t="s">
        <v>433</v>
      </c>
      <c r="G904" s="42" t="s">
        <v>3391</v>
      </c>
    </row>
    <row r="905" spans="1:7" x14ac:dyDescent="0.35">
      <c r="A905" s="43" t="s">
        <v>3392</v>
      </c>
      <c r="B905" s="44" t="s">
        <v>1741</v>
      </c>
      <c r="C905" s="45" t="s">
        <v>3234</v>
      </c>
      <c r="D905" s="44" t="s">
        <v>3393</v>
      </c>
      <c r="E905" s="44" t="s">
        <v>296</v>
      </c>
      <c r="F905" s="44" t="s">
        <v>433</v>
      </c>
      <c r="G905" s="46" t="s">
        <v>3394</v>
      </c>
    </row>
    <row r="906" spans="1:7" x14ac:dyDescent="0.35">
      <c r="A906" s="39" t="s">
        <v>3395</v>
      </c>
      <c r="B906" s="40" t="s">
        <v>1741</v>
      </c>
      <c r="C906" s="41" t="s">
        <v>3234</v>
      </c>
      <c r="D906" s="40" t="s">
        <v>3396</v>
      </c>
      <c r="E906" s="40" t="s">
        <v>296</v>
      </c>
      <c r="F906" s="40" t="s">
        <v>433</v>
      </c>
      <c r="G906" s="42" t="s">
        <v>3397</v>
      </c>
    </row>
    <row r="907" spans="1:7" x14ac:dyDescent="0.35">
      <c r="A907" s="43" t="s">
        <v>3398</v>
      </c>
      <c r="B907" s="44" t="s">
        <v>1741</v>
      </c>
      <c r="C907" s="45" t="s">
        <v>3234</v>
      </c>
      <c r="D907" s="44" t="s">
        <v>3399</v>
      </c>
      <c r="E907" s="44" t="s">
        <v>296</v>
      </c>
      <c r="F907" s="44" t="s">
        <v>433</v>
      </c>
      <c r="G907" s="46" t="s">
        <v>3400</v>
      </c>
    </row>
    <row r="908" spans="1:7" x14ac:dyDescent="0.35">
      <c r="A908" s="39" t="s">
        <v>3401</v>
      </c>
      <c r="B908" s="40" t="s">
        <v>1741</v>
      </c>
      <c r="C908" s="41" t="s">
        <v>3234</v>
      </c>
      <c r="D908" s="40" t="s">
        <v>3402</v>
      </c>
      <c r="E908" s="40" t="s">
        <v>296</v>
      </c>
      <c r="F908" s="40" t="s">
        <v>433</v>
      </c>
      <c r="G908" s="42" t="s">
        <v>3403</v>
      </c>
    </row>
    <row r="909" spans="1:7" x14ac:dyDescent="0.35">
      <c r="A909" s="43" t="s">
        <v>3404</v>
      </c>
      <c r="B909" s="44" t="s">
        <v>1741</v>
      </c>
      <c r="C909" s="45" t="s">
        <v>3234</v>
      </c>
      <c r="D909" s="44" t="s">
        <v>3405</v>
      </c>
      <c r="E909" s="44" t="s">
        <v>296</v>
      </c>
      <c r="F909" s="44" t="s">
        <v>433</v>
      </c>
      <c r="G909" s="46" t="s">
        <v>3406</v>
      </c>
    </row>
    <row r="910" spans="1:7" x14ac:dyDescent="0.35">
      <c r="A910" s="39" t="s">
        <v>3407</v>
      </c>
      <c r="B910" s="40" t="s">
        <v>1741</v>
      </c>
      <c r="C910" s="41" t="s">
        <v>3234</v>
      </c>
      <c r="D910" s="40" t="s">
        <v>3408</v>
      </c>
      <c r="E910" s="40" t="s">
        <v>296</v>
      </c>
      <c r="F910" s="40" t="s">
        <v>433</v>
      </c>
      <c r="G910" s="42" t="s">
        <v>3409</v>
      </c>
    </row>
    <row r="911" spans="1:7" x14ac:dyDescent="0.35">
      <c r="A911" s="43" t="s">
        <v>3410</v>
      </c>
      <c r="B911" s="44" t="s">
        <v>1741</v>
      </c>
      <c r="C911" s="45" t="s">
        <v>3234</v>
      </c>
      <c r="D911" s="44" t="s">
        <v>422</v>
      </c>
      <c r="E911" s="44" t="s">
        <v>296</v>
      </c>
      <c r="F911" s="44" t="s">
        <v>433</v>
      </c>
      <c r="G911" s="46" t="s">
        <v>3411</v>
      </c>
    </row>
    <row r="912" spans="1:7" x14ac:dyDescent="0.35">
      <c r="A912" s="39" t="s">
        <v>3412</v>
      </c>
      <c r="B912" s="40" t="s">
        <v>1741</v>
      </c>
      <c r="C912" s="41" t="s">
        <v>3234</v>
      </c>
      <c r="D912" s="40" t="s">
        <v>3413</v>
      </c>
      <c r="E912" s="40" t="s">
        <v>296</v>
      </c>
      <c r="F912" s="40" t="s">
        <v>433</v>
      </c>
      <c r="G912" s="42" t="s">
        <v>3414</v>
      </c>
    </row>
    <row r="913" spans="1:7" x14ac:dyDescent="0.35">
      <c r="A913" s="43" t="s">
        <v>3415</v>
      </c>
      <c r="B913" s="44" t="s">
        <v>1741</v>
      </c>
      <c r="C913" s="45" t="s">
        <v>3234</v>
      </c>
      <c r="D913" s="44" t="s">
        <v>3416</v>
      </c>
      <c r="E913" s="44" t="s">
        <v>296</v>
      </c>
      <c r="F913" s="44" t="s">
        <v>433</v>
      </c>
      <c r="G913" s="46" t="s">
        <v>3417</v>
      </c>
    </row>
    <row r="914" spans="1:7" x14ac:dyDescent="0.35">
      <c r="A914" s="39" t="s">
        <v>3418</v>
      </c>
      <c r="B914" s="40" t="s">
        <v>1741</v>
      </c>
      <c r="C914" s="41" t="s">
        <v>3234</v>
      </c>
      <c r="D914" s="40" t="s">
        <v>3419</v>
      </c>
      <c r="E914" s="40" t="s">
        <v>296</v>
      </c>
      <c r="F914" s="40" t="s">
        <v>433</v>
      </c>
      <c r="G914" s="42" t="s">
        <v>3420</v>
      </c>
    </row>
    <row r="915" spans="1:7" x14ac:dyDescent="0.35">
      <c r="A915" s="43" t="s">
        <v>3421</v>
      </c>
      <c r="B915" s="44" t="s">
        <v>1741</v>
      </c>
      <c r="C915" s="45" t="s">
        <v>3234</v>
      </c>
      <c r="D915" s="44" t="s">
        <v>3422</v>
      </c>
      <c r="E915" s="44" t="s">
        <v>296</v>
      </c>
      <c r="F915" s="44" t="s">
        <v>433</v>
      </c>
      <c r="G915" s="46" t="s">
        <v>3423</v>
      </c>
    </row>
    <row r="916" spans="1:7" x14ac:dyDescent="0.35">
      <c r="A916" s="39" t="s">
        <v>3424</v>
      </c>
      <c r="B916" s="40" t="s">
        <v>1741</v>
      </c>
      <c r="C916" s="41" t="s">
        <v>3234</v>
      </c>
      <c r="D916" s="40" t="s">
        <v>3425</v>
      </c>
      <c r="E916" s="40" t="s">
        <v>296</v>
      </c>
      <c r="F916" s="40" t="s">
        <v>433</v>
      </c>
      <c r="G916" s="42" t="s">
        <v>3426</v>
      </c>
    </row>
    <row r="917" spans="1:7" x14ac:dyDescent="0.35">
      <c r="A917" s="43" t="s">
        <v>3427</v>
      </c>
      <c r="B917" s="44" t="s">
        <v>1741</v>
      </c>
      <c r="C917" s="45" t="s">
        <v>3234</v>
      </c>
      <c r="D917" s="44" t="s">
        <v>3428</v>
      </c>
      <c r="E917" s="44" t="s">
        <v>296</v>
      </c>
      <c r="F917" s="44" t="s">
        <v>433</v>
      </c>
      <c r="G917" s="46" t="s">
        <v>3429</v>
      </c>
    </row>
    <row r="918" spans="1:7" x14ac:dyDescent="0.35">
      <c r="A918" s="39" t="s">
        <v>3430</v>
      </c>
      <c r="B918" s="40" t="s">
        <v>1741</v>
      </c>
      <c r="C918" s="41" t="s">
        <v>3234</v>
      </c>
      <c r="D918" s="40" t="s">
        <v>3431</v>
      </c>
      <c r="E918" s="40" t="s">
        <v>296</v>
      </c>
      <c r="F918" s="40" t="s">
        <v>433</v>
      </c>
      <c r="G918" s="42" t="s">
        <v>3432</v>
      </c>
    </row>
    <row r="919" spans="1:7" x14ac:dyDescent="0.35">
      <c r="A919" s="43" t="s">
        <v>3433</v>
      </c>
      <c r="B919" s="44" t="s">
        <v>1741</v>
      </c>
      <c r="C919" s="45" t="s">
        <v>3234</v>
      </c>
      <c r="D919" s="44" t="s">
        <v>3434</v>
      </c>
      <c r="E919" s="44" t="s">
        <v>296</v>
      </c>
      <c r="F919" s="44" t="s">
        <v>433</v>
      </c>
      <c r="G919" s="46" t="s">
        <v>3435</v>
      </c>
    </row>
    <row r="920" spans="1:7" x14ac:dyDescent="0.35">
      <c r="A920" s="39" t="s">
        <v>3436</v>
      </c>
      <c r="B920" s="40" t="s">
        <v>1741</v>
      </c>
      <c r="C920" s="41" t="s">
        <v>3234</v>
      </c>
      <c r="D920" s="40" t="s">
        <v>3437</v>
      </c>
      <c r="E920" s="40" t="s">
        <v>296</v>
      </c>
      <c r="F920" s="40" t="s">
        <v>433</v>
      </c>
      <c r="G920" s="42" t="s">
        <v>3438</v>
      </c>
    </row>
    <row r="921" spans="1:7" x14ac:dyDescent="0.35">
      <c r="A921" s="43" t="s">
        <v>3439</v>
      </c>
      <c r="B921" s="44" t="s">
        <v>1741</v>
      </c>
      <c r="C921" s="45" t="s">
        <v>3234</v>
      </c>
      <c r="D921" s="44" t="s">
        <v>3440</v>
      </c>
      <c r="E921" s="44" t="s">
        <v>296</v>
      </c>
      <c r="F921" s="44" t="s">
        <v>433</v>
      </c>
      <c r="G921" s="46" t="s">
        <v>3441</v>
      </c>
    </row>
    <row r="922" spans="1:7" x14ac:dyDescent="0.35">
      <c r="A922" s="39" t="s">
        <v>3442</v>
      </c>
      <c r="B922" s="40" t="s">
        <v>1741</v>
      </c>
      <c r="C922" s="41" t="s">
        <v>3234</v>
      </c>
      <c r="D922" s="40" t="s">
        <v>3443</v>
      </c>
      <c r="E922" s="40" t="s">
        <v>296</v>
      </c>
      <c r="F922" s="40" t="s">
        <v>433</v>
      </c>
      <c r="G922" s="42" t="s">
        <v>3444</v>
      </c>
    </row>
    <row r="923" spans="1:7" x14ac:dyDescent="0.35">
      <c r="A923" s="43" t="s">
        <v>3445</v>
      </c>
      <c r="B923" s="44" t="s">
        <v>1741</v>
      </c>
      <c r="C923" s="45" t="s">
        <v>3234</v>
      </c>
      <c r="D923" s="44" t="s">
        <v>3446</v>
      </c>
      <c r="E923" s="44" t="s">
        <v>296</v>
      </c>
      <c r="F923" s="44" t="s">
        <v>433</v>
      </c>
      <c r="G923" s="46" t="s">
        <v>3447</v>
      </c>
    </row>
    <row r="924" spans="1:7" x14ac:dyDescent="0.35">
      <c r="A924" s="39" t="s">
        <v>3448</v>
      </c>
      <c r="B924" s="40" t="s">
        <v>1741</v>
      </c>
      <c r="C924" s="41" t="s">
        <v>3234</v>
      </c>
      <c r="D924" s="40" t="s">
        <v>3449</v>
      </c>
      <c r="E924" s="40" t="s">
        <v>296</v>
      </c>
      <c r="F924" s="40" t="s">
        <v>433</v>
      </c>
      <c r="G924" s="42" t="s">
        <v>3450</v>
      </c>
    </row>
    <row r="925" spans="1:7" x14ac:dyDescent="0.35">
      <c r="A925" s="43" t="s">
        <v>3451</v>
      </c>
      <c r="B925" s="44" t="s">
        <v>1741</v>
      </c>
      <c r="C925" s="45" t="s">
        <v>3234</v>
      </c>
      <c r="D925" s="44" t="s">
        <v>3452</v>
      </c>
      <c r="E925" s="44" t="s">
        <v>296</v>
      </c>
      <c r="F925" s="44" t="s">
        <v>433</v>
      </c>
      <c r="G925" s="46" t="s">
        <v>3453</v>
      </c>
    </row>
    <row r="926" spans="1:7" x14ac:dyDescent="0.35">
      <c r="A926" s="39" t="s">
        <v>3454</v>
      </c>
      <c r="B926" s="40" t="s">
        <v>1741</v>
      </c>
      <c r="C926" s="41" t="s">
        <v>3234</v>
      </c>
      <c r="D926" s="40" t="s">
        <v>3455</v>
      </c>
      <c r="E926" s="40" t="s">
        <v>296</v>
      </c>
      <c r="F926" s="40" t="s">
        <v>433</v>
      </c>
      <c r="G926" s="42" t="s">
        <v>3456</v>
      </c>
    </row>
    <row r="927" spans="1:7" x14ac:dyDescent="0.35">
      <c r="A927" s="43" t="s">
        <v>3457</v>
      </c>
      <c r="B927" s="44" t="s">
        <v>1741</v>
      </c>
      <c r="C927" s="45" t="s">
        <v>3234</v>
      </c>
      <c r="D927" s="44" t="s">
        <v>3458</v>
      </c>
      <c r="E927" s="44" t="s">
        <v>296</v>
      </c>
      <c r="F927" s="44" t="s">
        <v>433</v>
      </c>
      <c r="G927" s="46" t="s">
        <v>3459</v>
      </c>
    </row>
    <row r="928" spans="1:7" x14ac:dyDescent="0.35">
      <c r="A928" s="39" t="s">
        <v>3460</v>
      </c>
      <c r="B928" s="40" t="s">
        <v>1741</v>
      </c>
      <c r="C928" s="41" t="s">
        <v>3234</v>
      </c>
      <c r="D928" s="40" t="s">
        <v>3461</v>
      </c>
      <c r="E928" s="40" t="s">
        <v>296</v>
      </c>
      <c r="F928" s="40" t="s">
        <v>433</v>
      </c>
      <c r="G928" s="42" t="s">
        <v>3462</v>
      </c>
    </row>
    <row r="929" spans="1:7" x14ac:dyDescent="0.35">
      <c r="A929" s="43" t="s">
        <v>3463</v>
      </c>
      <c r="B929" s="44" t="s">
        <v>1741</v>
      </c>
      <c r="C929" s="45" t="s">
        <v>3234</v>
      </c>
      <c r="D929" s="44" t="s">
        <v>3464</v>
      </c>
      <c r="E929" s="44" t="s">
        <v>296</v>
      </c>
      <c r="F929" s="44" t="s">
        <v>433</v>
      </c>
      <c r="G929" s="46" t="s">
        <v>3465</v>
      </c>
    </row>
    <row r="930" spans="1:7" x14ac:dyDescent="0.35">
      <c r="A930" s="39" t="s">
        <v>3466</v>
      </c>
      <c r="B930" s="40" t="s">
        <v>1741</v>
      </c>
      <c r="C930" s="41" t="s">
        <v>3234</v>
      </c>
      <c r="D930" s="40" t="s">
        <v>3467</v>
      </c>
      <c r="E930" s="40" t="s">
        <v>296</v>
      </c>
      <c r="F930" s="40" t="s">
        <v>433</v>
      </c>
      <c r="G930" s="42" t="s">
        <v>3468</v>
      </c>
    </row>
    <row r="931" spans="1:7" x14ac:dyDescent="0.35">
      <c r="A931" s="43" t="s">
        <v>3469</v>
      </c>
      <c r="B931" s="44" t="s">
        <v>1741</v>
      </c>
      <c r="C931" s="45" t="s">
        <v>3234</v>
      </c>
      <c r="D931" s="44" t="s">
        <v>3470</v>
      </c>
      <c r="E931" s="44" t="s">
        <v>296</v>
      </c>
      <c r="F931" s="44" t="s">
        <v>433</v>
      </c>
      <c r="G931" s="46" t="s">
        <v>3471</v>
      </c>
    </row>
    <row r="932" spans="1:7" x14ac:dyDescent="0.35">
      <c r="A932" s="39" t="s">
        <v>3472</v>
      </c>
      <c r="B932" s="40" t="s">
        <v>1741</v>
      </c>
      <c r="C932" s="41" t="s">
        <v>3234</v>
      </c>
      <c r="D932" s="40" t="s">
        <v>3473</v>
      </c>
      <c r="E932" s="40" t="s">
        <v>296</v>
      </c>
      <c r="F932" s="40" t="s">
        <v>433</v>
      </c>
      <c r="G932" s="42" t="s">
        <v>3474</v>
      </c>
    </row>
    <row r="933" spans="1:7" x14ac:dyDescent="0.35">
      <c r="A933" s="43" t="s">
        <v>3475</v>
      </c>
      <c r="B933" s="44" t="s">
        <v>1741</v>
      </c>
      <c r="C933" s="45" t="s">
        <v>3234</v>
      </c>
      <c r="D933" s="44" t="s">
        <v>3476</v>
      </c>
      <c r="E933" s="44" t="s">
        <v>296</v>
      </c>
      <c r="F933" s="44" t="s">
        <v>433</v>
      </c>
      <c r="G933" s="46" t="s">
        <v>3477</v>
      </c>
    </row>
    <row r="934" spans="1:7" x14ac:dyDescent="0.35">
      <c r="A934" s="39" t="s">
        <v>3478</v>
      </c>
      <c r="B934" s="40" t="s">
        <v>1741</v>
      </c>
      <c r="C934" s="41" t="s">
        <v>3234</v>
      </c>
      <c r="D934" s="40" t="s">
        <v>3479</v>
      </c>
      <c r="E934" s="40" t="s">
        <v>296</v>
      </c>
      <c r="F934" s="40" t="s">
        <v>433</v>
      </c>
      <c r="G934" s="42" t="s">
        <v>3480</v>
      </c>
    </row>
    <row r="935" spans="1:7" x14ac:dyDescent="0.35">
      <c r="A935" s="43" t="s">
        <v>3481</v>
      </c>
      <c r="B935" s="44" t="s">
        <v>1741</v>
      </c>
      <c r="C935" s="45" t="s">
        <v>3234</v>
      </c>
      <c r="D935" s="44" t="s">
        <v>3482</v>
      </c>
      <c r="E935" s="44" t="s">
        <v>296</v>
      </c>
      <c r="F935" s="44" t="s">
        <v>433</v>
      </c>
      <c r="G935" s="46" t="s">
        <v>3483</v>
      </c>
    </row>
    <row r="936" spans="1:7" x14ac:dyDescent="0.35">
      <c r="A936" s="39" t="s">
        <v>3484</v>
      </c>
      <c r="B936" s="40" t="s">
        <v>1741</v>
      </c>
      <c r="C936" s="41" t="s">
        <v>3234</v>
      </c>
      <c r="D936" s="40" t="s">
        <v>3485</v>
      </c>
      <c r="E936" s="40" t="s">
        <v>296</v>
      </c>
      <c r="F936" s="40" t="s">
        <v>433</v>
      </c>
      <c r="G936" s="42" t="s">
        <v>3486</v>
      </c>
    </row>
    <row r="937" spans="1:7" x14ac:dyDescent="0.35">
      <c r="A937" s="43" t="s">
        <v>3487</v>
      </c>
      <c r="B937" s="44" t="s">
        <v>1741</v>
      </c>
      <c r="C937" s="45" t="s">
        <v>3234</v>
      </c>
      <c r="D937" s="44" t="s">
        <v>3488</v>
      </c>
      <c r="E937" s="44" t="s">
        <v>296</v>
      </c>
      <c r="F937" s="44" t="s">
        <v>433</v>
      </c>
      <c r="G937" s="46" t="s">
        <v>3489</v>
      </c>
    </row>
    <row r="938" spans="1:7" x14ac:dyDescent="0.35">
      <c r="A938" s="39" t="s">
        <v>3490</v>
      </c>
      <c r="B938" s="40" t="s">
        <v>1741</v>
      </c>
      <c r="C938" s="41" t="s">
        <v>3234</v>
      </c>
      <c r="D938" s="40" t="s">
        <v>3491</v>
      </c>
      <c r="E938" s="40" t="s">
        <v>296</v>
      </c>
      <c r="F938" s="40" t="s">
        <v>433</v>
      </c>
      <c r="G938" s="42" t="s">
        <v>3492</v>
      </c>
    </row>
    <row r="939" spans="1:7" x14ac:dyDescent="0.35">
      <c r="A939" s="43" t="s">
        <v>3493</v>
      </c>
      <c r="B939" s="44" t="s">
        <v>1741</v>
      </c>
      <c r="C939" s="45" t="s">
        <v>3234</v>
      </c>
      <c r="D939" s="44" t="s">
        <v>3494</v>
      </c>
      <c r="E939" s="44" t="s">
        <v>296</v>
      </c>
      <c r="F939" s="44" t="s">
        <v>433</v>
      </c>
      <c r="G939" s="46" t="s">
        <v>3495</v>
      </c>
    </row>
    <row r="940" spans="1:7" x14ac:dyDescent="0.35">
      <c r="A940" s="39" t="s">
        <v>3496</v>
      </c>
      <c r="B940" s="40" t="s">
        <v>1741</v>
      </c>
      <c r="C940" s="41" t="s">
        <v>3234</v>
      </c>
      <c r="D940" s="40" t="s">
        <v>3497</v>
      </c>
      <c r="E940" s="40" t="s">
        <v>296</v>
      </c>
      <c r="F940" s="40" t="s">
        <v>433</v>
      </c>
      <c r="G940" s="42" t="s">
        <v>3498</v>
      </c>
    </row>
    <row r="941" spans="1:7" x14ac:dyDescent="0.35">
      <c r="A941" s="43" t="s">
        <v>3499</v>
      </c>
      <c r="B941" s="44" t="s">
        <v>1741</v>
      </c>
      <c r="C941" s="45" t="s">
        <v>3234</v>
      </c>
      <c r="D941" s="44" t="s">
        <v>3500</v>
      </c>
      <c r="E941" s="44" t="s">
        <v>296</v>
      </c>
      <c r="F941" s="44" t="s">
        <v>433</v>
      </c>
      <c r="G941" s="46" t="s">
        <v>3501</v>
      </c>
    </row>
    <row r="942" spans="1:7" x14ac:dyDescent="0.35">
      <c r="A942" s="39" t="s">
        <v>3502</v>
      </c>
      <c r="B942" s="40" t="s">
        <v>1741</v>
      </c>
      <c r="C942" s="41" t="s">
        <v>3234</v>
      </c>
      <c r="D942" s="40" t="s">
        <v>3503</v>
      </c>
      <c r="E942" s="40" t="s">
        <v>296</v>
      </c>
      <c r="F942" s="40" t="s">
        <v>433</v>
      </c>
      <c r="G942" s="42" t="s">
        <v>3504</v>
      </c>
    </row>
    <row r="943" spans="1:7" x14ac:dyDescent="0.35">
      <c r="A943" s="43" t="s">
        <v>3505</v>
      </c>
      <c r="B943" s="44" t="s">
        <v>1741</v>
      </c>
      <c r="C943" s="45" t="s">
        <v>3234</v>
      </c>
      <c r="D943" s="44" t="s">
        <v>3506</v>
      </c>
      <c r="E943" s="44" t="s">
        <v>296</v>
      </c>
      <c r="F943" s="44" t="s">
        <v>433</v>
      </c>
      <c r="G943" s="46" t="s">
        <v>3507</v>
      </c>
    </row>
    <row r="944" spans="1:7" x14ac:dyDescent="0.35">
      <c r="A944" s="39" t="s">
        <v>3508</v>
      </c>
      <c r="B944" s="40" t="s">
        <v>1741</v>
      </c>
      <c r="C944" s="41" t="s">
        <v>3234</v>
      </c>
      <c r="D944" s="40" t="s">
        <v>3509</v>
      </c>
      <c r="E944" s="40" t="s">
        <v>296</v>
      </c>
      <c r="F944" s="40" t="s">
        <v>433</v>
      </c>
      <c r="G944" s="42" t="s">
        <v>3510</v>
      </c>
    </row>
    <row r="945" spans="1:7" x14ac:dyDescent="0.35">
      <c r="A945" s="43" t="s">
        <v>3511</v>
      </c>
      <c r="B945" s="44" t="s">
        <v>1741</v>
      </c>
      <c r="C945" s="45" t="s">
        <v>3234</v>
      </c>
      <c r="D945" s="44" t="s">
        <v>3512</v>
      </c>
      <c r="E945" s="44" t="s">
        <v>296</v>
      </c>
      <c r="F945" s="44" t="s">
        <v>433</v>
      </c>
      <c r="G945" s="46" t="s">
        <v>3513</v>
      </c>
    </row>
    <row r="946" spans="1:7" x14ac:dyDescent="0.35">
      <c r="A946" s="39" t="s">
        <v>3514</v>
      </c>
      <c r="B946" s="40" t="s">
        <v>1741</v>
      </c>
      <c r="C946" s="41" t="s">
        <v>3234</v>
      </c>
      <c r="D946" s="40" t="s">
        <v>3515</v>
      </c>
      <c r="E946" s="40" t="s">
        <v>296</v>
      </c>
      <c r="F946" s="40" t="s">
        <v>433</v>
      </c>
      <c r="G946" s="42" t="s">
        <v>3516</v>
      </c>
    </row>
    <row r="947" spans="1:7" x14ac:dyDescent="0.35">
      <c r="A947" s="43" t="s">
        <v>3517</v>
      </c>
      <c r="B947" s="44" t="s">
        <v>1741</v>
      </c>
      <c r="C947" s="45" t="s">
        <v>3234</v>
      </c>
      <c r="D947" s="44" t="s">
        <v>3518</v>
      </c>
      <c r="E947" s="44" t="s">
        <v>296</v>
      </c>
      <c r="F947" s="44" t="s">
        <v>433</v>
      </c>
      <c r="G947" s="46" t="s">
        <v>3519</v>
      </c>
    </row>
    <row r="948" spans="1:7" x14ac:dyDescent="0.35">
      <c r="A948" s="39" t="s">
        <v>3520</v>
      </c>
      <c r="B948" s="40" t="s">
        <v>1741</v>
      </c>
      <c r="C948" s="41" t="s">
        <v>3234</v>
      </c>
      <c r="D948" s="40" t="s">
        <v>3521</v>
      </c>
      <c r="E948" s="40" t="s">
        <v>296</v>
      </c>
      <c r="F948" s="40" t="s">
        <v>433</v>
      </c>
      <c r="G948" s="42" t="s">
        <v>3522</v>
      </c>
    </row>
    <row r="949" spans="1:7" x14ac:dyDescent="0.35">
      <c r="A949" s="43" t="s">
        <v>3523</v>
      </c>
      <c r="B949" s="44" t="s">
        <v>1741</v>
      </c>
      <c r="C949" s="45" t="s">
        <v>3234</v>
      </c>
      <c r="D949" s="44" t="s">
        <v>3524</v>
      </c>
      <c r="E949" s="44" t="s">
        <v>296</v>
      </c>
      <c r="F949" s="44" t="s">
        <v>433</v>
      </c>
      <c r="G949" s="46" t="s">
        <v>183</v>
      </c>
    </row>
    <row r="950" spans="1:7" x14ac:dyDescent="0.35">
      <c r="A950" s="39" t="s">
        <v>3525</v>
      </c>
      <c r="B950" s="40" t="s">
        <v>1741</v>
      </c>
      <c r="C950" s="41" t="s">
        <v>3234</v>
      </c>
      <c r="D950" s="40" t="s">
        <v>3526</v>
      </c>
      <c r="E950" s="40" t="s">
        <v>296</v>
      </c>
      <c r="F950" s="40" t="s">
        <v>433</v>
      </c>
      <c r="G950" s="42" t="s">
        <v>3527</v>
      </c>
    </row>
    <row r="951" spans="1:7" x14ac:dyDescent="0.35">
      <c r="A951" s="43" t="s">
        <v>3528</v>
      </c>
      <c r="B951" s="44" t="s">
        <v>1741</v>
      </c>
      <c r="C951" s="45" t="s">
        <v>3234</v>
      </c>
      <c r="D951" s="44" t="s">
        <v>3529</v>
      </c>
      <c r="E951" s="44" t="s">
        <v>296</v>
      </c>
      <c r="F951" s="44" t="s">
        <v>433</v>
      </c>
      <c r="G951" s="46" t="s">
        <v>3530</v>
      </c>
    </row>
    <row r="952" spans="1:7" x14ac:dyDescent="0.35">
      <c r="A952" s="39" t="s">
        <v>3531</v>
      </c>
      <c r="B952" s="40" t="s">
        <v>1741</v>
      </c>
      <c r="C952" s="41" t="s">
        <v>3234</v>
      </c>
      <c r="D952" s="40" t="s">
        <v>3532</v>
      </c>
      <c r="E952" s="40" t="s">
        <v>296</v>
      </c>
      <c r="F952" s="40" t="s">
        <v>433</v>
      </c>
      <c r="G952" s="42" t="s">
        <v>3533</v>
      </c>
    </row>
    <row r="953" spans="1:7" x14ac:dyDescent="0.35">
      <c r="A953" s="43" t="s">
        <v>3534</v>
      </c>
      <c r="B953" s="44" t="s">
        <v>1741</v>
      </c>
      <c r="C953" s="45" t="s">
        <v>3234</v>
      </c>
      <c r="D953" s="44" t="s">
        <v>3535</v>
      </c>
      <c r="E953" s="44" t="s">
        <v>296</v>
      </c>
      <c r="F953" s="44" t="s">
        <v>433</v>
      </c>
      <c r="G953" s="46" t="s">
        <v>3536</v>
      </c>
    </row>
    <row r="954" spans="1:7" x14ac:dyDescent="0.35">
      <c r="A954" s="39" t="s">
        <v>3537</v>
      </c>
      <c r="B954" s="40" t="s">
        <v>1741</v>
      </c>
      <c r="C954" s="41" t="s">
        <v>3234</v>
      </c>
      <c r="D954" s="40" t="s">
        <v>3538</v>
      </c>
      <c r="E954" s="40" t="s">
        <v>296</v>
      </c>
      <c r="F954" s="40" t="s">
        <v>433</v>
      </c>
      <c r="G954" s="42" t="s">
        <v>3539</v>
      </c>
    </row>
    <row r="955" spans="1:7" x14ac:dyDescent="0.35">
      <c r="A955" s="43" t="s">
        <v>3540</v>
      </c>
      <c r="B955" s="44" t="s">
        <v>1741</v>
      </c>
      <c r="C955" s="45" t="s">
        <v>3234</v>
      </c>
      <c r="D955" s="44" t="s">
        <v>3541</v>
      </c>
      <c r="E955" s="44" t="s">
        <v>296</v>
      </c>
      <c r="F955" s="44" t="s">
        <v>433</v>
      </c>
      <c r="G955" s="46" t="s">
        <v>3542</v>
      </c>
    </row>
    <row r="956" spans="1:7" x14ac:dyDescent="0.35">
      <c r="A956" s="39" t="s">
        <v>3543</v>
      </c>
      <c r="B956" s="40" t="s">
        <v>1741</v>
      </c>
      <c r="C956" s="41" t="s">
        <v>3234</v>
      </c>
      <c r="D956" s="40" t="s">
        <v>3544</v>
      </c>
      <c r="E956" s="40" t="s">
        <v>296</v>
      </c>
      <c r="F956" s="40" t="s">
        <v>433</v>
      </c>
      <c r="G956" s="42" t="s">
        <v>3545</v>
      </c>
    </row>
    <row r="957" spans="1:7" x14ac:dyDescent="0.35">
      <c r="A957" s="43" t="s">
        <v>3546</v>
      </c>
      <c r="B957" s="44" t="s">
        <v>1741</v>
      </c>
      <c r="C957" s="45" t="s">
        <v>3234</v>
      </c>
      <c r="D957" s="44" t="s">
        <v>1033</v>
      </c>
      <c r="E957" s="44" t="s">
        <v>296</v>
      </c>
      <c r="F957" s="44" t="s">
        <v>433</v>
      </c>
      <c r="G957" s="46" t="s">
        <v>3547</v>
      </c>
    </row>
    <row r="958" spans="1:7" x14ac:dyDescent="0.35">
      <c r="A958" s="39" t="s">
        <v>3548</v>
      </c>
      <c r="B958" s="40" t="s">
        <v>1741</v>
      </c>
      <c r="C958" s="41" t="s">
        <v>3234</v>
      </c>
      <c r="D958" s="40" t="s">
        <v>3549</v>
      </c>
      <c r="E958" s="40" t="s">
        <v>296</v>
      </c>
      <c r="F958" s="40" t="s">
        <v>433</v>
      </c>
      <c r="G958" s="42" t="s">
        <v>3550</v>
      </c>
    </row>
    <row r="959" spans="1:7" x14ac:dyDescent="0.35">
      <c r="A959" s="43" t="s">
        <v>3551</v>
      </c>
      <c r="B959" s="44" t="s">
        <v>1741</v>
      </c>
      <c r="C959" s="45" t="s">
        <v>3234</v>
      </c>
      <c r="D959" s="44" t="s">
        <v>3552</v>
      </c>
      <c r="E959" s="44" t="s">
        <v>296</v>
      </c>
      <c r="F959" s="44" t="s">
        <v>433</v>
      </c>
      <c r="G959" s="46" t="s">
        <v>3553</v>
      </c>
    </row>
    <row r="960" spans="1:7" x14ac:dyDescent="0.35">
      <c r="A960" s="39" t="s">
        <v>3554</v>
      </c>
      <c r="B960" s="40" t="s">
        <v>1741</v>
      </c>
      <c r="C960" s="41" t="s">
        <v>3234</v>
      </c>
      <c r="D960" s="40" t="s">
        <v>3555</v>
      </c>
      <c r="E960" s="40" t="s">
        <v>296</v>
      </c>
      <c r="F960" s="40" t="s">
        <v>433</v>
      </c>
      <c r="G960" s="42" t="s">
        <v>3556</v>
      </c>
    </row>
    <row r="961" spans="1:7" x14ac:dyDescent="0.35">
      <c r="A961" s="43" t="s">
        <v>3557</v>
      </c>
      <c r="B961" s="44" t="s">
        <v>1741</v>
      </c>
      <c r="C961" s="45" t="s">
        <v>3234</v>
      </c>
      <c r="D961" s="44" t="s">
        <v>3558</v>
      </c>
      <c r="E961" s="44" t="s">
        <v>296</v>
      </c>
      <c r="F961" s="44" t="s">
        <v>433</v>
      </c>
      <c r="G961" s="46" t="s">
        <v>3559</v>
      </c>
    </row>
    <row r="962" spans="1:7" x14ac:dyDescent="0.35">
      <c r="A962" s="39" t="s">
        <v>3560</v>
      </c>
      <c r="B962" s="40" t="s">
        <v>1741</v>
      </c>
      <c r="C962" s="41" t="s">
        <v>3234</v>
      </c>
      <c r="D962" s="40" t="s">
        <v>3561</v>
      </c>
      <c r="E962" s="40" t="s">
        <v>296</v>
      </c>
      <c r="F962" s="40" t="s">
        <v>433</v>
      </c>
      <c r="G962" s="42" t="s">
        <v>3562</v>
      </c>
    </row>
    <row r="963" spans="1:7" x14ac:dyDescent="0.35">
      <c r="A963" s="43" t="s">
        <v>3563</v>
      </c>
      <c r="B963" s="44" t="s">
        <v>1741</v>
      </c>
      <c r="C963" s="45" t="s">
        <v>3234</v>
      </c>
      <c r="D963" s="44" t="s">
        <v>3564</v>
      </c>
      <c r="E963" s="44" t="s">
        <v>296</v>
      </c>
      <c r="F963" s="44" t="s">
        <v>433</v>
      </c>
      <c r="G963" s="46" t="s">
        <v>3565</v>
      </c>
    </row>
    <row r="964" spans="1:7" x14ac:dyDescent="0.35">
      <c r="A964" s="39" t="s">
        <v>3566</v>
      </c>
      <c r="B964" s="40" t="s">
        <v>1741</v>
      </c>
      <c r="C964" s="41" t="s">
        <v>3234</v>
      </c>
      <c r="D964" s="40" t="s">
        <v>3567</v>
      </c>
      <c r="E964" s="40" t="s">
        <v>296</v>
      </c>
      <c r="F964" s="40" t="s">
        <v>433</v>
      </c>
      <c r="G964" s="42" t="s">
        <v>3568</v>
      </c>
    </row>
    <row r="965" spans="1:7" x14ac:dyDescent="0.35">
      <c r="A965" s="43" t="s">
        <v>3569</v>
      </c>
      <c r="B965" s="44" t="s">
        <v>1741</v>
      </c>
      <c r="C965" s="45" t="s">
        <v>3234</v>
      </c>
      <c r="D965" s="44" t="s">
        <v>3570</v>
      </c>
      <c r="E965" s="44" t="s">
        <v>296</v>
      </c>
      <c r="F965" s="44" t="s">
        <v>433</v>
      </c>
      <c r="G965" s="46" t="s">
        <v>3571</v>
      </c>
    </row>
    <row r="966" spans="1:7" x14ac:dyDescent="0.35">
      <c r="A966" s="39" t="s">
        <v>3572</v>
      </c>
      <c r="B966" s="40" t="s">
        <v>1741</v>
      </c>
      <c r="C966" s="41" t="s">
        <v>3234</v>
      </c>
      <c r="D966" s="40" t="s">
        <v>3573</v>
      </c>
      <c r="E966" s="40" t="s">
        <v>296</v>
      </c>
      <c r="F966" s="40" t="s">
        <v>433</v>
      </c>
      <c r="G966" s="42" t="s">
        <v>3574</v>
      </c>
    </row>
    <row r="967" spans="1:7" x14ac:dyDescent="0.35">
      <c r="A967" s="43" t="s">
        <v>3575</v>
      </c>
      <c r="B967" s="44" t="s">
        <v>1741</v>
      </c>
      <c r="C967" s="45" t="s">
        <v>3234</v>
      </c>
      <c r="D967" s="44" t="s">
        <v>3576</v>
      </c>
      <c r="E967" s="44" t="s">
        <v>296</v>
      </c>
      <c r="F967" s="44" t="s">
        <v>433</v>
      </c>
      <c r="G967" s="46" t="s">
        <v>3577</v>
      </c>
    </row>
    <row r="968" spans="1:7" x14ac:dyDescent="0.35">
      <c r="A968" s="39" t="s">
        <v>3578</v>
      </c>
      <c r="B968" s="40" t="s">
        <v>1741</v>
      </c>
      <c r="C968" s="41" t="s">
        <v>3234</v>
      </c>
      <c r="D968" s="40" t="s">
        <v>3579</v>
      </c>
      <c r="E968" s="40" t="s">
        <v>296</v>
      </c>
      <c r="F968" s="40" t="s">
        <v>433</v>
      </c>
      <c r="G968" s="42" t="s">
        <v>3580</v>
      </c>
    </row>
    <row r="969" spans="1:7" x14ac:dyDescent="0.35">
      <c r="A969" s="43" t="s">
        <v>3581</v>
      </c>
      <c r="B969" s="44" t="s">
        <v>1741</v>
      </c>
      <c r="C969" s="45" t="s">
        <v>3234</v>
      </c>
      <c r="D969" s="44" t="s">
        <v>3582</v>
      </c>
      <c r="E969" s="44" t="s">
        <v>296</v>
      </c>
      <c r="F969" s="44" t="s">
        <v>433</v>
      </c>
      <c r="G969" s="46" t="s">
        <v>3583</v>
      </c>
    </row>
    <row r="970" spans="1:7" x14ac:dyDescent="0.35">
      <c r="A970" s="39" t="s">
        <v>3584</v>
      </c>
      <c r="B970" s="40" t="s">
        <v>1741</v>
      </c>
      <c r="C970" s="41" t="s">
        <v>3234</v>
      </c>
      <c r="D970" s="40" t="s">
        <v>3585</v>
      </c>
      <c r="E970" s="40" t="s">
        <v>296</v>
      </c>
      <c r="F970" s="40" t="s">
        <v>433</v>
      </c>
      <c r="G970" s="42" t="s">
        <v>3586</v>
      </c>
    </row>
    <row r="971" spans="1:7" x14ac:dyDescent="0.35">
      <c r="A971" s="43" t="s">
        <v>3587</v>
      </c>
      <c r="B971" s="44" t="s">
        <v>1741</v>
      </c>
      <c r="C971" s="45" t="s">
        <v>3234</v>
      </c>
      <c r="D971" s="44" t="s">
        <v>3588</v>
      </c>
      <c r="E971" s="44" t="s">
        <v>296</v>
      </c>
      <c r="F971" s="44" t="s">
        <v>433</v>
      </c>
      <c r="G971" s="46" t="s">
        <v>3589</v>
      </c>
    </row>
    <row r="972" spans="1:7" x14ac:dyDescent="0.35">
      <c r="A972" s="39" t="s">
        <v>3590</v>
      </c>
      <c r="B972" s="40" t="s">
        <v>1741</v>
      </c>
      <c r="C972" s="41" t="s">
        <v>3234</v>
      </c>
      <c r="D972" s="40" t="s">
        <v>3591</v>
      </c>
      <c r="E972" s="40" t="s">
        <v>296</v>
      </c>
      <c r="F972" s="40" t="s">
        <v>433</v>
      </c>
      <c r="G972" s="42" t="s">
        <v>3592</v>
      </c>
    </row>
    <row r="973" spans="1:7" x14ac:dyDescent="0.35">
      <c r="A973" s="43" t="s">
        <v>3593</v>
      </c>
      <c r="B973" s="44" t="s">
        <v>1741</v>
      </c>
      <c r="C973" s="45" t="s">
        <v>3234</v>
      </c>
      <c r="D973" s="44" t="s">
        <v>3594</v>
      </c>
      <c r="E973" s="44" t="s">
        <v>296</v>
      </c>
      <c r="F973" s="44" t="s">
        <v>433</v>
      </c>
      <c r="G973" s="46" t="s">
        <v>3595</v>
      </c>
    </row>
    <row r="974" spans="1:7" x14ac:dyDescent="0.35">
      <c r="A974" s="39" t="s">
        <v>3596</v>
      </c>
      <c r="B974" s="40" t="s">
        <v>1741</v>
      </c>
      <c r="C974" s="41" t="s">
        <v>3234</v>
      </c>
      <c r="D974" s="40" t="s">
        <v>3597</v>
      </c>
      <c r="E974" s="40" t="s">
        <v>296</v>
      </c>
      <c r="F974" s="40" t="s">
        <v>433</v>
      </c>
      <c r="G974" s="42" t="s">
        <v>3598</v>
      </c>
    </row>
    <row r="975" spans="1:7" x14ac:dyDescent="0.35">
      <c r="A975" s="43" t="s">
        <v>3599</v>
      </c>
      <c r="B975" s="44" t="s">
        <v>1741</v>
      </c>
      <c r="C975" s="45" t="s">
        <v>3234</v>
      </c>
      <c r="D975" s="44" t="s">
        <v>1522</v>
      </c>
      <c r="E975" s="44" t="s">
        <v>296</v>
      </c>
      <c r="F975" s="44" t="s">
        <v>433</v>
      </c>
      <c r="G975" s="46" t="s">
        <v>3600</v>
      </c>
    </row>
    <row r="976" spans="1:7" x14ac:dyDescent="0.35">
      <c r="A976" s="39" t="s">
        <v>3601</v>
      </c>
      <c r="B976" s="40" t="s">
        <v>1741</v>
      </c>
      <c r="C976" s="41" t="s">
        <v>3234</v>
      </c>
      <c r="D976" s="40" t="s">
        <v>541</v>
      </c>
      <c r="E976" s="40" t="s">
        <v>296</v>
      </c>
      <c r="F976" s="40" t="s">
        <v>433</v>
      </c>
      <c r="G976" s="42" t="s">
        <v>3602</v>
      </c>
    </row>
    <row r="977" spans="1:7" x14ac:dyDescent="0.35">
      <c r="A977" s="43" t="s">
        <v>3603</v>
      </c>
      <c r="B977" s="44" t="s">
        <v>1741</v>
      </c>
      <c r="C977" s="45" t="s">
        <v>3234</v>
      </c>
      <c r="D977" s="44" t="s">
        <v>3604</v>
      </c>
      <c r="E977" s="44" t="s">
        <v>296</v>
      </c>
      <c r="F977" s="44" t="s">
        <v>433</v>
      </c>
      <c r="G977" s="46" t="s">
        <v>3605</v>
      </c>
    </row>
    <row r="978" spans="1:7" x14ac:dyDescent="0.35">
      <c r="A978" s="39" t="s">
        <v>3606</v>
      </c>
      <c r="B978" s="40" t="s">
        <v>1741</v>
      </c>
      <c r="C978" s="41" t="s">
        <v>3234</v>
      </c>
      <c r="D978" s="40" t="s">
        <v>326</v>
      </c>
      <c r="E978" s="40" t="s">
        <v>296</v>
      </c>
      <c r="F978" s="40" t="s">
        <v>433</v>
      </c>
      <c r="G978" s="42" t="s">
        <v>3607</v>
      </c>
    </row>
    <row r="979" spans="1:7" x14ac:dyDescent="0.35">
      <c r="A979" s="43" t="s">
        <v>3608</v>
      </c>
      <c r="B979" s="44" t="s">
        <v>1741</v>
      </c>
      <c r="C979" s="45" t="s">
        <v>3234</v>
      </c>
      <c r="D979" s="44" t="s">
        <v>3609</v>
      </c>
      <c r="E979" s="44" t="s">
        <v>296</v>
      </c>
      <c r="F979" s="44" t="s">
        <v>433</v>
      </c>
      <c r="G979" s="46" t="s">
        <v>3610</v>
      </c>
    </row>
    <row r="980" spans="1:7" x14ac:dyDescent="0.35">
      <c r="A980" s="39" t="s">
        <v>3611</v>
      </c>
      <c r="B980" s="40" t="s">
        <v>1741</v>
      </c>
      <c r="C980" s="41" t="s">
        <v>3234</v>
      </c>
      <c r="D980" s="40" t="s">
        <v>3612</v>
      </c>
      <c r="E980" s="40" t="s">
        <v>296</v>
      </c>
      <c r="F980" s="40" t="s">
        <v>433</v>
      </c>
      <c r="G980" s="42" t="s">
        <v>3613</v>
      </c>
    </row>
    <row r="981" spans="1:7" x14ac:dyDescent="0.35">
      <c r="A981" s="43" t="s">
        <v>3614</v>
      </c>
      <c r="B981" s="44" t="s">
        <v>1741</v>
      </c>
      <c r="C981" s="45" t="s">
        <v>3234</v>
      </c>
      <c r="D981" s="44" t="s">
        <v>3615</v>
      </c>
      <c r="E981" s="44" t="s">
        <v>296</v>
      </c>
      <c r="F981" s="44" t="s">
        <v>433</v>
      </c>
      <c r="G981" s="46" t="s">
        <v>3616</v>
      </c>
    </row>
    <row r="982" spans="1:7" x14ac:dyDescent="0.35">
      <c r="A982" s="39" t="s">
        <v>3617</v>
      </c>
      <c r="B982" s="40" t="s">
        <v>1741</v>
      </c>
      <c r="C982" s="41" t="s">
        <v>3234</v>
      </c>
      <c r="D982" s="40" t="s">
        <v>1875</v>
      </c>
      <c r="E982" s="40" t="s">
        <v>296</v>
      </c>
      <c r="F982" s="40" t="s">
        <v>433</v>
      </c>
      <c r="G982" s="42" t="s">
        <v>3618</v>
      </c>
    </row>
    <row r="983" spans="1:7" x14ac:dyDescent="0.35">
      <c r="A983" s="43" t="s">
        <v>3619</v>
      </c>
      <c r="B983" s="44" t="s">
        <v>1741</v>
      </c>
      <c r="C983" s="45" t="s">
        <v>3234</v>
      </c>
      <c r="D983" s="44" t="s">
        <v>3620</v>
      </c>
      <c r="E983" s="44" t="s">
        <v>296</v>
      </c>
      <c r="F983" s="44" t="s">
        <v>433</v>
      </c>
      <c r="G983" s="46" t="s">
        <v>3621</v>
      </c>
    </row>
    <row r="984" spans="1:7" x14ac:dyDescent="0.35">
      <c r="A984" s="39" t="s">
        <v>3622</v>
      </c>
      <c r="B984" s="40" t="s">
        <v>1741</v>
      </c>
      <c r="C984" s="41" t="s">
        <v>3234</v>
      </c>
      <c r="D984" s="40" t="s">
        <v>3623</v>
      </c>
      <c r="E984" s="40" t="s">
        <v>296</v>
      </c>
      <c r="F984" s="40" t="s">
        <v>433</v>
      </c>
      <c r="G984" s="42" t="s">
        <v>3624</v>
      </c>
    </row>
    <row r="985" spans="1:7" x14ac:dyDescent="0.35">
      <c r="A985" s="43" t="s">
        <v>3625</v>
      </c>
      <c r="B985" s="44" t="s">
        <v>1741</v>
      </c>
      <c r="C985" s="45" t="s">
        <v>3234</v>
      </c>
      <c r="D985" s="44" t="s">
        <v>3626</v>
      </c>
      <c r="E985" s="44" t="s">
        <v>296</v>
      </c>
      <c r="F985" s="44" t="s">
        <v>433</v>
      </c>
      <c r="G985" s="46" t="s">
        <v>3627</v>
      </c>
    </row>
    <row r="986" spans="1:7" x14ac:dyDescent="0.35">
      <c r="A986" s="39" t="s">
        <v>3628</v>
      </c>
      <c r="B986" s="40" t="s">
        <v>1741</v>
      </c>
      <c r="C986" s="41" t="s">
        <v>3234</v>
      </c>
      <c r="D986" s="40" t="s">
        <v>3629</v>
      </c>
      <c r="E986" s="40" t="s">
        <v>296</v>
      </c>
      <c r="F986" s="40" t="s">
        <v>433</v>
      </c>
      <c r="G986" s="42" t="s">
        <v>3630</v>
      </c>
    </row>
    <row r="987" spans="1:7" x14ac:dyDescent="0.35">
      <c r="A987" s="43" t="s">
        <v>3631</v>
      </c>
      <c r="B987" s="44" t="s">
        <v>1741</v>
      </c>
      <c r="C987" s="45" t="s">
        <v>3234</v>
      </c>
      <c r="D987" s="44" t="s">
        <v>3632</v>
      </c>
      <c r="E987" s="44" t="s">
        <v>296</v>
      </c>
      <c r="F987" s="44" t="s">
        <v>433</v>
      </c>
      <c r="G987" s="46" t="s">
        <v>3633</v>
      </c>
    </row>
    <row r="988" spans="1:7" x14ac:dyDescent="0.35">
      <c r="A988" s="39" t="s">
        <v>3634</v>
      </c>
      <c r="B988" s="40" t="s">
        <v>1741</v>
      </c>
      <c r="C988" s="41" t="s">
        <v>3234</v>
      </c>
      <c r="D988" s="40" t="s">
        <v>3635</v>
      </c>
      <c r="E988" s="40" t="s">
        <v>296</v>
      </c>
      <c r="F988" s="40" t="s">
        <v>433</v>
      </c>
      <c r="G988" s="42" t="s">
        <v>3636</v>
      </c>
    </row>
    <row r="989" spans="1:7" x14ac:dyDescent="0.35">
      <c r="A989" s="43" t="s">
        <v>3637</v>
      </c>
      <c r="B989" s="44" t="s">
        <v>1741</v>
      </c>
      <c r="C989" s="45" t="s">
        <v>3234</v>
      </c>
      <c r="D989" s="44" t="s">
        <v>3638</v>
      </c>
      <c r="E989" s="44" t="s">
        <v>296</v>
      </c>
      <c r="F989" s="44" t="s">
        <v>433</v>
      </c>
      <c r="G989" s="46" t="s">
        <v>3639</v>
      </c>
    </row>
    <row r="990" spans="1:7" x14ac:dyDescent="0.35">
      <c r="A990" s="39" t="s">
        <v>3640</v>
      </c>
      <c r="B990" s="40" t="s">
        <v>1741</v>
      </c>
      <c r="C990" s="41" t="s">
        <v>3234</v>
      </c>
      <c r="D990" s="40" t="s">
        <v>3641</v>
      </c>
      <c r="E990" s="40" t="s">
        <v>296</v>
      </c>
      <c r="F990" s="40" t="s">
        <v>433</v>
      </c>
      <c r="G990" s="42" t="s">
        <v>3642</v>
      </c>
    </row>
    <row r="991" spans="1:7" x14ac:dyDescent="0.35">
      <c r="A991" s="43" t="s">
        <v>3643</v>
      </c>
      <c r="B991" s="44" t="s">
        <v>1741</v>
      </c>
      <c r="C991" s="45" t="s">
        <v>3234</v>
      </c>
      <c r="D991" s="44" t="s">
        <v>3644</v>
      </c>
      <c r="E991" s="44" t="s">
        <v>296</v>
      </c>
      <c r="F991" s="44" t="s">
        <v>433</v>
      </c>
      <c r="G991" s="46" t="s">
        <v>3645</v>
      </c>
    </row>
    <row r="992" spans="1:7" x14ac:dyDescent="0.35">
      <c r="A992" s="39" t="s">
        <v>3646</v>
      </c>
      <c r="B992" s="40" t="s">
        <v>1741</v>
      </c>
      <c r="C992" s="41" t="s">
        <v>3234</v>
      </c>
      <c r="D992" s="40" t="s">
        <v>3647</v>
      </c>
      <c r="E992" s="40" t="s">
        <v>296</v>
      </c>
      <c r="F992" s="40" t="s">
        <v>433</v>
      </c>
      <c r="G992" s="42" t="s">
        <v>3648</v>
      </c>
    </row>
    <row r="993" spans="1:7" x14ac:dyDescent="0.35">
      <c r="A993" s="43" t="s">
        <v>3649</v>
      </c>
      <c r="B993" s="44" t="s">
        <v>1741</v>
      </c>
      <c r="C993" s="45" t="s">
        <v>3234</v>
      </c>
      <c r="D993" s="44" t="s">
        <v>3650</v>
      </c>
      <c r="E993" s="44" t="s">
        <v>296</v>
      </c>
      <c r="F993" s="44" t="s">
        <v>433</v>
      </c>
      <c r="G993" s="46" t="s">
        <v>3651</v>
      </c>
    </row>
    <row r="994" spans="1:7" x14ac:dyDescent="0.35">
      <c r="A994" s="39" t="s">
        <v>3652</v>
      </c>
      <c r="B994" s="40" t="s">
        <v>1741</v>
      </c>
      <c r="C994" s="41" t="s">
        <v>3234</v>
      </c>
      <c r="D994" s="40" t="s">
        <v>3653</v>
      </c>
      <c r="E994" s="40" t="s">
        <v>296</v>
      </c>
      <c r="F994" s="40" t="s">
        <v>433</v>
      </c>
      <c r="G994" s="42" t="s">
        <v>3654</v>
      </c>
    </row>
    <row r="995" spans="1:7" x14ac:dyDescent="0.35">
      <c r="A995" s="43" t="s">
        <v>3655</v>
      </c>
      <c r="B995" s="44" t="s">
        <v>1741</v>
      </c>
      <c r="C995" s="45" t="s">
        <v>3234</v>
      </c>
      <c r="D995" s="44" t="s">
        <v>3656</v>
      </c>
      <c r="E995" s="44" t="s">
        <v>296</v>
      </c>
      <c r="F995" s="44" t="s">
        <v>433</v>
      </c>
      <c r="G995" s="46" t="s">
        <v>3657</v>
      </c>
    </row>
    <row r="996" spans="1:7" x14ac:dyDescent="0.35">
      <c r="A996" s="39" t="s">
        <v>3658</v>
      </c>
      <c r="B996" s="40" t="s">
        <v>1741</v>
      </c>
      <c r="C996" s="41" t="s">
        <v>3234</v>
      </c>
      <c r="D996" s="40" t="s">
        <v>1970</v>
      </c>
      <c r="E996" s="40" t="s">
        <v>296</v>
      </c>
      <c r="F996" s="40" t="s">
        <v>433</v>
      </c>
      <c r="G996" s="42" t="s">
        <v>3659</v>
      </c>
    </row>
    <row r="997" spans="1:7" x14ac:dyDescent="0.35">
      <c r="A997" s="43" t="s">
        <v>3660</v>
      </c>
      <c r="B997" s="44" t="s">
        <v>1741</v>
      </c>
      <c r="C997" s="45" t="s">
        <v>3234</v>
      </c>
      <c r="D997" s="44" t="s">
        <v>1621</v>
      </c>
      <c r="E997" s="44" t="s">
        <v>296</v>
      </c>
      <c r="F997" s="44" t="s">
        <v>433</v>
      </c>
      <c r="G997" s="46" t="s">
        <v>3661</v>
      </c>
    </row>
    <row r="998" spans="1:7" x14ac:dyDescent="0.35">
      <c r="A998" s="39" t="s">
        <v>3662</v>
      </c>
      <c r="B998" s="40" t="s">
        <v>1741</v>
      </c>
      <c r="C998" s="41" t="s">
        <v>3234</v>
      </c>
      <c r="D998" s="40" t="s">
        <v>3663</v>
      </c>
      <c r="E998" s="40" t="s">
        <v>296</v>
      </c>
      <c r="F998" s="40" t="s">
        <v>433</v>
      </c>
      <c r="G998" s="42" t="s">
        <v>3664</v>
      </c>
    </row>
    <row r="999" spans="1:7" x14ac:dyDescent="0.35">
      <c r="A999" s="43" t="s">
        <v>3665</v>
      </c>
      <c r="B999" s="44" t="s">
        <v>1741</v>
      </c>
      <c r="C999" s="45" t="s">
        <v>3234</v>
      </c>
      <c r="D999" s="44" t="s">
        <v>3666</v>
      </c>
      <c r="E999" s="44" t="s">
        <v>296</v>
      </c>
      <c r="F999" s="44" t="s">
        <v>433</v>
      </c>
      <c r="G999" s="46" t="s">
        <v>3667</v>
      </c>
    </row>
    <row r="1000" spans="1:7" x14ac:dyDescent="0.35">
      <c r="A1000" s="39" t="s">
        <v>3668</v>
      </c>
      <c r="B1000" s="40" t="s">
        <v>1741</v>
      </c>
      <c r="C1000" s="41" t="s">
        <v>3234</v>
      </c>
      <c r="D1000" s="40" t="s">
        <v>3669</v>
      </c>
      <c r="E1000" s="40" t="s">
        <v>296</v>
      </c>
      <c r="F1000" s="40" t="s">
        <v>433</v>
      </c>
      <c r="G1000" s="42" t="s">
        <v>3670</v>
      </c>
    </row>
    <row r="1001" spans="1:7" x14ac:dyDescent="0.35">
      <c r="A1001" s="43" t="s">
        <v>3671</v>
      </c>
      <c r="B1001" s="44" t="s">
        <v>1741</v>
      </c>
      <c r="C1001" s="45" t="s">
        <v>3234</v>
      </c>
      <c r="D1001" s="44" t="s">
        <v>3672</v>
      </c>
      <c r="E1001" s="44" t="s">
        <v>296</v>
      </c>
      <c r="F1001" s="44" t="s">
        <v>433</v>
      </c>
      <c r="G1001" s="46" t="s">
        <v>3673</v>
      </c>
    </row>
    <row r="1002" spans="1:7" x14ac:dyDescent="0.35">
      <c r="A1002" s="39" t="s">
        <v>3674</v>
      </c>
      <c r="B1002" s="40" t="s">
        <v>1741</v>
      </c>
      <c r="C1002" s="41" t="s">
        <v>3234</v>
      </c>
      <c r="D1002" s="40" t="s">
        <v>3675</v>
      </c>
      <c r="E1002" s="40" t="s">
        <v>296</v>
      </c>
      <c r="F1002" s="40" t="s">
        <v>433</v>
      </c>
      <c r="G1002" s="42" t="s">
        <v>3676</v>
      </c>
    </row>
    <row r="1003" spans="1:7" x14ac:dyDescent="0.35">
      <c r="A1003" s="43" t="s">
        <v>3677</v>
      </c>
      <c r="B1003" s="44" t="s">
        <v>1741</v>
      </c>
      <c r="C1003" s="45" t="s">
        <v>3234</v>
      </c>
      <c r="D1003" s="44" t="s">
        <v>3678</v>
      </c>
      <c r="E1003" s="44" t="s">
        <v>296</v>
      </c>
      <c r="F1003" s="44" t="s">
        <v>433</v>
      </c>
      <c r="G1003" s="46" t="s">
        <v>3679</v>
      </c>
    </row>
    <row r="1004" spans="1:7" x14ac:dyDescent="0.35">
      <c r="A1004" s="39" t="s">
        <v>3680</v>
      </c>
      <c r="B1004" s="40" t="s">
        <v>1741</v>
      </c>
      <c r="C1004" s="41" t="s">
        <v>3234</v>
      </c>
      <c r="D1004" s="40" t="s">
        <v>3681</v>
      </c>
      <c r="E1004" s="40" t="s">
        <v>296</v>
      </c>
      <c r="F1004" s="40" t="s">
        <v>433</v>
      </c>
      <c r="G1004" s="42" t="s">
        <v>3682</v>
      </c>
    </row>
    <row r="1005" spans="1:7" x14ac:dyDescent="0.35">
      <c r="A1005" s="43" t="s">
        <v>3683</v>
      </c>
      <c r="B1005" s="44" t="s">
        <v>1741</v>
      </c>
      <c r="C1005" s="45" t="s">
        <v>3234</v>
      </c>
      <c r="D1005" s="44" t="s">
        <v>232</v>
      </c>
      <c r="E1005" s="44" t="s">
        <v>296</v>
      </c>
      <c r="F1005" s="44" t="s">
        <v>433</v>
      </c>
      <c r="G1005" s="46" t="s">
        <v>3684</v>
      </c>
    </row>
    <row r="1006" spans="1:7" x14ac:dyDescent="0.35">
      <c r="A1006" s="39" t="s">
        <v>3685</v>
      </c>
      <c r="B1006" s="40" t="s">
        <v>1741</v>
      </c>
      <c r="C1006" s="41" t="s">
        <v>3234</v>
      </c>
      <c r="D1006" s="40" t="s">
        <v>3686</v>
      </c>
      <c r="E1006" s="40" t="s">
        <v>296</v>
      </c>
      <c r="F1006" s="40" t="s">
        <v>433</v>
      </c>
      <c r="G1006" s="42" t="s">
        <v>3687</v>
      </c>
    </row>
    <row r="1007" spans="1:7" x14ac:dyDescent="0.35">
      <c r="A1007" s="43" t="s">
        <v>3688</v>
      </c>
      <c r="B1007" s="44" t="s">
        <v>1741</v>
      </c>
      <c r="C1007" s="45" t="s">
        <v>3234</v>
      </c>
      <c r="D1007" s="44" t="s">
        <v>3689</v>
      </c>
      <c r="E1007" s="44" t="s">
        <v>296</v>
      </c>
      <c r="F1007" s="44" t="s">
        <v>433</v>
      </c>
      <c r="G1007" s="46" t="s">
        <v>3690</v>
      </c>
    </row>
    <row r="1008" spans="1:7" x14ac:dyDescent="0.35">
      <c r="A1008" s="39" t="s">
        <v>3691</v>
      </c>
      <c r="B1008" s="40" t="s">
        <v>1741</v>
      </c>
      <c r="C1008" s="41" t="s">
        <v>3234</v>
      </c>
      <c r="D1008" s="40" t="s">
        <v>3692</v>
      </c>
      <c r="E1008" s="40" t="s">
        <v>296</v>
      </c>
      <c r="F1008" s="40" t="s">
        <v>433</v>
      </c>
      <c r="G1008" s="42" t="s">
        <v>3693</v>
      </c>
    </row>
    <row r="1009" spans="1:7" x14ac:dyDescent="0.35">
      <c r="A1009" s="43" t="s">
        <v>3694</v>
      </c>
      <c r="B1009" s="44" t="s">
        <v>1741</v>
      </c>
      <c r="C1009" s="45" t="s">
        <v>3234</v>
      </c>
      <c r="D1009" s="44" t="s">
        <v>3695</v>
      </c>
      <c r="E1009" s="44" t="s">
        <v>296</v>
      </c>
      <c r="F1009" s="44" t="s">
        <v>433</v>
      </c>
      <c r="G1009" s="46" t="s">
        <v>3696</v>
      </c>
    </row>
    <row r="1010" spans="1:7" x14ac:dyDescent="0.35">
      <c r="A1010" s="39" t="s">
        <v>3697</v>
      </c>
      <c r="B1010" s="40" t="s">
        <v>1741</v>
      </c>
      <c r="C1010" s="41" t="s">
        <v>3234</v>
      </c>
      <c r="D1010" s="40" t="s">
        <v>3698</v>
      </c>
      <c r="E1010" s="40" t="s">
        <v>296</v>
      </c>
      <c r="F1010" s="40" t="s">
        <v>433</v>
      </c>
      <c r="G1010" s="42" t="s">
        <v>3699</v>
      </c>
    </row>
    <row r="1011" spans="1:7" x14ac:dyDescent="0.35">
      <c r="A1011" s="43" t="s">
        <v>3700</v>
      </c>
      <c r="B1011" s="44" t="s">
        <v>1741</v>
      </c>
      <c r="C1011" s="45" t="s">
        <v>3234</v>
      </c>
      <c r="D1011" s="44" t="s">
        <v>3701</v>
      </c>
      <c r="E1011" s="44" t="s">
        <v>296</v>
      </c>
      <c r="F1011" s="44" t="s">
        <v>433</v>
      </c>
      <c r="G1011" s="46" t="s">
        <v>3702</v>
      </c>
    </row>
    <row r="1012" spans="1:7" x14ac:dyDescent="0.35">
      <c r="A1012" s="39" t="s">
        <v>3703</v>
      </c>
      <c r="B1012" s="40" t="s">
        <v>1741</v>
      </c>
      <c r="C1012" s="41" t="s">
        <v>3234</v>
      </c>
      <c r="D1012" s="40" t="s">
        <v>3704</v>
      </c>
      <c r="E1012" s="40" t="s">
        <v>296</v>
      </c>
      <c r="F1012" s="40" t="s">
        <v>433</v>
      </c>
      <c r="G1012" s="42" t="s">
        <v>3705</v>
      </c>
    </row>
    <row r="1013" spans="1:7" x14ac:dyDescent="0.35">
      <c r="A1013" s="43" t="s">
        <v>3706</v>
      </c>
      <c r="B1013" s="44" t="s">
        <v>1741</v>
      </c>
      <c r="C1013" s="45" t="s">
        <v>3234</v>
      </c>
      <c r="D1013" s="44" t="s">
        <v>3707</v>
      </c>
      <c r="E1013" s="44" t="s">
        <v>296</v>
      </c>
      <c r="F1013" s="44" t="s">
        <v>433</v>
      </c>
      <c r="G1013" s="46" t="s">
        <v>3708</v>
      </c>
    </row>
    <row r="1014" spans="1:7" x14ac:dyDescent="0.35">
      <c r="A1014" s="39" t="s">
        <v>3709</v>
      </c>
      <c r="B1014" s="40" t="s">
        <v>1741</v>
      </c>
      <c r="C1014" s="41" t="s">
        <v>3234</v>
      </c>
      <c r="D1014" s="40" t="s">
        <v>3710</v>
      </c>
      <c r="E1014" s="40" t="s">
        <v>296</v>
      </c>
      <c r="F1014" s="40" t="s">
        <v>433</v>
      </c>
      <c r="G1014" s="42" t="s">
        <v>3711</v>
      </c>
    </row>
    <row r="1015" spans="1:7" x14ac:dyDescent="0.35">
      <c r="A1015" s="43" t="s">
        <v>3712</v>
      </c>
      <c r="B1015" s="44" t="s">
        <v>1741</v>
      </c>
      <c r="C1015" s="45" t="s">
        <v>3234</v>
      </c>
      <c r="D1015" s="44" t="s">
        <v>3713</v>
      </c>
      <c r="E1015" s="44" t="s">
        <v>296</v>
      </c>
      <c r="F1015" s="44" t="s">
        <v>433</v>
      </c>
      <c r="G1015" s="46" t="s">
        <v>3714</v>
      </c>
    </row>
    <row r="1016" spans="1:7" x14ac:dyDescent="0.35">
      <c r="A1016" s="39" t="s">
        <v>3715</v>
      </c>
      <c r="B1016" s="40" t="s">
        <v>1741</v>
      </c>
      <c r="C1016" s="41" t="s">
        <v>3234</v>
      </c>
      <c r="D1016" s="40" t="s">
        <v>3716</v>
      </c>
      <c r="E1016" s="40" t="s">
        <v>296</v>
      </c>
      <c r="F1016" s="40" t="s">
        <v>433</v>
      </c>
      <c r="G1016" s="42" t="s">
        <v>3717</v>
      </c>
    </row>
    <row r="1017" spans="1:7" x14ac:dyDescent="0.35">
      <c r="A1017" s="43" t="s">
        <v>3718</v>
      </c>
      <c r="B1017" s="44" t="s">
        <v>1741</v>
      </c>
      <c r="C1017" s="45" t="s">
        <v>3234</v>
      </c>
      <c r="D1017" s="44" t="s">
        <v>3719</v>
      </c>
      <c r="E1017" s="44" t="s">
        <v>296</v>
      </c>
      <c r="F1017" s="44" t="s">
        <v>433</v>
      </c>
      <c r="G1017" s="46" t="s">
        <v>3720</v>
      </c>
    </row>
    <row r="1018" spans="1:7" x14ac:dyDescent="0.35">
      <c r="A1018" s="39" t="s">
        <v>3721</v>
      </c>
      <c r="B1018" s="40" t="s">
        <v>1741</v>
      </c>
      <c r="C1018" s="41" t="s">
        <v>3234</v>
      </c>
      <c r="D1018" s="40" t="s">
        <v>3722</v>
      </c>
      <c r="E1018" s="40" t="s">
        <v>296</v>
      </c>
      <c r="F1018" s="40" t="s">
        <v>433</v>
      </c>
      <c r="G1018" s="42" t="s">
        <v>3723</v>
      </c>
    </row>
    <row r="1019" spans="1:7" x14ac:dyDescent="0.35">
      <c r="A1019" s="43" t="s">
        <v>3724</v>
      </c>
      <c r="B1019" s="44" t="s">
        <v>1741</v>
      </c>
      <c r="C1019" s="45" t="s">
        <v>3234</v>
      </c>
      <c r="D1019" s="44" t="s">
        <v>3725</v>
      </c>
      <c r="E1019" s="44" t="s">
        <v>296</v>
      </c>
      <c r="F1019" s="44" t="s">
        <v>433</v>
      </c>
      <c r="G1019" s="46" t="s">
        <v>3726</v>
      </c>
    </row>
    <row r="1020" spans="1:7" x14ac:dyDescent="0.35">
      <c r="A1020" s="39" t="s">
        <v>3727</v>
      </c>
      <c r="B1020" s="40" t="s">
        <v>1741</v>
      </c>
      <c r="C1020" s="41" t="s">
        <v>3234</v>
      </c>
      <c r="D1020" s="40" t="s">
        <v>3728</v>
      </c>
      <c r="E1020" s="40" t="s">
        <v>296</v>
      </c>
      <c r="F1020" s="40" t="s">
        <v>433</v>
      </c>
      <c r="G1020" s="42" t="s">
        <v>3729</v>
      </c>
    </row>
    <row r="1021" spans="1:7" x14ac:dyDescent="0.35">
      <c r="A1021" s="43" t="s">
        <v>3730</v>
      </c>
      <c r="B1021" s="44" t="s">
        <v>1741</v>
      </c>
      <c r="C1021" s="45" t="s">
        <v>3234</v>
      </c>
      <c r="D1021" s="44" t="s">
        <v>1509</v>
      </c>
      <c r="E1021" s="44" t="s">
        <v>296</v>
      </c>
      <c r="F1021" s="44" t="s">
        <v>433</v>
      </c>
      <c r="G1021" s="46" t="s">
        <v>3731</v>
      </c>
    </row>
    <row r="1022" spans="1:7" x14ac:dyDescent="0.35">
      <c r="A1022" s="39" t="s">
        <v>3732</v>
      </c>
      <c r="B1022" s="40" t="s">
        <v>1741</v>
      </c>
      <c r="C1022" s="41" t="s">
        <v>3234</v>
      </c>
      <c r="D1022" s="40" t="s">
        <v>3733</v>
      </c>
      <c r="E1022" s="40" t="s">
        <v>296</v>
      </c>
      <c r="F1022" s="40" t="s">
        <v>433</v>
      </c>
      <c r="G1022" s="42" t="s">
        <v>3734</v>
      </c>
    </row>
    <row r="1023" spans="1:7" x14ac:dyDescent="0.35">
      <c r="A1023" s="43" t="s">
        <v>3735</v>
      </c>
      <c r="B1023" s="44" t="s">
        <v>1741</v>
      </c>
      <c r="C1023" s="45" t="s">
        <v>3234</v>
      </c>
      <c r="D1023" s="44" t="s">
        <v>1535</v>
      </c>
      <c r="E1023" s="44" t="s">
        <v>296</v>
      </c>
      <c r="F1023" s="44" t="s">
        <v>433</v>
      </c>
      <c r="G1023" s="46" t="s">
        <v>3736</v>
      </c>
    </row>
    <row r="1024" spans="1:7" x14ac:dyDescent="0.35">
      <c r="A1024" s="39" t="s">
        <v>3737</v>
      </c>
      <c r="B1024" s="40" t="s">
        <v>1741</v>
      </c>
      <c r="C1024" s="41" t="s">
        <v>3234</v>
      </c>
      <c r="D1024" s="40" t="s">
        <v>3738</v>
      </c>
      <c r="E1024" s="40" t="s">
        <v>296</v>
      </c>
      <c r="F1024" s="40" t="s">
        <v>433</v>
      </c>
      <c r="G1024" s="42" t="s">
        <v>3739</v>
      </c>
    </row>
    <row r="1025" spans="1:7" x14ac:dyDescent="0.35">
      <c r="A1025" s="43" t="s">
        <v>3740</v>
      </c>
      <c r="B1025" s="44" t="s">
        <v>1741</v>
      </c>
      <c r="C1025" s="45" t="s">
        <v>3234</v>
      </c>
      <c r="D1025" s="44" t="s">
        <v>3741</v>
      </c>
      <c r="E1025" s="44" t="s">
        <v>296</v>
      </c>
      <c r="F1025" s="44" t="s">
        <v>433</v>
      </c>
      <c r="G1025" s="46" t="s">
        <v>3742</v>
      </c>
    </row>
    <row r="1026" spans="1:7" x14ac:dyDescent="0.35">
      <c r="A1026" s="39" t="s">
        <v>3743</v>
      </c>
      <c r="B1026" s="40" t="s">
        <v>1741</v>
      </c>
      <c r="C1026" s="41" t="s">
        <v>3234</v>
      </c>
      <c r="D1026" s="40" t="s">
        <v>3744</v>
      </c>
      <c r="E1026" s="40" t="s">
        <v>296</v>
      </c>
      <c r="F1026" s="40" t="s">
        <v>433</v>
      </c>
      <c r="G1026" s="42" t="s">
        <v>3745</v>
      </c>
    </row>
    <row r="1027" spans="1:7" x14ac:dyDescent="0.35">
      <c r="A1027" s="43" t="s">
        <v>3746</v>
      </c>
      <c r="B1027" s="44" t="s">
        <v>1741</v>
      </c>
      <c r="C1027" s="45" t="s">
        <v>3234</v>
      </c>
      <c r="D1027" s="44" t="s">
        <v>3747</v>
      </c>
      <c r="E1027" s="44" t="s">
        <v>296</v>
      </c>
      <c r="F1027" s="44" t="s">
        <v>433</v>
      </c>
      <c r="G1027" s="46" t="s">
        <v>3748</v>
      </c>
    </row>
    <row r="1028" spans="1:7" x14ac:dyDescent="0.35">
      <c r="A1028" s="39" t="s">
        <v>3749</v>
      </c>
      <c r="B1028" s="40" t="s">
        <v>1741</v>
      </c>
      <c r="C1028" s="41" t="s">
        <v>3234</v>
      </c>
      <c r="D1028" s="40" t="s">
        <v>3750</v>
      </c>
      <c r="E1028" s="40" t="s">
        <v>296</v>
      </c>
      <c r="F1028" s="40" t="s">
        <v>433</v>
      </c>
      <c r="G1028" s="42" t="s">
        <v>3751</v>
      </c>
    </row>
    <row r="1029" spans="1:7" x14ac:dyDescent="0.35">
      <c r="A1029" s="43" t="s">
        <v>3752</v>
      </c>
      <c r="B1029" s="44" t="s">
        <v>1741</v>
      </c>
      <c r="C1029" s="45" t="s">
        <v>3234</v>
      </c>
      <c r="D1029" s="44" t="s">
        <v>331</v>
      </c>
      <c r="E1029" s="44" t="s">
        <v>296</v>
      </c>
      <c r="F1029" s="44" t="s">
        <v>433</v>
      </c>
      <c r="G1029" s="46" t="s">
        <v>3753</v>
      </c>
    </row>
    <row r="1030" spans="1:7" x14ac:dyDescent="0.35">
      <c r="A1030" s="39" t="s">
        <v>3754</v>
      </c>
      <c r="B1030" s="40" t="s">
        <v>1741</v>
      </c>
      <c r="C1030" s="41" t="s">
        <v>3234</v>
      </c>
      <c r="D1030" s="40" t="s">
        <v>3755</v>
      </c>
      <c r="E1030" s="40" t="s">
        <v>296</v>
      </c>
      <c r="F1030" s="40" t="s">
        <v>433</v>
      </c>
      <c r="G1030" s="42" t="s">
        <v>3756</v>
      </c>
    </row>
    <row r="1031" spans="1:7" x14ac:dyDescent="0.35">
      <c r="A1031" s="43" t="s">
        <v>3757</v>
      </c>
      <c r="B1031" s="44" t="s">
        <v>1741</v>
      </c>
      <c r="C1031" s="45" t="s">
        <v>3234</v>
      </c>
      <c r="D1031" s="44" t="s">
        <v>3758</v>
      </c>
      <c r="E1031" s="44" t="s">
        <v>296</v>
      </c>
      <c r="F1031" s="44" t="s">
        <v>433</v>
      </c>
      <c r="G1031" s="46" t="s">
        <v>3759</v>
      </c>
    </row>
    <row r="1032" spans="1:7" x14ac:dyDescent="0.35">
      <c r="A1032" s="39" t="s">
        <v>3760</v>
      </c>
      <c r="B1032" s="40" t="s">
        <v>1741</v>
      </c>
      <c r="C1032" s="41" t="s">
        <v>3234</v>
      </c>
      <c r="D1032" s="40" t="s">
        <v>3761</v>
      </c>
      <c r="E1032" s="40" t="s">
        <v>296</v>
      </c>
      <c r="F1032" s="40" t="s">
        <v>433</v>
      </c>
      <c r="G1032" s="42" t="s">
        <v>3762</v>
      </c>
    </row>
    <row r="1033" spans="1:7" x14ac:dyDescent="0.35">
      <c r="A1033" s="43" t="s">
        <v>3763</v>
      </c>
      <c r="B1033" s="44" t="s">
        <v>1741</v>
      </c>
      <c r="C1033" s="45" t="s">
        <v>3234</v>
      </c>
      <c r="D1033" s="44" t="s">
        <v>3764</v>
      </c>
      <c r="E1033" s="44" t="s">
        <v>296</v>
      </c>
      <c r="F1033" s="44" t="s">
        <v>433</v>
      </c>
      <c r="G1033" s="46" t="s">
        <v>3765</v>
      </c>
    </row>
    <row r="1034" spans="1:7" x14ac:dyDescent="0.35">
      <c r="A1034" s="39" t="s">
        <v>3766</v>
      </c>
      <c r="B1034" s="40" t="s">
        <v>1741</v>
      </c>
      <c r="C1034" s="41" t="s">
        <v>3234</v>
      </c>
      <c r="D1034" s="40" t="s">
        <v>3767</v>
      </c>
      <c r="E1034" s="40" t="s">
        <v>296</v>
      </c>
      <c r="F1034" s="40" t="s">
        <v>433</v>
      </c>
      <c r="G1034" s="42" t="s">
        <v>3768</v>
      </c>
    </row>
    <row r="1035" spans="1:7" x14ac:dyDescent="0.35">
      <c r="A1035" s="43" t="s">
        <v>3769</v>
      </c>
      <c r="B1035" s="44" t="s">
        <v>1741</v>
      </c>
      <c r="C1035" s="45" t="s">
        <v>3234</v>
      </c>
      <c r="D1035" s="44" t="s">
        <v>3770</v>
      </c>
      <c r="E1035" s="44" t="s">
        <v>296</v>
      </c>
      <c r="F1035" s="44" t="s">
        <v>433</v>
      </c>
      <c r="G1035" s="46" t="s">
        <v>3771</v>
      </c>
    </row>
    <row r="1036" spans="1:7" x14ac:dyDescent="0.35">
      <c r="A1036" s="39" t="s">
        <v>3772</v>
      </c>
      <c r="B1036" s="40" t="s">
        <v>1741</v>
      </c>
      <c r="C1036" s="41" t="s">
        <v>3234</v>
      </c>
      <c r="D1036" s="40" t="s">
        <v>3773</v>
      </c>
      <c r="E1036" s="40" t="s">
        <v>296</v>
      </c>
      <c r="F1036" s="40" t="s">
        <v>433</v>
      </c>
      <c r="G1036" s="42" t="s">
        <v>3774</v>
      </c>
    </row>
    <row r="1037" spans="1:7" x14ac:dyDescent="0.35">
      <c r="A1037" s="43" t="s">
        <v>3775</v>
      </c>
      <c r="B1037" s="44" t="s">
        <v>1741</v>
      </c>
      <c r="C1037" s="45" t="s">
        <v>3234</v>
      </c>
      <c r="D1037" s="44" t="s">
        <v>3776</v>
      </c>
      <c r="E1037" s="44" t="s">
        <v>296</v>
      </c>
      <c r="F1037" s="44" t="s">
        <v>433</v>
      </c>
      <c r="G1037" s="46" t="s">
        <v>3777</v>
      </c>
    </row>
    <row r="1038" spans="1:7" x14ac:dyDescent="0.35">
      <c r="A1038" s="39" t="s">
        <v>3778</v>
      </c>
      <c r="B1038" s="40" t="s">
        <v>1741</v>
      </c>
      <c r="C1038" s="41" t="s">
        <v>3234</v>
      </c>
      <c r="D1038" s="40" t="s">
        <v>3779</v>
      </c>
      <c r="E1038" s="40" t="s">
        <v>296</v>
      </c>
      <c r="F1038" s="40" t="s">
        <v>433</v>
      </c>
      <c r="G1038" s="42" t="s">
        <v>3780</v>
      </c>
    </row>
    <row r="1039" spans="1:7" x14ac:dyDescent="0.35">
      <c r="A1039" s="43" t="s">
        <v>3781</v>
      </c>
      <c r="B1039" s="44" t="s">
        <v>1741</v>
      </c>
      <c r="C1039" s="45" t="s">
        <v>3234</v>
      </c>
      <c r="D1039" s="44" t="s">
        <v>3782</v>
      </c>
      <c r="E1039" s="44" t="s">
        <v>296</v>
      </c>
      <c r="F1039" s="44" t="s">
        <v>433</v>
      </c>
      <c r="G1039" s="46" t="s">
        <v>3783</v>
      </c>
    </row>
    <row r="1040" spans="1:7" x14ac:dyDescent="0.35">
      <c r="A1040" s="39" t="s">
        <v>3784</v>
      </c>
      <c r="B1040" s="40" t="s">
        <v>1741</v>
      </c>
      <c r="C1040" s="41" t="s">
        <v>3234</v>
      </c>
      <c r="D1040" s="40" t="s">
        <v>3785</v>
      </c>
      <c r="E1040" s="40" t="s">
        <v>296</v>
      </c>
      <c r="F1040" s="40" t="s">
        <v>433</v>
      </c>
      <c r="G1040" s="42" t="s">
        <v>3786</v>
      </c>
    </row>
    <row r="1041" spans="1:7" x14ac:dyDescent="0.35">
      <c r="A1041" s="43" t="s">
        <v>3787</v>
      </c>
      <c r="B1041" s="44" t="s">
        <v>1741</v>
      </c>
      <c r="C1041" s="45" t="s">
        <v>3234</v>
      </c>
      <c r="D1041" s="44" t="s">
        <v>3788</v>
      </c>
      <c r="E1041" s="44" t="s">
        <v>296</v>
      </c>
      <c r="F1041" s="44" t="s">
        <v>433</v>
      </c>
      <c r="G1041" s="46" t="s">
        <v>3789</v>
      </c>
    </row>
    <row r="1042" spans="1:7" x14ac:dyDescent="0.35">
      <c r="A1042" s="39" t="s">
        <v>3790</v>
      </c>
      <c r="B1042" s="40" t="s">
        <v>1741</v>
      </c>
      <c r="C1042" s="41" t="s">
        <v>3234</v>
      </c>
      <c r="D1042" s="40" t="s">
        <v>3791</v>
      </c>
      <c r="E1042" s="40" t="s">
        <v>296</v>
      </c>
      <c r="F1042" s="40" t="s">
        <v>433</v>
      </c>
      <c r="G1042" s="42" t="s">
        <v>3792</v>
      </c>
    </row>
    <row r="1043" spans="1:7" x14ac:dyDescent="0.35">
      <c r="A1043" s="43" t="s">
        <v>3793</v>
      </c>
      <c r="B1043" s="44" t="s">
        <v>1741</v>
      </c>
      <c r="C1043" s="45" t="s">
        <v>3234</v>
      </c>
      <c r="D1043" s="44" t="s">
        <v>3794</v>
      </c>
      <c r="E1043" s="44" t="s">
        <v>296</v>
      </c>
      <c r="F1043" s="44" t="s">
        <v>433</v>
      </c>
      <c r="G1043" s="46" t="s">
        <v>3795</v>
      </c>
    </row>
    <row r="1044" spans="1:7" x14ac:dyDescent="0.35">
      <c r="A1044" s="39" t="s">
        <v>3796</v>
      </c>
      <c r="B1044" s="40" t="s">
        <v>1741</v>
      </c>
      <c r="C1044" s="41" t="s">
        <v>3234</v>
      </c>
      <c r="D1044" s="40" t="s">
        <v>279</v>
      </c>
      <c r="E1044" s="40" t="s">
        <v>296</v>
      </c>
      <c r="F1044" s="40" t="s">
        <v>433</v>
      </c>
      <c r="G1044" s="42" t="s">
        <v>3797</v>
      </c>
    </row>
    <row r="1045" spans="1:7" x14ac:dyDescent="0.35">
      <c r="A1045" s="43" t="s">
        <v>3798</v>
      </c>
      <c r="B1045" s="44" t="s">
        <v>1741</v>
      </c>
      <c r="C1045" s="45" t="s">
        <v>3234</v>
      </c>
      <c r="D1045" s="44" t="s">
        <v>3799</v>
      </c>
      <c r="E1045" s="44" t="s">
        <v>296</v>
      </c>
      <c r="F1045" s="44" t="s">
        <v>433</v>
      </c>
      <c r="G1045" s="46" t="s">
        <v>3800</v>
      </c>
    </row>
    <row r="1046" spans="1:7" x14ac:dyDescent="0.35">
      <c r="A1046" s="39" t="s">
        <v>3801</v>
      </c>
      <c r="B1046" s="40" t="s">
        <v>1741</v>
      </c>
      <c r="C1046" s="41" t="s">
        <v>3234</v>
      </c>
      <c r="D1046" s="40" t="s">
        <v>3802</v>
      </c>
      <c r="E1046" s="40" t="s">
        <v>296</v>
      </c>
      <c r="F1046" s="40" t="s">
        <v>433</v>
      </c>
      <c r="G1046" s="42" t="s">
        <v>3803</v>
      </c>
    </row>
    <row r="1047" spans="1:7" x14ac:dyDescent="0.35">
      <c r="A1047" s="43" t="s">
        <v>3804</v>
      </c>
      <c r="B1047" s="44" t="s">
        <v>1741</v>
      </c>
      <c r="C1047" s="45" t="s">
        <v>3234</v>
      </c>
      <c r="D1047" s="44" t="s">
        <v>3805</v>
      </c>
      <c r="E1047" s="44" t="s">
        <v>296</v>
      </c>
      <c r="F1047" s="44" t="s">
        <v>433</v>
      </c>
      <c r="G1047" s="46" t="s">
        <v>3806</v>
      </c>
    </row>
    <row r="1048" spans="1:7" x14ac:dyDescent="0.35">
      <c r="A1048" s="39" t="s">
        <v>3807</v>
      </c>
      <c r="B1048" s="40" t="s">
        <v>1741</v>
      </c>
      <c r="C1048" s="41" t="s">
        <v>3234</v>
      </c>
      <c r="D1048" s="40" t="s">
        <v>3808</v>
      </c>
      <c r="E1048" s="40" t="s">
        <v>296</v>
      </c>
      <c r="F1048" s="40" t="s">
        <v>433</v>
      </c>
      <c r="G1048" s="42" t="s">
        <v>3809</v>
      </c>
    </row>
    <row r="1049" spans="1:7" x14ac:dyDescent="0.35">
      <c r="A1049" s="43" t="s">
        <v>3810</v>
      </c>
      <c r="B1049" s="44" t="s">
        <v>1741</v>
      </c>
      <c r="C1049" s="45" t="s">
        <v>3234</v>
      </c>
      <c r="D1049" s="44" t="s">
        <v>3811</v>
      </c>
      <c r="E1049" s="44" t="s">
        <v>296</v>
      </c>
      <c r="F1049" s="44" t="s">
        <v>433</v>
      </c>
      <c r="G1049" s="46" t="s">
        <v>3812</v>
      </c>
    </row>
    <row r="1050" spans="1:7" x14ac:dyDescent="0.35">
      <c r="A1050" s="39" t="s">
        <v>3813</v>
      </c>
      <c r="B1050" s="40" t="s">
        <v>1741</v>
      </c>
      <c r="C1050" s="41" t="s">
        <v>3234</v>
      </c>
      <c r="D1050" s="40" t="s">
        <v>3814</v>
      </c>
      <c r="E1050" s="40" t="s">
        <v>296</v>
      </c>
      <c r="F1050" s="40" t="s">
        <v>433</v>
      </c>
      <c r="G1050" s="42" t="s">
        <v>3815</v>
      </c>
    </row>
    <row r="1051" spans="1:7" x14ac:dyDescent="0.35">
      <c r="A1051" s="43" t="s">
        <v>3816</v>
      </c>
      <c r="B1051" s="44" t="s">
        <v>1741</v>
      </c>
      <c r="C1051" s="45" t="s">
        <v>3234</v>
      </c>
      <c r="D1051" s="44" t="s">
        <v>3817</v>
      </c>
      <c r="E1051" s="44" t="s">
        <v>296</v>
      </c>
      <c r="F1051" s="44" t="s">
        <v>433</v>
      </c>
      <c r="G1051" s="46" t="s">
        <v>3818</v>
      </c>
    </row>
    <row r="1052" spans="1:7" x14ac:dyDescent="0.35">
      <c r="A1052" s="39" t="s">
        <v>3819</v>
      </c>
      <c r="B1052" s="40" t="s">
        <v>1741</v>
      </c>
      <c r="C1052" s="41" t="s">
        <v>3234</v>
      </c>
      <c r="D1052" s="40" t="s">
        <v>3820</v>
      </c>
      <c r="E1052" s="40" t="s">
        <v>296</v>
      </c>
      <c r="F1052" s="40" t="s">
        <v>433</v>
      </c>
      <c r="G1052" s="42" t="s">
        <v>3821</v>
      </c>
    </row>
    <row r="1053" spans="1:7" x14ac:dyDescent="0.35">
      <c r="A1053" s="43" t="s">
        <v>3822</v>
      </c>
      <c r="B1053" s="44" t="s">
        <v>1741</v>
      </c>
      <c r="C1053" s="45" t="s">
        <v>3234</v>
      </c>
      <c r="D1053" s="44" t="s">
        <v>3823</v>
      </c>
      <c r="E1053" s="44" t="s">
        <v>296</v>
      </c>
      <c r="F1053" s="44" t="s">
        <v>433</v>
      </c>
      <c r="G1053" s="46" t="s">
        <v>3824</v>
      </c>
    </row>
    <row r="1054" spans="1:7" x14ac:dyDescent="0.35">
      <c r="A1054" s="39" t="s">
        <v>3825</v>
      </c>
      <c r="B1054" s="40" t="s">
        <v>1741</v>
      </c>
      <c r="C1054" s="41" t="s">
        <v>3234</v>
      </c>
      <c r="D1054" s="40" t="s">
        <v>3826</v>
      </c>
      <c r="E1054" s="40" t="s">
        <v>296</v>
      </c>
      <c r="F1054" s="40" t="s">
        <v>433</v>
      </c>
      <c r="G1054" s="42" t="s">
        <v>3827</v>
      </c>
    </row>
    <row r="1055" spans="1:7" x14ac:dyDescent="0.35">
      <c r="A1055" s="43" t="s">
        <v>3828</v>
      </c>
      <c r="B1055" s="44" t="s">
        <v>1741</v>
      </c>
      <c r="C1055" s="45" t="s">
        <v>3234</v>
      </c>
      <c r="D1055" s="44" t="s">
        <v>3829</v>
      </c>
      <c r="E1055" s="44" t="s">
        <v>296</v>
      </c>
      <c r="F1055" s="44" t="s">
        <v>433</v>
      </c>
      <c r="G1055" s="46" t="s">
        <v>3830</v>
      </c>
    </row>
    <row r="1056" spans="1:7" x14ac:dyDescent="0.35">
      <c r="A1056" s="39" t="s">
        <v>3831</v>
      </c>
      <c r="B1056" s="40" t="s">
        <v>1741</v>
      </c>
      <c r="C1056" s="41" t="s">
        <v>3234</v>
      </c>
      <c r="D1056" s="40" t="s">
        <v>3832</v>
      </c>
      <c r="E1056" s="40" t="s">
        <v>296</v>
      </c>
      <c r="F1056" s="40" t="s">
        <v>433</v>
      </c>
      <c r="G1056" s="42" t="s">
        <v>3833</v>
      </c>
    </row>
    <row r="1057" spans="1:7" x14ac:dyDescent="0.35">
      <c r="A1057" s="43" t="s">
        <v>3834</v>
      </c>
      <c r="B1057" s="44" t="s">
        <v>1741</v>
      </c>
      <c r="C1057" s="45" t="s">
        <v>3234</v>
      </c>
      <c r="D1057" s="44" t="s">
        <v>3835</v>
      </c>
      <c r="E1057" s="44" t="s">
        <v>296</v>
      </c>
      <c r="F1057" s="44" t="s">
        <v>433</v>
      </c>
      <c r="G1057" s="46" t="s">
        <v>3836</v>
      </c>
    </row>
    <row r="1058" spans="1:7" x14ac:dyDescent="0.35">
      <c r="A1058" s="39" t="s">
        <v>3837</v>
      </c>
      <c r="B1058" s="40" t="s">
        <v>1741</v>
      </c>
      <c r="C1058" s="41" t="s">
        <v>3234</v>
      </c>
      <c r="D1058" s="40" t="s">
        <v>3838</v>
      </c>
      <c r="E1058" s="40" t="s">
        <v>296</v>
      </c>
      <c r="F1058" s="40" t="s">
        <v>433</v>
      </c>
      <c r="G1058" s="42" t="s">
        <v>3839</v>
      </c>
    </row>
    <row r="1059" spans="1:7" x14ac:dyDescent="0.35">
      <c r="A1059" s="43" t="s">
        <v>3840</v>
      </c>
      <c r="B1059" s="44" t="s">
        <v>1741</v>
      </c>
      <c r="C1059" s="45" t="s">
        <v>3234</v>
      </c>
      <c r="D1059" s="44" t="s">
        <v>3841</v>
      </c>
      <c r="E1059" s="44" t="s">
        <v>296</v>
      </c>
      <c r="F1059" s="44" t="s">
        <v>433</v>
      </c>
      <c r="G1059" s="46" t="s">
        <v>3842</v>
      </c>
    </row>
    <row r="1060" spans="1:7" x14ac:dyDescent="0.35">
      <c r="A1060" s="39" t="s">
        <v>3843</v>
      </c>
      <c r="B1060" s="40" t="s">
        <v>1741</v>
      </c>
      <c r="C1060" s="41" t="s">
        <v>3234</v>
      </c>
      <c r="D1060" s="40" t="s">
        <v>3844</v>
      </c>
      <c r="E1060" s="40" t="s">
        <v>296</v>
      </c>
      <c r="F1060" s="40" t="s">
        <v>433</v>
      </c>
      <c r="G1060" s="42" t="s">
        <v>3845</v>
      </c>
    </row>
    <row r="1061" spans="1:7" x14ac:dyDescent="0.35">
      <c r="A1061" s="43" t="s">
        <v>3846</v>
      </c>
      <c r="B1061" s="44" t="s">
        <v>1741</v>
      </c>
      <c r="C1061" s="45" t="s">
        <v>3234</v>
      </c>
      <c r="D1061" s="44" t="s">
        <v>3847</v>
      </c>
      <c r="E1061" s="44" t="s">
        <v>296</v>
      </c>
      <c r="F1061" s="44" t="s">
        <v>433</v>
      </c>
      <c r="G1061" s="46" t="s">
        <v>3848</v>
      </c>
    </row>
    <row r="1062" spans="1:7" x14ac:dyDescent="0.35">
      <c r="A1062" s="39" t="s">
        <v>3849</v>
      </c>
      <c r="B1062" s="40" t="s">
        <v>1741</v>
      </c>
      <c r="C1062" s="41" t="s">
        <v>3234</v>
      </c>
      <c r="D1062" s="40" t="s">
        <v>3850</v>
      </c>
      <c r="E1062" s="40" t="s">
        <v>296</v>
      </c>
      <c r="F1062" s="40" t="s">
        <v>433</v>
      </c>
      <c r="G1062" s="42" t="s">
        <v>3851</v>
      </c>
    </row>
    <row r="1063" spans="1:7" x14ac:dyDescent="0.35">
      <c r="A1063" s="43" t="s">
        <v>3852</v>
      </c>
      <c r="B1063" s="44" t="s">
        <v>1741</v>
      </c>
      <c r="C1063" s="45" t="s">
        <v>3234</v>
      </c>
      <c r="D1063" s="44" t="s">
        <v>3853</v>
      </c>
      <c r="E1063" s="44" t="s">
        <v>296</v>
      </c>
      <c r="F1063" s="44" t="s">
        <v>433</v>
      </c>
      <c r="G1063" s="46" t="s">
        <v>3854</v>
      </c>
    </row>
    <row r="1064" spans="1:7" x14ac:dyDescent="0.35">
      <c r="A1064" s="39" t="s">
        <v>3855</v>
      </c>
      <c r="B1064" s="40" t="s">
        <v>1741</v>
      </c>
      <c r="C1064" s="41" t="s">
        <v>3234</v>
      </c>
      <c r="D1064" s="40" t="s">
        <v>3856</v>
      </c>
      <c r="E1064" s="40" t="s">
        <v>296</v>
      </c>
      <c r="F1064" s="40" t="s">
        <v>433</v>
      </c>
      <c r="G1064" s="42" t="s">
        <v>3857</v>
      </c>
    </row>
    <row r="1065" spans="1:7" x14ac:dyDescent="0.35">
      <c r="A1065" s="43" t="s">
        <v>3858</v>
      </c>
      <c r="B1065" s="44" t="s">
        <v>1741</v>
      </c>
      <c r="C1065" s="45" t="s">
        <v>3234</v>
      </c>
      <c r="D1065" s="44" t="s">
        <v>3859</v>
      </c>
      <c r="E1065" s="44" t="s">
        <v>296</v>
      </c>
      <c r="F1065" s="44" t="s">
        <v>433</v>
      </c>
      <c r="G1065" s="46" t="s">
        <v>3860</v>
      </c>
    </row>
    <row r="1066" spans="1:7" x14ac:dyDescent="0.35">
      <c r="A1066" s="39" t="s">
        <v>3861</v>
      </c>
      <c r="B1066" s="40" t="s">
        <v>1741</v>
      </c>
      <c r="C1066" s="41" t="s">
        <v>3234</v>
      </c>
      <c r="D1066" s="40" t="s">
        <v>3862</v>
      </c>
      <c r="E1066" s="40" t="s">
        <v>296</v>
      </c>
      <c r="F1066" s="40" t="s">
        <v>433</v>
      </c>
      <c r="G1066" s="42" t="s">
        <v>3863</v>
      </c>
    </row>
    <row r="1067" spans="1:7" x14ac:dyDescent="0.35">
      <c r="A1067" s="43" t="s">
        <v>3864</v>
      </c>
      <c r="B1067" s="44" t="s">
        <v>1741</v>
      </c>
      <c r="C1067" s="45" t="s">
        <v>3234</v>
      </c>
      <c r="D1067" s="44" t="s">
        <v>3865</v>
      </c>
      <c r="E1067" s="44" t="s">
        <v>296</v>
      </c>
      <c r="F1067" s="44" t="s">
        <v>433</v>
      </c>
      <c r="G1067" s="46" t="s">
        <v>3866</v>
      </c>
    </row>
    <row r="1068" spans="1:7" x14ac:dyDescent="0.35">
      <c r="A1068" s="39" t="s">
        <v>3867</v>
      </c>
      <c r="B1068" s="40" t="s">
        <v>1741</v>
      </c>
      <c r="C1068" s="41" t="s">
        <v>3234</v>
      </c>
      <c r="D1068" s="40" t="s">
        <v>3868</v>
      </c>
      <c r="E1068" s="40" t="s">
        <v>296</v>
      </c>
      <c r="F1068" s="40" t="s">
        <v>433</v>
      </c>
      <c r="G1068" s="42" t="s">
        <v>3869</v>
      </c>
    </row>
    <row r="1069" spans="1:7" x14ac:dyDescent="0.35">
      <c r="A1069" s="43" t="s">
        <v>3870</v>
      </c>
      <c r="B1069" s="44" t="s">
        <v>1741</v>
      </c>
      <c r="C1069" s="45" t="s">
        <v>3234</v>
      </c>
      <c r="D1069" s="44" t="s">
        <v>3871</v>
      </c>
      <c r="E1069" s="44" t="s">
        <v>296</v>
      </c>
      <c r="F1069" s="44" t="s">
        <v>433</v>
      </c>
      <c r="G1069" s="46" t="s">
        <v>3872</v>
      </c>
    </row>
    <row r="1070" spans="1:7" x14ac:dyDescent="0.35">
      <c r="A1070" s="39" t="s">
        <v>3873</v>
      </c>
      <c r="B1070" s="40" t="s">
        <v>1741</v>
      </c>
      <c r="C1070" s="41" t="s">
        <v>3234</v>
      </c>
      <c r="D1070" s="40" t="s">
        <v>3874</v>
      </c>
      <c r="E1070" s="40" t="s">
        <v>296</v>
      </c>
      <c r="F1070" s="40" t="s">
        <v>433</v>
      </c>
      <c r="G1070" s="42" t="s">
        <v>3875</v>
      </c>
    </row>
    <row r="1071" spans="1:7" x14ac:dyDescent="0.35">
      <c r="A1071" s="43" t="s">
        <v>3876</v>
      </c>
      <c r="B1071" s="44" t="s">
        <v>1741</v>
      </c>
      <c r="C1071" s="45" t="s">
        <v>3234</v>
      </c>
      <c r="D1071" s="44" t="s">
        <v>3877</v>
      </c>
      <c r="E1071" s="44" t="s">
        <v>296</v>
      </c>
      <c r="F1071" s="44" t="s">
        <v>433</v>
      </c>
      <c r="G1071" s="46" t="s">
        <v>3878</v>
      </c>
    </row>
    <row r="1072" spans="1:7" x14ac:dyDescent="0.35">
      <c r="A1072" s="39" t="s">
        <v>3879</v>
      </c>
      <c r="B1072" s="40" t="s">
        <v>1741</v>
      </c>
      <c r="C1072" s="41" t="s">
        <v>3234</v>
      </c>
      <c r="D1072" s="40" t="s">
        <v>3880</v>
      </c>
      <c r="E1072" s="40" t="s">
        <v>296</v>
      </c>
      <c r="F1072" s="40" t="s">
        <v>433</v>
      </c>
      <c r="G1072" s="42" t="s">
        <v>3881</v>
      </c>
    </row>
    <row r="1073" spans="1:7" x14ac:dyDescent="0.35">
      <c r="A1073" s="43" t="s">
        <v>3882</v>
      </c>
      <c r="B1073" s="44" t="s">
        <v>1741</v>
      </c>
      <c r="C1073" s="45" t="s">
        <v>3234</v>
      </c>
      <c r="D1073" s="44" t="s">
        <v>311</v>
      </c>
      <c r="E1073" s="44" t="s">
        <v>296</v>
      </c>
      <c r="F1073" s="44" t="s">
        <v>433</v>
      </c>
      <c r="G1073" s="46" t="s">
        <v>3883</v>
      </c>
    </row>
    <row r="1074" spans="1:7" x14ac:dyDescent="0.35">
      <c r="A1074" s="39" t="s">
        <v>3884</v>
      </c>
      <c r="B1074" s="40" t="s">
        <v>1741</v>
      </c>
      <c r="C1074" s="41" t="s">
        <v>3234</v>
      </c>
      <c r="D1074" s="40" t="s">
        <v>1573</v>
      </c>
      <c r="E1074" s="40" t="s">
        <v>296</v>
      </c>
      <c r="F1074" s="40" t="s">
        <v>433</v>
      </c>
      <c r="G1074" s="42" t="s">
        <v>3885</v>
      </c>
    </row>
    <row r="1075" spans="1:7" x14ac:dyDescent="0.35">
      <c r="A1075" s="43" t="s">
        <v>3886</v>
      </c>
      <c r="B1075" s="44" t="s">
        <v>1741</v>
      </c>
      <c r="C1075" s="45" t="s">
        <v>3234</v>
      </c>
      <c r="D1075" s="44" t="s">
        <v>3887</v>
      </c>
      <c r="E1075" s="44" t="s">
        <v>296</v>
      </c>
      <c r="F1075" s="44" t="s">
        <v>433</v>
      </c>
      <c r="G1075" s="46" t="s">
        <v>3888</v>
      </c>
    </row>
    <row r="1076" spans="1:7" x14ac:dyDescent="0.35">
      <c r="A1076" s="39" t="s">
        <v>3889</v>
      </c>
      <c r="B1076" s="40" t="s">
        <v>1741</v>
      </c>
      <c r="C1076" s="41" t="s">
        <v>3234</v>
      </c>
      <c r="D1076" s="40" t="s">
        <v>3890</v>
      </c>
      <c r="E1076" s="40" t="s">
        <v>296</v>
      </c>
      <c r="F1076" s="40" t="s">
        <v>433</v>
      </c>
      <c r="G1076" s="42" t="s">
        <v>3891</v>
      </c>
    </row>
    <row r="1077" spans="1:7" x14ac:dyDescent="0.35">
      <c r="A1077" s="43" t="s">
        <v>3892</v>
      </c>
      <c r="B1077" s="44" t="s">
        <v>1741</v>
      </c>
      <c r="C1077" s="45" t="s">
        <v>3234</v>
      </c>
      <c r="D1077" s="44" t="s">
        <v>3893</v>
      </c>
      <c r="E1077" s="44" t="s">
        <v>296</v>
      </c>
      <c r="F1077" s="44" t="s">
        <v>433</v>
      </c>
      <c r="G1077" s="46" t="s">
        <v>3894</v>
      </c>
    </row>
    <row r="1078" spans="1:7" x14ac:dyDescent="0.35">
      <c r="A1078" s="39" t="s">
        <v>3895</v>
      </c>
      <c r="B1078" s="40" t="s">
        <v>1741</v>
      </c>
      <c r="C1078" s="41" t="s">
        <v>3234</v>
      </c>
      <c r="D1078" s="40" t="s">
        <v>3896</v>
      </c>
      <c r="E1078" s="40" t="s">
        <v>296</v>
      </c>
      <c r="F1078" s="40" t="s">
        <v>433</v>
      </c>
      <c r="G1078" s="42" t="s">
        <v>3897</v>
      </c>
    </row>
    <row r="1079" spans="1:7" x14ac:dyDescent="0.35">
      <c r="A1079" s="43" t="s">
        <v>3898</v>
      </c>
      <c r="B1079" s="44" t="s">
        <v>1741</v>
      </c>
      <c r="C1079" s="45" t="s">
        <v>3234</v>
      </c>
      <c r="D1079" s="44" t="s">
        <v>3899</v>
      </c>
      <c r="E1079" s="44" t="s">
        <v>296</v>
      </c>
      <c r="F1079" s="44" t="s">
        <v>433</v>
      </c>
      <c r="G1079" s="46" t="s">
        <v>3900</v>
      </c>
    </row>
    <row r="1080" spans="1:7" x14ac:dyDescent="0.35">
      <c r="A1080" s="39" t="s">
        <v>3901</v>
      </c>
      <c r="B1080" s="40" t="s">
        <v>1741</v>
      </c>
      <c r="C1080" s="41" t="s">
        <v>3234</v>
      </c>
      <c r="D1080" s="40" t="s">
        <v>3902</v>
      </c>
      <c r="E1080" s="40" t="s">
        <v>296</v>
      </c>
      <c r="F1080" s="40" t="s">
        <v>433</v>
      </c>
      <c r="G1080" s="42" t="s">
        <v>3903</v>
      </c>
    </row>
    <row r="1081" spans="1:7" x14ac:dyDescent="0.35">
      <c r="A1081" s="43" t="s">
        <v>3904</v>
      </c>
      <c r="B1081" s="44" t="s">
        <v>1741</v>
      </c>
      <c r="C1081" s="45" t="s">
        <v>3234</v>
      </c>
      <c r="D1081" s="44" t="s">
        <v>3905</v>
      </c>
      <c r="E1081" s="44" t="s">
        <v>296</v>
      </c>
      <c r="F1081" s="44" t="s">
        <v>433</v>
      </c>
      <c r="G1081" s="46" t="s">
        <v>3906</v>
      </c>
    </row>
    <row r="1082" spans="1:7" x14ac:dyDescent="0.35">
      <c r="A1082" s="39" t="s">
        <v>3907</v>
      </c>
      <c r="B1082" s="40" t="s">
        <v>1741</v>
      </c>
      <c r="C1082" s="41" t="s">
        <v>3234</v>
      </c>
      <c r="D1082" s="40" t="s">
        <v>3908</v>
      </c>
      <c r="E1082" s="40" t="s">
        <v>296</v>
      </c>
      <c r="F1082" s="40" t="s">
        <v>433</v>
      </c>
      <c r="G1082" s="42" t="s">
        <v>3909</v>
      </c>
    </row>
    <row r="1083" spans="1:7" x14ac:dyDescent="0.35">
      <c r="A1083" s="43" t="s">
        <v>3910</v>
      </c>
      <c r="B1083" s="44" t="s">
        <v>1741</v>
      </c>
      <c r="C1083" s="45" t="s">
        <v>3234</v>
      </c>
      <c r="D1083" s="44" t="s">
        <v>3911</v>
      </c>
      <c r="E1083" s="44" t="s">
        <v>296</v>
      </c>
      <c r="F1083" s="44" t="s">
        <v>433</v>
      </c>
      <c r="G1083" s="46" t="s">
        <v>3912</v>
      </c>
    </row>
    <row r="1084" spans="1:7" x14ac:dyDescent="0.35">
      <c r="A1084" s="39" t="s">
        <v>3913</v>
      </c>
      <c r="B1084" s="40" t="s">
        <v>1741</v>
      </c>
      <c r="C1084" s="41" t="s">
        <v>3234</v>
      </c>
      <c r="D1084" s="40" t="s">
        <v>3914</v>
      </c>
      <c r="E1084" s="40" t="s">
        <v>296</v>
      </c>
      <c r="F1084" s="40" t="s">
        <v>433</v>
      </c>
      <c r="G1084" s="42" t="s">
        <v>3915</v>
      </c>
    </row>
    <row r="1085" spans="1:7" x14ac:dyDescent="0.35">
      <c r="A1085" s="43" t="s">
        <v>3916</v>
      </c>
      <c r="B1085" s="44" t="s">
        <v>1741</v>
      </c>
      <c r="C1085" s="45" t="s">
        <v>3234</v>
      </c>
      <c r="D1085" s="44" t="s">
        <v>3917</v>
      </c>
      <c r="E1085" s="44" t="s">
        <v>296</v>
      </c>
      <c r="F1085" s="44" t="s">
        <v>433</v>
      </c>
      <c r="G1085" s="46" t="s">
        <v>3918</v>
      </c>
    </row>
    <row r="1086" spans="1:7" x14ac:dyDescent="0.35">
      <c r="A1086" s="39" t="s">
        <v>3919</v>
      </c>
      <c r="B1086" s="40" t="s">
        <v>1741</v>
      </c>
      <c r="C1086" s="41" t="s">
        <v>3234</v>
      </c>
      <c r="D1086" s="40" t="s">
        <v>3920</v>
      </c>
      <c r="E1086" s="40" t="s">
        <v>296</v>
      </c>
      <c r="F1086" s="40" t="s">
        <v>433</v>
      </c>
      <c r="G1086" s="42" t="s">
        <v>3921</v>
      </c>
    </row>
    <row r="1087" spans="1:7" x14ac:dyDescent="0.35">
      <c r="A1087" s="43" t="s">
        <v>3922</v>
      </c>
      <c r="B1087" s="44" t="s">
        <v>1741</v>
      </c>
      <c r="C1087" s="45" t="s">
        <v>3234</v>
      </c>
      <c r="D1087" s="44" t="s">
        <v>3923</v>
      </c>
      <c r="E1087" s="44" t="s">
        <v>296</v>
      </c>
      <c r="F1087" s="44" t="s">
        <v>433</v>
      </c>
      <c r="G1087" s="46" t="s">
        <v>3924</v>
      </c>
    </row>
    <row r="1088" spans="1:7" x14ac:dyDescent="0.35">
      <c r="A1088" s="39" t="s">
        <v>3925</v>
      </c>
      <c r="B1088" s="40" t="s">
        <v>1741</v>
      </c>
      <c r="C1088" s="41" t="s">
        <v>3234</v>
      </c>
      <c r="D1088" s="40" t="s">
        <v>3926</v>
      </c>
      <c r="E1088" s="40" t="s">
        <v>296</v>
      </c>
      <c r="F1088" s="40" t="s">
        <v>433</v>
      </c>
      <c r="G1088" s="42" t="s">
        <v>3927</v>
      </c>
    </row>
    <row r="1089" spans="1:7" x14ac:dyDescent="0.35">
      <c r="A1089" s="43" t="s">
        <v>3928</v>
      </c>
      <c r="B1089" s="44" t="s">
        <v>3929</v>
      </c>
      <c r="C1089" s="45" t="s">
        <v>3930</v>
      </c>
      <c r="D1089" s="44" t="s">
        <v>3931</v>
      </c>
      <c r="E1089" s="44" t="s">
        <v>1557</v>
      </c>
      <c r="F1089" s="44" t="s">
        <v>1509</v>
      </c>
      <c r="G1089" s="46" t="s">
        <v>3932</v>
      </c>
    </row>
    <row r="1090" spans="1:7" x14ac:dyDescent="0.35">
      <c r="A1090" s="39" t="s">
        <v>3933</v>
      </c>
      <c r="B1090" s="40" t="s">
        <v>1921</v>
      </c>
      <c r="C1090" s="41" t="s">
        <v>3934</v>
      </c>
      <c r="D1090" s="40" t="s">
        <v>1679</v>
      </c>
      <c r="E1090" s="40" t="s">
        <v>502</v>
      </c>
      <c r="F1090" s="40" t="s">
        <v>502</v>
      </c>
      <c r="G1090" s="42" t="s">
        <v>3935</v>
      </c>
    </row>
    <row r="1091" spans="1:7" x14ac:dyDescent="0.35">
      <c r="A1091" s="43" t="s">
        <v>3936</v>
      </c>
      <c r="B1091" s="44" t="s">
        <v>1921</v>
      </c>
      <c r="C1091" s="45" t="s">
        <v>3934</v>
      </c>
      <c r="D1091" s="44" t="s">
        <v>2138</v>
      </c>
      <c r="E1091" s="44" t="s">
        <v>502</v>
      </c>
      <c r="F1091" s="44" t="s">
        <v>502</v>
      </c>
      <c r="G1091" s="46" t="s">
        <v>3937</v>
      </c>
    </row>
    <row r="1092" spans="1:7" x14ac:dyDescent="0.35">
      <c r="A1092" s="39" t="s">
        <v>3938</v>
      </c>
      <c r="B1092" s="40" t="s">
        <v>3939</v>
      </c>
      <c r="C1092" s="41" t="s">
        <v>3940</v>
      </c>
      <c r="D1092" s="40" t="s">
        <v>3941</v>
      </c>
      <c r="E1092" s="40" t="s">
        <v>364</v>
      </c>
      <c r="F1092" s="40" t="s">
        <v>642</v>
      </c>
      <c r="G1092" s="42" t="s">
        <v>3942</v>
      </c>
    </row>
    <row r="1093" spans="1:7" x14ac:dyDescent="0.35">
      <c r="A1093" s="43" t="s">
        <v>3943</v>
      </c>
      <c r="B1093" s="44" t="s">
        <v>1921</v>
      </c>
      <c r="C1093" s="45" t="s">
        <v>3944</v>
      </c>
      <c r="D1093" s="44" t="s">
        <v>3945</v>
      </c>
      <c r="E1093" s="44" t="s">
        <v>221</v>
      </c>
      <c r="F1093" s="44" t="s">
        <v>221</v>
      </c>
      <c r="G1093" s="46" t="s">
        <v>3946</v>
      </c>
    </row>
    <row r="1094" spans="1:7" x14ac:dyDescent="0.35">
      <c r="A1094" s="39" t="s">
        <v>3947</v>
      </c>
      <c r="B1094" s="40" t="s">
        <v>1921</v>
      </c>
      <c r="C1094" s="41" t="s">
        <v>3944</v>
      </c>
      <c r="D1094" s="40" t="s">
        <v>3948</v>
      </c>
      <c r="E1094" s="40" t="s">
        <v>221</v>
      </c>
      <c r="F1094" s="40" t="s">
        <v>221</v>
      </c>
      <c r="G1094" s="42" t="s">
        <v>3949</v>
      </c>
    </row>
    <row r="1095" spans="1:7" x14ac:dyDescent="0.35">
      <c r="A1095" s="43" t="s">
        <v>3950</v>
      </c>
      <c r="B1095" s="44" t="s">
        <v>1921</v>
      </c>
      <c r="C1095" s="45" t="s">
        <v>3944</v>
      </c>
      <c r="D1095" s="44" t="s">
        <v>491</v>
      </c>
      <c r="E1095" s="44" t="s">
        <v>221</v>
      </c>
      <c r="F1095" s="44" t="s">
        <v>221</v>
      </c>
      <c r="G1095" s="46" t="s">
        <v>3951</v>
      </c>
    </row>
    <row r="1096" spans="1:7" x14ac:dyDescent="0.35">
      <c r="A1096" s="39" t="s">
        <v>3952</v>
      </c>
      <c r="B1096" s="40" t="s">
        <v>1921</v>
      </c>
      <c r="C1096" s="41" t="s">
        <v>3944</v>
      </c>
      <c r="D1096" s="40" t="s">
        <v>3953</v>
      </c>
      <c r="E1096" s="40" t="s">
        <v>221</v>
      </c>
      <c r="F1096" s="40" t="s">
        <v>221</v>
      </c>
      <c r="G1096" s="42" t="s">
        <v>3954</v>
      </c>
    </row>
    <row r="1097" spans="1:7" x14ac:dyDescent="0.35">
      <c r="A1097" s="43" t="s">
        <v>3955</v>
      </c>
      <c r="B1097" s="44" t="s">
        <v>1921</v>
      </c>
      <c r="C1097" s="45" t="s">
        <v>3944</v>
      </c>
      <c r="D1097" s="44" t="s">
        <v>3956</v>
      </c>
      <c r="E1097" s="44" t="s">
        <v>221</v>
      </c>
      <c r="F1097" s="44" t="s">
        <v>221</v>
      </c>
      <c r="G1097" s="46" t="s">
        <v>3957</v>
      </c>
    </row>
    <row r="1098" spans="1:7" x14ac:dyDescent="0.35">
      <c r="A1098" s="39" t="s">
        <v>3958</v>
      </c>
      <c r="B1098" s="40" t="s">
        <v>1921</v>
      </c>
      <c r="C1098" s="41" t="s">
        <v>3944</v>
      </c>
      <c r="D1098" s="40" t="s">
        <v>3959</v>
      </c>
      <c r="E1098" s="40" t="s">
        <v>221</v>
      </c>
      <c r="F1098" s="40" t="s">
        <v>221</v>
      </c>
      <c r="G1098" s="42" t="s">
        <v>3960</v>
      </c>
    </row>
    <row r="1099" spans="1:7" x14ac:dyDescent="0.35">
      <c r="A1099" s="43" t="s">
        <v>3961</v>
      </c>
      <c r="B1099" s="44" t="s">
        <v>3962</v>
      </c>
      <c r="C1099" s="45" t="s">
        <v>3963</v>
      </c>
      <c r="D1099" s="44" t="s">
        <v>3964</v>
      </c>
      <c r="E1099" s="44" t="s">
        <v>648</v>
      </c>
      <c r="F1099" s="44" t="s">
        <v>580</v>
      </c>
      <c r="G1099" s="46" t="s">
        <v>3965</v>
      </c>
    </row>
    <row r="1100" spans="1:7" x14ac:dyDescent="0.35">
      <c r="A1100" s="39" t="s">
        <v>3966</v>
      </c>
      <c r="B1100" s="40" t="s">
        <v>3967</v>
      </c>
      <c r="C1100" s="41" t="s">
        <v>3968</v>
      </c>
      <c r="D1100" s="40" t="s">
        <v>3969</v>
      </c>
      <c r="E1100" s="40" t="s">
        <v>353</v>
      </c>
      <c r="F1100" s="40" t="s">
        <v>632</v>
      </c>
      <c r="G1100" s="42" t="s">
        <v>3970</v>
      </c>
    </row>
    <row r="1101" spans="1:7" x14ac:dyDescent="0.35">
      <c r="A1101" s="43" t="s">
        <v>3971</v>
      </c>
      <c r="B1101" s="44" t="s">
        <v>3967</v>
      </c>
      <c r="C1101" s="45" t="s">
        <v>3968</v>
      </c>
      <c r="D1101" s="44" t="s">
        <v>3972</v>
      </c>
      <c r="E1101" s="44" t="s">
        <v>353</v>
      </c>
      <c r="F1101" s="44" t="s">
        <v>632</v>
      </c>
      <c r="G1101" s="46" t="s">
        <v>3973</v>
      </c>
    </row>
    <row r="1102" spans="1:7" x14ac:dyDescent="0.35">
      <c r="A1102" s="39" t="s">
        <v>3974</v>
      </c>
      <c r="B1102" s="40" t="s">
        <v>3115</v>
      </c>
      <c r="C1102" s="41" t="s">
        <v>3975</v>
      </c>
      <c r="D1102" s="40" t="s">
        <v>1924</v>
      </c>
      <c r="E1102" s="40" t="s">
        <v>502</v>
      </c>
      <c r="F1102" s="40" t="s">
        <v>389</v>
      </c>
      <c r="G1102" s="42" t="s">
        <v>3976</v>
      </c>
    </row>
    <row r="1103" spans="1:7" x14ac:dyDescent="0.35">
      <c r="A1103" s="43" t="s">
        <v>3977</v>
      </c>
      <c r="B1103" s="44" t="s">
        <v>3978</v>
      </c>
      <c r="C1103" s="45" t="s">
        <v>3979</v>
      </c>
      <c r="D1103" s="44" t="s">
        <v>3980</v>
      </c>
      <c r="E1103" s="44" t="s">
        <v>531</v>
      </c>
      <c r="F1103" s="44" t="s">
        <v>469</v>
      </c>
      <c r="G1103" s="46" t="s">
        <v>3981</v>
      </c>
    </row>
    <row r="1104" spans="1:7" x14ac:dyDescent="0.35">
      <c r="A1104" s="39" t="s">
        <v>3982</v>
      </c>
      <c r="B1104" s="40" t="s">
        <v>3983</v>
      </c>
      <c r="C1104" s="41" t="s">
        <v>3984</v>
      </c>
      <c r="D1104" s="40" t="s">
        <v>3985</v>
      </c>
      <c r="E1104" s="40" t="s">
        <v>238</v>
      </c>
      <c r="F1104" s="40" t="s">
        <v>331</v>
      </c>
      <c r="G1104" s="42" t="s">
        <v>3986</v>
      </c>
    </row>
    <row r="1105" spans="1:7" x14ac:dyDescent="0.35">
      <c r="A1105" s="43" t="s">
        <v>3987</v>
      </c>
      <c r="B1105" s="44" t="s">
        <v>1921</v>
      </c>
      <c r="C1105" s="45" t="s">
        <v>3988</v>
      </c>
      <c r="D1105" s="44" t="s">
        <v>3989</v>
      </c>
      <c r="E1105" s="44" t="s">
        <v>307</v>
      </c>
      <c r="F1105" s="44" t="s">
        <v>307</v>
      </c>
      <c r="G1105" s="46" t="s">
        <v>3990</v>
      </c>
    </row>
    <row r="1106" spans="1:7" x14ac:dyDescent="0.35">
      <c r="A1106" s="39" t="s">
        <v>3991</v>
      </c>
      <c r="B1106" s="40" t="s">
        <v>1921</v>
      </c>
      <c r="C1106" s="41" t="s">
        <v>3988</v>
      </c>
      <c r="D1106" s="40" t="s">
        <v>3992</v>
      </c>
      <c r="E1106" s="40" t="s">
        <v>307</v>
      </c>
      <c r="F1106" s="40" t="s">
        <v>307</v>
      </c>
      <c r="G1106" s="42" t="s">
        <v>3993</v>
      </c>
    </row>
    <row r="1107" spans="1:7" x14ac:dyDescent="0.35">
      <c r="A1107" s="43" t="s">
        <v>3994</v>
      </c>
      <c r="B1107" s="44" t="s">
        <v>1921</v>
      </c>
      <c r="C1107" s="45" t="s">
        <v>3988</v>
      </c>
      <c r="D1107" s="44" t="s">
        <v>3995</v>
      </c>
      <c r="E1107" s="44" t="s">
        <v>307</v>
      </c>
      <c r="F1107" s="44" t="s">
        <v>307</v>
      </c>
      <c r="G1107" s="46" t="s">
        <v>3996</v>
      </c>
    </row>
    <row r="1108" spans="1:7" x14ac:dyDescent="0.35">
      <c r="A1108" s="39" t="s">
        <v>3997</v>
      </c>
      <c r="B1108" s="40" t="s">
        <v>1921</v>
      </c>
      <c r="C1108" s="41" t="s">
        <v>3988</v>
      </c>
      <c r="D1108" s="40" t="s">
        <v>3998</v>
      </c>
      <c r="E1108" s="40" t="s">
        <v>307</v>
      </c>
      <c r="F1108" s="40" t="s">
        <v>307</v>
      </c>
      <c r="G1108" s="42" t="s">
        <v>3999</v>
      </c>
    </row>
    <row r="1109" spans="1:7" x14ac:dyDescent="0.35">
      <c r="A1109" s="43" t="s">
        <v>4000</v>
      </c>
      <c r="B1109" s="44" t="s">
        <v>1921</v>
      </c>
      <c r="C1109" s="45" t="s">
        <v>3988</v>
      </c>
      <c r="D1109" s="44" t="s">
        <v>4001</v>
      </c>
      <c r="E1109" s="44" t="s">
        <v>307</v>
      </c>
      <c r="F1109" s="44" t="s">
        <v>307</v>
      </c>
      <c r="G1109" s="46" t="s">
        <v>4002</v>
      </c>
    </row>
    <row r="1110" spans="1:7" x14ac:dyDescent="0.35">
      <c r="A1110" s="39" t="s">
        <v>4003</v>
      </c>
      <c r="B1110" s="40" t="s">
        <v>1921</v>
      </c>
      <c r="C1110" s="41" t="s">
        <v>3988</v>
      </c>
      <c r="D1110" s="40" t="s">
        <v>4004</v>
      </c>
      <c r="E1110" s="40" t="s">
        <v>307</v>
      </c>
      <c r="F1110" s="40" t="s">
        <v>307</v>
      </c>
      <c r="G1110" s="42" t="s">
        <v>4005</v>
      </c>
    </row>
    <row r="1111" spans="1:7" x14ac:dyDescent="0.35">
      <c r="A1111" s="43" t="s">
        <v>4006</v>
      </c>
      <c r="B1111" s="44" t="s">
        <v>1921</v>
      </c>
      <c r="C1111" s="45" t="s">
        <v>3988</v>
      </c>
      <c r="D1111" s="44" t="s">
        <v>4007</v>
      </c>
      <c r="E1111" s="44" t="s">
        <v>307</v>
      </c>
      <c r="F1111" s="44" t="s">
        <v>307</v>
      </c>
      <c r="G1111" s="46" t="s">
        <v>4008</v>
      </c>
    </row>
    <row r="1112" spans="1:7" x14ac:dyDescent="0.35">
      <c r="A1112" s="39" t="s">
        <v>4009</v>
      </c>
      <c r="B1112" s="40" t="s">
        <v>1921</v>
      </c>
      <c r="C1112" s="41" t="s">
        <v>3988</v>
      </c>
      <c r="D1112" s="40" t="s">
        <v>4010</v>
      </c>
      <c r="E1112" s="40" t="s">
        <v>307</v>
      </c>
      <c r="F1112" s="40" t="s">
        <v>307</v>
      </c>
      <c r="G1112" s="42" t="s">
        <v>4011</v>
      </c>
    </row>
    <row r="1113" spans="1:7" x14ac:dyDescent="0.35">
      <c r="A1113" s="43" t="s">
        <v>4012</v>
      </c>
      <c r="B1113" s="44" t="s">
        <v>1921</v>
      </c>
      <c r="C1113" s="45" t="s">
        <v>3988</v>
      </c>
      <c r="D1113" s="44" t="s">
        <v>4013</v>
      </c>
      <c r="E1113" s="44" t="s">
        <v>307</v>
      </c>
      <c r="F1113" s="44" t="s">
        <v>307</v>
      </c>
      <c r="G1113" s="46" t="s">
        <v>4014</v>
      </c>
    </row>
    <row r="1114" spans="1:7" x14ac:dyDescent="0.35">
      <c r="A1114" s="39" t="s">
        <v>4015</v>
      </c>
      <c r="B1114" s="40" t="s">
        <v>1921</v>
      </c>
      <c r="C1114" s="41" t="s">
        <v>3988</v>
      </c>
      <c r="D1114" s="40" t="s">
        <v>4016</v>
      </c>
      <c r="E1114" s="40" t="s">
        <v>307</v>
      </c>
      <c r="F1114" s="40" t="s">
        <v>307</v>
      </c>
      <c r="G1114" s="42" t="s">
        <v>4017</v>
      </c>
    </row>
    <row r="1115" spans="1:7" x14ac:dyDescent="0.35">
      <c r="A1115" s="43" t="s">
        <v>4018</v>
      </c>
      <c r="B1115" s="44" t="s">
        <v>1921</v>
      </c>
      <c r="C1115" s="45" t="s">
        <v>3988</v>
      </c>
      <c r="D1115" s="44" t="s">
        <v>4019</v>
      </c>
      <c r="E1115" s="44" t="s">
        <v>307</v>
      </c>
      <c r="F1115" s="44" t="s">
        <v>307</v>
      </c>
      <c r="G1115" s="46" t="s">
        <v>4020</v>
      </c>
    </row>
    <row r="1116" spans="1:7" x14ac:dyDescent="0.35">
      <c r="A1116" s="39" t="s">
        <v>4021</v>
      </c>
      <c r="B1116" s="40" t="s">
        <v>1921</v>
      </c>
      <c r="C1116" s="41" t="s">
        <v>3988</v>
      </c>
      <c r="D1116" s="40" t="s">
        <v>4022</v>
      </c>
      <c r="E1116" s="40" t="s">
        <v>307</v>
      </c>
      <c r="F1116" s="40" t="s">
        <v>307</v>
      </c>
      <c r="G1116" s="42" t="s">
        <v>4023</v>
      </c>
    </row>
    <row r="1117" spans="1:7" x14ac:dyDescent="0.35">
      <c r="A1117" s="43" t="s">
        <v>4024</v>
      </c>
      <c r="B1117" s="44" t="s">
        <v>1921</v>
      </c>
      <c r="C1117" s="45" t="s">
        <v>3988</v>
      </c>
      <c r="D1117" s="44" t="s">
        <v>1028</v>
      </c>
      <c r="E1117" s="44" t="s">
        <v>307</v>
      </c>
      <c r="F1117" s="44" t="s">
        <v>307</v>
      </c>
      <c r="G1117" s="46" t="s">
        <v>4025</v>
      </c>
    </row>
    <row r="1118" spans="1:7" x14ac:dyDescent="0.35">
      <c r="A1118" s="39" t="s">
        <v>4026</v>
      </c>
      <c r="B1118" s="40" t="s">
        <v>1921</v>
      </c>
      <c r="C1118" s="41" t="s">
        <v>3988</v>
      </c>
      <c r="D1118" s="40" t="s">
        <v>4027</v>
      </c>
      <c r="E1118" s="40" t="s">
        <v>307</v>
      </c>
      <c r="F1118" s="40" t="s">
        <v>307</v>
      </c>
      <c r="G1118" s="42" t="s">
        <v>4028</v>
      </c>
    </row>
    <row r="1119" spans="1:7" x14ac:dyDescent="0.35">
      <c r="A1119" s="43" t="s">
        <v>4029</v>
      </c>
      <c r="B1119" s="44" t="s">
        <v>1921</v>
      </c>
      <c r="C1119" s="45" t="s">
        <v>3988</v>
      </c>
      <c r="D1119" s="44" t="s">
        <v>4030</v>
      </c>
      <c r="E1119" s="44" t="s">
        <v>307</v>
      </c>
      <c r="F1119" s="44" t="s">
        <v>307</v>
      </c>
      <c r="G1119" s="46" t="s">
        <v>4031</v>
      </c>
    </row>
    <row r="1120" spans="1:7" x14ac:dyDescent="0.35">
      <c r="A1120" s="39" t="s">
        <v>4032</v>
      </c>
      <c r="B1120" s="40" t="s">
        <v>1921</v>
      </c>
      <c r="C1120" s="41" t="s">
        <v>3988</v>
      </c>
      <c r="D1120" s="40" t="s">
        <v>4033</v>
      </c>
      <c r="E1120" s="40" t="s">
        <v>307</v>
      </c>
      <c r="F1120" s="40" t="s">
        <v>307</v>
      </c>
      <c r="G1120" s="42" t="s">
        <v>4034</v>
      </c>
    </row>
    <row r="1121" spans="1:7" x14ac:dyDescent="0.35">
      <c r="A1121" s="43" t="s">
        <v>4035</v>
      </c>
      <c r="B1121" s="44" t="s">
        <v>1921</v>
      </c>
      <c r="C1121" s="45" t="s">
        <v>3988</v>
      </c>
      <c r="D1121" s="44" t="s">
        <v>4036</v>
      </c>
      <c r="E1121" s="44" t="s">
        <v>307</v>
      </c>
      <c r="F1121" s="44" t="s">
        <v>307</v>
      </c>
      <c r="G1121" s="46" t="s">
        <v>4037</v>
      </c>
    </row>
    <row r="1122" spans="1:7" x14ac:dyDescent="0.35">
      <c r="A1122" s="39" t="s">
        <v>4038</v>
      </c>
      <c r="B1122" s="40" t="s">
        <v>1921</v>
      </c>
      <c r="C1122" s="41" t="s">
        <v>3988</v>
      </c>
      <c r="D1122" s="40" t="s">
        <v>4039</v>
      </c>
      <c r="E1122" s="40" t="s">
        <v>307</v>
      </c>
      <c r="F1122" s="40" t="s">
        <v>307</v>
      </c>
      <c r="G1122" s="42" t="s">
        <v>4040</v>
      </c>
    </row>
    <row r="1123" spans="1:7" x14ac:dyDescent="0.35">
      <c r="A1123" s="43" t="s">
        <v>4041</v>
      </c>
      <c r="B1123" s="44" t="s">
        <v>4042</v>
      </c>
      <c r="C1123" s="45" t="s">
        <v>4043</v>
      </c>
      <c r="D1123" s="44" t="s">
        <v>4044</v>
      </c>
      <c r="E1123" s="44" t="s">
        <v>244</v>
      </c>
      <c r="F1123" s="44" t="s">
        <v>1784</v>
      </c>
      <c r="G1123" s="46" t="s">
        <v>4045</v>
      </c>
    </row>
    <row r="1124" spans="1:7" x14ac:dyDescent="0.35">
      <c r="A1124" s="39" t="s">
        <v>4046</v>
      </c>
      <c r="B1124" s="40" t="s">
        <v>1921</v>
      </c>
      <c r="C1124" s="41" t="s">
        <v>4047</v>
      </c>
      <c r="D1124" s="40" t="s">
        <v>4048</v>
      </c>
      <c r="E1124" s="40" t="s">
        <v>433</v>
      </c>
      <c r="F1124" s="40" t="s">
        <v>433</v>
      </c>
      <c r="G1124" s="42" t="s">
        <v>4049</v>
      </c>
    </row>
    <row r="1125" spans="1:7" x14ac:dyDescent="0.35">
      <c r="A1125" s="43" t="s">
        <v>4050</v>
      </c>
      <c r="B1125" s="44" t="s">
        <v>1921</v>
      </c>
      <c r="C1125" s="45" t="s">
        <v>4047</v>
      </c>
      <c r="D1125" s="44" t="s">
        <v>1557</v>
      </c>
      <c r="E1125" s="44" t="s">
        <v>433</v>
      </c>
      <c r="F1125" s="44" t="s">
        <v>433</v>
      </c>
      <c r="G1125" s="46" t="s">
        <v>4051</v>
      </c>
    </row>
    <row r="1126" spans="1:7" x14ac:dyDescent="0.35">
      <c r="A1126" s="39" t="s">
        <v>4052</v>
      </c>
      <c r="B1126" s="40" t="s">
        <v>1921</v>
      </c>
      <c r="C1126" s="41" t="s">
        <v>4047</v>
      </c>
      <c r="D1126" s="40" t="s">
        <v>4053</v>
      </c>
      <c r="E1126" s="40" t="s">
        <v>433</v>
      </c>
      <c r="F1126" s="40" t="s">
        <v>433</v>
      </c>
      <c r="G1126" s="42" t="s">
        <v>4054</v>
      </c>
    </row>
    <row r="1127" spans="1:7" x14ac:dyDescent="0.35">
      <c r="A1127" s="43" t="s">
        <v>4055</v>
      </c>
      <c r="B1127" s="44" t="s">
        <v>1921</v>
      </c>
      <c r="C1127" s="45" t="s">
        <v>4047</v>
      </c>
      <c r="D1127" s="44" t="s">
        <v>4056</v>
      </c>
      <c r="E1127" s="44" t="s">
        <v>433</v>
      </c>
      <c r="F1127" s="44" t="s">
        <v>433</v>
      </c>
      <c r="G1127" s="46" t="s">
        <v>4057</v>
      </c>
    </row>
    <row r="1128" spans="1:7" x14ac:dyDescent="0.35">
      <c r="A1128" s="39" t="s">
        <v>4058</v>
      </c>
      <c r="B1128" s="40" t="s">
        <v>1921</v>
      </c>
      <c r="C1128" s="41" t="s">
        <v>4047</v>
      </c>
      <c r="D1128" s="40" t="s">
        <v>4059</v>
      </c>
      <c r="E1128" s="40" t="s">
        <v>433</v>
      </c>
      <c r="F1128" s="40" t="s">
        <v>433</v>
      </c>
      <c r="G1128" s="42" t="s">
        <v>4060</v>
      </c>
    </row>
    <row r="1129" spans="1:7" x14ac:dyDescent="0.35">
      <c r="A1129" s="43" t="s">
        <v>4061</v>
      </c>
      <c r="B1129" s="44" t="s">
        <v>1921</v>
      </c>
      <c r="C1129" s="45" t="s">
        <v>4047</v>
      </c>
      <c r="D1129" s="44" t="s">
        <v>4062</v>
      </c>
      <c r="E1129" s="44" t="s">
        <v>433</v>
      </c>
      <c r="F1129" s="44" t="s">
        <v>433</v>
      </c>
      <c r="G1129" s="46" t="s">
        <v>4063</v>
      </c>
    </row>
    <row r="1130" spans="1:7" x14ac:dyDescent="0.35">
      <c r="A1130" s="39" t="s">
        <v>4064</v>
      </c>
      <c r="B1130" s="40" t="s">
        <v>1921</v>
      </c>
      <c r="C1130" s="41" t="s">
        <v>4047</v>
      </c>
      <c r="D1130" s="40" t="s">
        <v>4065</v>
      </c>
      <c r="E1130" s="40" t="s">
        <v>433</v>
      </c>
      <c r="F1130" s="40" t="s">
        <v>433</v>
      </c>
      <c r="G1130" s="42" t="s">
        <v>4066</v>
      </c>
    </row>
    <row r="1131" spans="1:7" x14ac:dyDescent="0.35">
      <c r="A1131" s="43" t="s">
        <v>4067</v>
      </c>
      <c r="B1131" s="44" t="s">
        <v>1921</v>
      </c>
      <c r="C1131" s="45" t="s">
        <v>4047</v>
      </c>
      <c r="D1131" s="44" t="s">
        <v>4068</v>
      </c>
      <c r="E1131" s="44" t="s">
        <v>433</v>
      </c>
      <c r="F1131" s="44" t="s">
        <v>433</v>
      </c>
      <c r="G1131" s="46" t="s">
        <v>4069</v>
      </c>
    </row>
    <row r="1132" spans="1:7" x14ac:dyDescent="0.35">
      <c r="A1132" s="39" t="s">
        <v>4070</v>
      </c>
      <c r="B1132" s="40" t="s">
        <v>1921</v>
      </c>
      <c r="C1132" s="41" t="s">
        <v>4047</v>
      </c>
      <c r="D1132" s="40" t="s">
        <v>4071</v>
      </c>
      <c r="E1132" s="40" t="s">
        <v>433</v>
      </c>
      <c r="F1132" s="40" t="s">
        <v>433</v>
      </c>
      <c r="G1132" s="42" t="s">
        <v>4072</v>
      </c>
    </row>
    <row r="1133" spans="1:7" x14ac:dyDescent="0.35">
      <c r="A1133" s="43" t="s">
        <v>4073</v>
      </c>
      <c r="B1133" s="44" t="s">
        <v>1921</v>
      </c>
      <c r="C1133" s="45" t="s">
        <v>4047</v>
      </c>
      <c r="D1133" s="44" t="s">
        <v>274</v>
      </c>
      <c r="E1133" s="44" t="s">
        <v>433</v>
      </c>
      <c r="F1133" s="44" t="s">
        <v>433</v>
      </c>
      <c r="G1133" s="46" t="s">
        <v>4074</v>
      </c>
    </row>
    <row r="1134" spans="1:7" x14ac:dyDescent="0.35">
      <c r="A1134" s="39" t="s">
        <v>4075</v>
      </c>
      <c r="B1134" s="40" t="s">
        <v>1921</v>
      </c>
      <c r="C1134" s="41" t="s">
        <v>4047</v>
      </c>
      <c r="D1134" s="40" t="s">
        <v>4076</v>
      </c>
      <c r="E1134" s="40" t="s">
        <v>433</v>
      </c>
      <c r="F1134" s="40" t="s">
        <v>433</v>
      </c>
      <c r="G1134" s="42" t="s">
        <v>4077</v>
      </c>
    </row>
    <row r="1135" spans="1:7" x14ac:dyDescent="0.35">
      <c r="A1135" s="43" t="s">
        <v>4078</v>
      </c>
      <c r="B1135" s="44" t="s">
        <v>1921</v>
      </c>
      <c r="C1135" s="45" t="s">
        <v>4047</v>
      </c>
      <c r="D1135" s="44" t="s">
        <v>4079</v>
      </c>
      <c r="E1135" s="44" t="s">
        <v>433</v>
      </c>
      <c r="F1135" s="44" t="s">
        <v>433</v>
      </c>
      <c r="G1135" s="46" t="s">
        <v>4080</v>
      </c>
    </row>
    <row r="1136" spans="1:7" x14ac:dyDescent="0.35">
      <c r="A1136" s="39" t="s">
        <v>4081</v>
      </c>
      <c r="B1136" s="40" t="s">
        <v>1921</v>
      </c>
      <c r="C1136" s="41" t="s">
        <v>4047</v>
      </c>
      <c r="D1136" s="40" t="s">
        <v>4082</v>
      </c>
      <c r="E1136" s="40" t="s">
        <v>433</v>
      </c>
      <c r="F1136" s="40" t="s">
        <v>433</v>
      </c>
      <c r="G1136" s="42" t="s">
        <v>4083</v>
      </c>
    </row>
    <row r="1137" spans="1:7" x14ac:dyDescent="0.35">
      <c r="A1137" s="43" t="s">
        <v>4084</v>
      </c>
      <c r="B1137" s="44" t="s">
        <v>1921</v>
      </c>
      <c r="C1137" s="45" t="s">
        <v>4047</v>
      </c>
      <c r="D1137" s="44" t="s">
        <v>4085</v>
      </c>
      <c r="E1137" s="44" t="s">
        <v>433</v>
      </c>
      <c r="F1137" s="44" t="s">
        <v>433</v>
      </c>
      <c r="G1137" s="46" t="s">
        <v>4086</v>
      </c>
    </row>
    <row r="1138" spans="1:7" x14ac:dyDescent="0.35">
      <c r="A1138" s="39" t="s">
        <v>4087</v>
      </c>
      <c r="B1138" s="40" t="s">
        <v>1921</v>
      </c>
      <c r="C1138" s="41" t="s">
        <v>4047</v>
      </c>
      <c r="D1138" s="40" t="s">
        <v>4088</v>
      </c>
      <c r="E1138" s="40" t="s">
        <v>433</v>
      </c>
      <c r="F1138" s="40" t="s">
        <v>433</v>
      </c>
      <c r="G1138" s="42" t="s">
        <v>4089</v>
      </c>
    </row>
    <row r="1139" spans="1:7" x14ac:dyDescent="0.35">
      <c r="A1139" s="43" t="s">
        <v>4090</v>
      </c>
      <c r="B1139" s="44" t="s">
        <v>1921</v>
      </c>
      <c r="C1139" s="45" t="s">
        <v>4047</v>
      </c>
      <c r="D1139" s="44" t="s">
        <v>4091</v>
      </c>
      <c r="E1139" s="44" t="s">
        <v>433</v>
      </c>
      <c r="F1139" s="44" t="s">
        <v>433</v>
      </c>
      <c r="G1139" s="46" t="s">
        <v>4092</v>
      </c>
    </row>
    <row r="1140" spans="1:7" x14ac:dyDescent="0.35">
      <c r="A1140" s="39" t="s">
        <v>4093</v>
      </c>
      <c r="B1140" s="40" t="s">
        <v>1921</v>
      </c>
      <c r="C1140" s="41" t="s">
        <v>4047</v>
      </c>
      <c r="D1140" s="40" t="s">
        <v>4094</v>
      </c>
      <c r="E1140" s="40" t="s">
        <v>433</v>
      </c>
      <c r="F1140" s="40" t="s">
        <v>433</v>
      </c>
      <c r="G1140" s="42" t="s">
        <v>4095</v>
      </c>
    </row>
    <row r="1141" spans="1:7" x14ac:dyDescent="0.35">
      <c r="A1141" s="43" t="s">
        <v>4096</v>
      </c>
      <c r="B1141" s="44" t="s">
        <v>1921</v>
      </c>
      <c r="C1141" s="45" t="s">
        <v>4047</v>
      </c>
      <c r="D1141" s="44" t="s">
        <v>4097</v>
      </c>
      <c r="E1141" s="44" t="s">
        <v>433</v>
      </c>
      <c r="F1141" s="44" t="s">
        <v>433</v>
      </c>
      <c r="G1141" s="46" t="s">
        <v>4098</v>
      </c>
    </row>
    <row r="1142" spans="1:7" x14ac:dyDescent="0.35">
      <c r="A1142" s="39" t="s">
        <v>4099</v>
      </c>
      <c r="B1142" s="40" t="s">
        <v>1921</v>
      </c>
      <c r="C1142" s="41" t="s">
        <v>4047</v>
      </c>
      <c r="D1142" s="40" t="s">
        <v>4100</v>
      </c>
      <c r="E1142" s="40" t="s">
        <v>433</v>
      </c>
      <c r="F1142" s="40" t="s">
        <v>433</v>
      </c>
      <c r="G1142" s="42" t="s">
        <v>4101</v>
      </c>
    </row>
    <row r="1143" spans="1:7" x14ac:dyDescent="0.35">
      <c r="A1143" s="43" t="s">
        <v>4102</v>
      </c>
      <c r="B1143" s="44" t="s">
        <v>1921</v>
      </c>
      <c r="C1143" s="45" t="s">
        <v>4047</v>
      </c>
      <c r="D1143" s="44" t="s">
        <v>4103</v>
      </c>
      <c r="E1143" s="44" t="s">
        <v>433</v>
      </c>
      <c r="F1143" s="44" t="s">
        <v>433</v>
      </c>
      <c r="G1143" s="46" t="s">
        <v>4104</v>
      </c>
    </row>
    <row r="1144" spans="1:7" x14ac:dyDescent="0.35">
      <c r="A1144" s="39" t="s">
        <v>4105</v>
      </c>
      <c r="B1144" s="40" t="s">
        <v>1921</v>
      </c>
      <c r="C1144" s="41" t="s">
        <v>4047</v>
      </c>
      <c r="D1144" s="40" t="s">
        <v>4106</v>
      </c>
      <c r="E1144" s="40" t="s">
        <v>433</v>
      </c>
      <c r="F1144" s="40" t="s">
        <v>433</v>
      </c>
      <c r="G1144" s="42" t="s">
        <v>4107</v>
      </c>
    </row>
    <row r="1145" spans="1:7" x14ac:dyDescent="0.35">
      <c r="A1145" s="43" t="s">
        <v>4108</v>
      </c>
      <c r="B1145" s="44" t="s">
        <v>4109</v>
      </c>
      <c r="C1145" s="45" t="s">
        <v>4110</v>
      </c>
      <c r="D1145" s="44" t="s">
        <v>364</v>
      </c>
      <c r="E1145" s="44" t="s">
        <v>401</v>
      </c>
      <c r="F1145" s="44" t="s">
        <v>1784</v>
      </c>
      <c r="G1145" s="46" t="s">
        <v>4111</v>
      </c>
    </row>
    <row r="1146" spans="1:7" x14ac:dyDescent="0.35">
      <c r="A1146" s="39" t="s">
        <v>4112</v>
      </c>
      <c r="B1146" s="40" t="s">
        <v>1887</v>
      </c>
      <c r="C1146" s="41" t="s">
        <v>4113</v>
      </c>
      <c r="D1146" s="40" t="s">
        <v>4114</v>
      </c>
      <c r="E1146" s="40" t="s">
        <v>433</v>
      </c>
      <c r="F1146" s="40" t="s">
        <v>307</v>
      </c>
      <c r="G1146" s="42" t="s">
        <v>4115</v>
      </c>
    </row>
    <row r="1147" spans="1:7" x14ac:dyDescent="0.35">
      <c r="A1147" s="43" t="s">
        <v>4116</v>
      </c>
      <c r="B1147" s="44" t="s">
        <v>1887</v>
      </c>
      <c r="C1147" s="45" t="s">
        <v>4113</v>
      </c>
      <c r="D1147" s="44" t="s">
        <v>4117</v>
      </c>
      <c r="E1147" s="44" t="s">
        <v>433</v>
      </c>
      <c r="F1147" s="44" t="s">
        <v>307</v>
      </c>
      <c r="G1147" s="46" t="s">
        <v>4118</v>
      </c>
    </row>
    <row r="1148" spans="1:7" x14ac:dyDescent="0.35">
      <c r="A1148" s="39" t="s">
        <v>4119</v>
      </c>
      <c r="B1148" s="40" t="s">
        <v>1887</v>
      </c>
      <c r="C1148" s="41" t="s">
        <v>4113</v>
      </c>
      <c r="D1148" s="40" t="s">
        <v>4120</v>
      </c>
      <c r="E1148" s="40" t="s">
        <v>433</v>
      </c>
      <c r="F1148" s="40" t="s">
        <v>307</v>
      </c>
      <c r="G1148" s="42" t="s">
        <v>4121</v>
      </c>
    </row>
    <row r="1149" spans="1:7" x14ac:dyDescent="0.35">
      <c r="A1149" s="43" t="s">
        <v>4122</v>
      </c>
      <c r="B1149" s="44" t="s">
        <v>1887</v>
      </c>
      <c r="C1149" s="45" t="s">
        <v>4113</v>
      </c>
      <c r="D1149" s="44" t="s">
        <v>336</v>
      </c>
      <c r="E1149" s="44" t="s">
        <v>433</v>
      </c>
      <c r="F1149" s="44" t="s">
        <v>307</v>
      </c>
      <c r="G1149" s="46" t="s">
        <v>4123</v>
      </c>
    </row>
    <row r="1150" spans="1:7" x14ac:dyDescent="0.35">
      <c r="A1150" s="39" t="s">
        <v>4124</v>
      </c>
      <c r="B1150" s="40" t="s">
        <v>1887</v>
      </c>
      <c r="C1150" s="41" t="s">
        <v>4113</v>
      </c>
      <c r="D1150" s="40" t="s">
        <v>4125</v>
      </c>
      <c r="E1150" s="40" t="s">
        <v>433</v>
      </c>
      <c r="F1150" s="40" t="s">
        <v>307</v>
      </c>
      <c r="G1150" s="42" t="s">
        <v>4126</v>
      </c>
    </row>
    <row r="1151" spans="1:7" x14ac:dyDescent="0.35">
      <c r="A1151" s="43" t="s">
        <v>4127</v>
      </c>
      <c r="B1151" s="44" t="s">
        <v>1887</v>
      </c>
      <c r="C1151" s="45" t="s">
        <v>4113</v>
      </c>
      <c r="D1151" s="44" t="s">
        <v>4128</v>
      </c>
      <c r="E1151" s="44" t="s">
        <v>433</v>
      </c>
      <c r="F1151" s="44" t="s">
        <v>307</v>
      </c>
      <c r="G1151" s="46" t="s">
        <v>4129</v>
      </c>
    </row>
    <row r="1152" spans="1:7" x14ac:dyDescent="0.35">
      <c r="A1152" s="39" t="s">
        <v>4130</v>
      </c>
      <c r="B1152" s="40" t="s">
        <v>1887</v>
      </c>
      <c r="C1152" s="41" t="s">
        <v>4113</v>
      </c>
      <c r="D1152" s="40" t="s">
        <v>4131</v>
      </c>
      <c r="E1152" s="40" t="s">
        <v>433</v>
      </c>
      <c r="F1152" s="40" t="s">
        <v>307</v>
      </c>
      <c r="G1152" s="42" t="s">
        <v>4132</v>
      </c>
    </row>
    <row r="1153" spans="1:7" x14ac:dyDescent="0.35">
      <c r="A1153" s="43" t="s">
        <v>4133</v>
      </c>
      <c r="B1153" s="44" t="s">
        <v>1887</v>
      </c>
      <c r="C1153" s="45" t="s">
        <v>4113</v>
      </c>
      <c r="D1153" s="44" t="s">
        <v>4134</v>
      </c>
      <c r="E1153" s="44" t="s">
        <v>433</v>
      </c>
      <c r="F1153" s="44" t="s">
        <v>307</v>
      </c>
      <c r="G1153" s="46" t="s">
        <v>4135</v>
      </c>
    </row>
    <row r="1154" spans="1:7" x14ac:dyDescent="0.35">
      <c r="A1154" s="39" t="s">
        <v>4136</v>
      </c>
      <c r="B1154" s="40" t="s">
        <v>1887</v>
      </c>
      <c r="C1154" s="41" t="s">
        <v>4113</v>
      </c>
      <c r="D1154" s="40" t="s">
        <v>4137</v>
      </c>
      <c r="E1154" s="40" t="s">
        <v>433</v>
      </c>
      <c r="F1154" s="40" t="s">
        <v>307</v>
      </c>
      <c r="G1154" s="42" t="s">
        <v>4138</v>
      </c>
    </row>
    <row r="1155" spans="1:7" x14ac:dyDescent="0.35">
      <c r="A1155" s="43" t="s">
        <v>4139</v>
      </c>
      <c r="B1155" s="44" t="s">
        <v>1887</v>
      </c>
      <c r="C1155" s="45" t="s">
        <v>4113</v>
      </c>
      <c r="D1155" s="44" t="s">
        <v>4140</v>
      </c>
      <c r="E1155" s="44" t="s">
        <v>433</v>
      </c>
      <c r="F1155" s="44" t="s">
        <v>307</v>
      </c>
      <c r="G1155" s="46" t="s">
        <v>4141</v>
      </c>
    </row>
    <row r="1156" spans="1:7" x14ac:dyDescent="0.35">
      <c r="A1156" s="39" t="s">
        <v>4142</v>
      </c>
      <c r="B1156" s="40" t="s">
        <v>1887</v>
      </c>
      <c r="C1156" s="41" t="s">
        <v>4113</v>
      </c>
      <c r="D1156" s="40" t="s">
        <v>4143</v>
      </c>
      <c r="E1156" s="40" t="s">
        <v>433</v>
      </c>
      <c r="F1156" s="40" t="s">
        <v>307</v>
      </c>
      <c r="G1156" s="42" t="s">
        <v>4144</v>
      </c>
    </row>
    <row r="1157" spans="1:7" x14ac:dyDescent="0.35">
      <c r="A1157" s="43" t="s">
        <v>4145</v>
      </c>
      <c r="B1157" s="44" t="s">
        <v>1887</v>
      </c>
      <c r="C1157" s="45" t="s">
        <v>4113</v>
      </c>
      <c r="D1157" s="44" t="s">
        <v>4146</v>
      </c>
      <c r="E1157" s="44" t="s">
        <v>433</v>
      </c>
      <c r="F1157" s="44" t="s">
        <v>307</v>
      </c>
      <c r="G1157" s="46" t="s">
        <v>4147</v>
      </c>
    </row>
    <row r="1158" spans="1:7" x14ac:dyDescent="0.35">
      <c r="A1158" s="39" t="s">
        <v>4148</v>
      </c>
      <c r="B1158" s="40" t="s">
        <v>1887</v>
      </c>
      <c r="C1158" s="41" t="s">
        <v>4113</v>
      </c>
      <c r="D1158" s="40" t="s">
        <v>4149</v>
      </c>
      <c r="E1158" s="40" t="s">
        <v>433</v>
      </c>
      <c r="F1158" s="40" t="s">
        <v>307</v>
      </c>
      <c r="G1158" s="42" t="s">
        <v>4150</v>
      </c>
    </row>
    <row r="1159" spans="1:7" x14ac:dyDescent="0.35">
      <c r="A1159" s="43" t="s">
        <v>4151</v>
      </c>
      <c r="B1159" s="44" t="s">
        <v>1887</v>
      </c>
      <c r="C1159" s="45" t="s">
        <v>4113</v>
      </c>
      <c r="D1159" s="44" t="s">
        <v>4152</v>
      </c>
      <c r="E1159" s="44" t="s">
        <v>433</v>
      </c>
      <c r="F1159" s="44" t="s">
        <v>307</v>
      </c>
      <c r="G1159" s="46" t="s">
        <v>4153</v>
      </c>
    </row>
    <row r="1160" spans="1:7" x14ac:dyDescent="0.35">
      <c r="A1160" s="39" t="s">
        <v>4154</v>
      </c>
      <c r="B1160" s="40" t="s">
        <v>1887</v>
      </c>
      <c r="C1160" s="41" t="s">
        <v>4113</v>
      </c>
      <c r="D1160" s="40" t="s">
        <v>4155</v>
      </c>
      <c r="E1160" s="40" t="s">
        <v>433</v>
      </c>
      <c r="F1160" s="40" t="s">
        <v>307</v>
      </c>
      <c r="G1160" s="42" t="s">
        <v>4156</v>
      </c>
    </row>
    <row r="1161" spans="1:7" x14ac:dyDescent="0.35">
      <c r="A1161" s="43" t="s">
        <v>4157</v>
      </c>
      <c r="B1161" s="44" t="s">
        <v>1887</v>
      </c>
      <c r="C1161" s="45" t="s">
        <v>4113</v>
      </c>
      <c r="D1161" s="44" t="s">
        <v>508</v>
      </c>
      <c r="E1161" s="44" t="s">
        <v>433</v>
      </c>
      <c r="F1161" s="44" t="s">
        <v>307</v>
      </c>
      <c r="G1161" s="46" t="s">
        <v>4158</v>
      </c>
    </row>
    <row r="1162" spans="1:7" x14ac:dyDescent="0.35">
      <c r="A1162" s="39" t="s">
        <v>4159</v>
      </c>
      <c r="B1162" s="40" t="s">
        <v>1887</v>
      </c>
      <c r="C1162" s="41" t="s">
        <v>4113</v>
      </c>
      <c r="D1162" s="40" t="s">
        <v>4160</v>
      </c>
      <c r="E1162" s="40" t="s">
        <v>433</v>
      </c>
      <c r="F1162" s="40" t="s">
        <v>307</v>
      </c>
      <c r="G1162" s="42" t="s">
        <v>4161</v>
      </c>
    </row>
    <row r="1163" spans="1:7" x14ac:dyDescent="0.35">
      <c r="A1163" s="43" t="s">
        <v>4162</v>
      </c>
      <c r="B1163" s="44" t="s">
        <v>1887</v>
      </c>
      <c r="C1163" s="45" t="s">
        <v>4113</v>
      </c>
      <c r="D1163" s="44" t="s">
        <v>4163</v>
      </c>
      <c r="E1163" s="44" t="s">
        <v>433</v>
      </c>
      <c r="F1163" s="44" t="s">
        <v>307</v>
      </c>
      <c r="G1163" s="46" t="s">
        <v>4164</v>
      </c>
    </row>
    <row r="1164" spans="1:7" x14ac:dyDescent="0.35">
      <c r="A1164" s="39" t="s">
        <v>4165</v>
      </c>
      <c r="B1164" s="40" t="s">
        <v>1887</v>
      </c>
      <c r="C1164" s="41" t="s">
        <v>4113</v>
      </c>
      <c r="D1164" s="40" t="s">
        <v>4166</v>
      </c>
      <c r="E1164" s="40" t="s">
        <v>433</v>
      </c>
      <c r="F1164" s="40" t="s">
        <v>307</v>
      </c>
      <c r="G1164" s="42" t="s">
        <v>4167</v>
      </c>
    </row>
    <row r="1165" spans="1:7" x14ac:dyDescent="0.35">
      <c r="A1165" s="43" t="s">
        <v>4168</v>
      </c>
      <c r="B1165" s="44" t="s">
        <v>1887</v>
      </c>
      <c r="C1165" s="45" t="s">
        <v>4113</v>
      </c>
      <c r="D1165" s="44" t="s">
        <v>4169</v>
      </c>
      <c r="E1165" s="44" t="s">
        <v>433</v>
      </c>
      <c r="F1165" s="44" t="s">
        <v>307</v>
      </c>
      <c r="G1165" s="46" t="s">
        <v>4170</v>
      </c>
    </row>
    <row r="1166" spans="1:7" x14ac:dyDescent="0.35">
      <c r="A1166" s="39" t="s">
        <v>4171</v>
      </c>
      <c r="B1166" s="40" t="s">
        <v>1887</v>
      </c>
      <c r="C1166" s="41" t="s">
        <v>4113</v>
      </c>
      <c r="D1166" s="40" t="s">
        <v>4172</v>
      </c>
      <c r="E1166" s="40" t="s">
        <v>433</v>
      </c>
      <c r="F1166" s="40" t="s">
        <v>307</v>
      </c>
      <c r="G1166" s="42" t="s">
        <v>4173</v>
      </c>
    </row>
    <row r="1167" spans="1:7" x14ac:dyDescent="0.35">
      <c r="A1167" s="43" t="s">
        <v>4174</v>
      </c>
      <c r="B1167" s="44" t="s">
        <v>1887</v>
      </c>
      <c r="C1167" s="45" t="s">
        <v>4113</v>
      </c>
      <c r="D1167" s="44" t="s">
        <v>4175</v>
      </c>
      <c r="E1167" s="44" t="s">
        <v>433</v>
      </c>
      <c r="F1167" s="44" t="s">
        <v>307</v>
      </c>
      <c r="G1167" s="46" t="s">
        <v>4176</v>
      </c>
    </row>
    <row r="1168" spans="1:7" x14ac:dyDescent="0.35">
      <c r="A1168" s="39" t="s">
        <v>4177</v>
      </c>
      <c r="B1168" s="40" t="s">
        <v>1887</v>
      </c>
      <c r="C1168" s="41" t="s">
        <v>4113</v>
      </c>
      <c r="D1168" s="40" t="s">
        <v>4178</v>
      </c>
      <c r="E1168" s="40" t="s">
        <v>433</v>
      </c>
      <c r="F1168" s="40" t="s">
        <v>307</v>
      </c>
      <c r="G1168" s="42" t="s">
        <v>4179</v>
      </c>
    </row>
    <row r="1169" spans="1:7" x14ac:dyDescent="0.35">
      <c r="A1169" s="43" t="s">
        <v>4180</v>
      </c>
      <c r="B1169" s="44" t="s">
        <v>1887</v>
      </c>
      <c r="C1169" s="45" t="s">
        <v>4113</v>
      </c>
      <c r="D1169" s="44" t="s">
        <v>4181</v>
      </c>
      <c r="E1169" s="44" t="s">
        <v>433</v>
      </c>
      <c r="F1169" s="44" t="s">
        <v>307</v>
      </c>
      <c r="G1169" s="46" t="s">
        <v>4182</v>
      </c>
    </row>
    <row r="1170" spans="1:7" x14ac:dyDescent="0.35">
      <c r="A1170" s="39" t="s">
        <v>4183</v>
      </c>
      <c r="B1170" s="40" t="s">
        <v>1887</v>
      </c>
      <c r="C1170" s="41" t="s">
        <v>4113</v>
      </c>
      <c r="D1170" s="40" t="s">
        <v>4184</v>
      </c>
      <c r="E1170" s="40" t="s">
        <v>433</v>
      </c>
      <c r="F1170" s="40" t="s">
        <v>307</v>
      </c>
      <c r="G1170" s="42" t="s">
        <v>4185</v>
      </c>
    </row>
    <row r="1171" spans="1:7" x14ac:dyDescent="0.35">
      <c r="A1171" s="43" t="s">
        <v>4186</v>
      </c>
      <c r="B1171" s="44" t="s">
        <v>1887</v>
      </c>
      <c r="C1171" s="45" t="s">
        <v>4113</v>
      </c>
      <c r="D1171" s="44" t="s">
        <v>4187</v>
      </c>
      <c r="E1171" s="44" t="s">
        <v>433</v>
      </c>
      <c r="F1171" s="44" t="s">
        <v>307</v>
      </c>
      <c r="G1171" s="46" t="s">
        <v>4188</v>
      </c>
    </row>
    <row r="1172" spans="1:7" x14ac:dyDescent="0.35">
      <c r="A1172" s="39" t="s">
        <v>4189</v>
      </c>
      <c r="B1172" s="40" t="s">
        <v>1887</v>
      </c>
      <c r="C1172" s="41" t="s">
        <v>4113</v>
      </c>
      <c r="D1172" s="40" t="s">
        <v>4190</v>
      </c>
      <c r="E1172" s="40" t="s">
        <v>433</v>
      </c>
      <c r="F1172" s="40" t="s">
        <v>307</v>
      </c>
      <c r="G1172" s="42" t="s">
        <v>4191</v>
      </c>
    </row>
    <row r="1173" spans="1:7" x14ac:dyDescent="0.35">
      <c r="A1173" s="43" t="s">
        <v>4192</v>
      </c>
      <c r="B1173" s="44" t="s">
        <v>1887</v>
      </c>
      <c r="C1173" s="45" t="s">
        <v>4113</v>
      </c>
      <c r="D1173" s="44" t="s">
        <v>4193</v>
      </c>
      <c r="E1173" s="44" t="s">
        <v>433</v>
      </c>
      <c r="F1173" s="44" t="s">
        <v>307</v>
      </c>
      <c r="G1173" s="46" t="s">
        <v>4194</v>
      </c>
    </row>
    <row r="1174" spans="1:7" x14ac:dyDescent="0.35">
      <c r="A1174" s="39" t="s">
        <v>4195</v>
      </c>
      <c r="B1174" s="40" t="s">
        <v>1887</v>
      </c>
      <c r="C1174" s="41" t="s">
        <v>4113</v>
      </c>
      <c r="D1174" s="40" t="s">
        <v>4196</v>
      </c>
      <c r="E1174" s="40" t="s">
        <v>433</v>
      </c>
      <c r="F1174" s="40" t="s">
        <v>307</v>
      </c>
      <c r="G1174" s="42" t="s">
        <v>4197</v>
      </c>
    </row>
    <row r="1175" spans="1:7" x14ac:dyDescent="0.35">
      <c r="A1175" s="43" t="s">
        <v>4198</v>
      </c>
      <c r="B1175" s="44" t="s">
        <v>1887</v>
      </c>
      <c r="C1175" s="45" t="s">
        <v>4113</v>
      </c>
      <c r="D1175" s="44" t="s">
        <v>4199</v>
      </c>
      <c r="E1175" s="44" t="s">
        <v>433</v>
      </c>
      <c r="F1175" s="44" t="s">
        <v>307</v>
      </c>
      <c r="G1175" s="46" t="s">
        <v>4200</v>
      </c>
    </row>
    <row r="1176" spans="1:7" x14ac:dyDescent="0.35">
      <c r="A1176" s="39" t="s">
        <v>4201</v>
      </c>
      <c r="B1176" s="40" t="s">
        <v>1887</v>
      </c>
      <c r="C1176" s="41" t="s">
        <v>4113</v>
      </c>
      <c r="D1176" s="40" t="s">
        <v>4202</v>
      </c>
      <c r="E1176" s="40" t="s">
        <v>433</v>
      </c>
      <c r="F1176" s="40" t="s">
        <v>307</v>
      </c>
      <c r="G1176" s="42" t="s">
        <v>4203</v>
      </c>
    </row>
    <row r="1177" spans="1:7" x14ac:dyDescent="0.35">
      <c r="A1177" s="43" t="s">
        <v>4204</v>
      </c>
      <c r="B1177" s="44" t="s">
        <v>1887</v>
      </c>
      <c r="C1177" s="45" t="s">
        <v>4113</v>
      </c>
      <c r="D1177" s="44" t="s">
        <v>4205</v>
      </c>
      <c r="E1177" s="44" t="s">
        <v>433</v>
      </c>
      <c r="F1177" s="44" t="s">
        <v>307</v>
      </c>
      <c r="G1177" s="46" t="s">
        <v>4206</v>
      </c>
    </row>
    <row r="1178" spans="1:7" x14ac:dyDescent="0.35">
      <c r="A1178" s="39" t="s">
        <v>4207</v>
      </c>
      <c r="B1178" s="40" t="s">
        <v>3978</v>
      </c>
      <c r="C1178" s="41" t="s">
        <v>4208</v>
      </c>
      <c r="D1178" s="40" t="s">
        <v>4209</v>
      </c>
      <c r="E1178" s="40" t="s">
        <v>463</v>
      </c>
      <c r="F1178" s="40" t="s">
        <v>364</v>
      </c>
      <c r="G1178" s="42" t="s">
        <v>4210</v>
      </c>
    </row>
    <row r="1179" spans="1:7" x14ac:dyDescent="0.35">
      <c r="A1179" s="43" t="s">
        <v>4211</v>
      </c>
      <c r="B1179" s="44" t="s">
        <v>4212</v>
      </c>
      <c r="C1179" s="45" t="s">
        <v>4213</v>
      </c>
      <c r="D1179" s="44" t="s">
        <v>4214</v>
      </c>
      <c r="E1179" s="44" t="s">
        <v>285</v>
      </c>
      <c r="F1179" s="44" t="s">
        <v>508</v>
      </c>
      <c r="G1179" s="46" t="s">
        <v>4215</v>
      </c>
    </row>
    <row r="1180" spans="1:7" x14ac:dyDescent="0.35">
      <c r="A1180" s="39" t="s">
        <v>4216</v>
      </c>
      <c r="B1180" s="40" t="s">
        <v>4042</v>
      </c>
      <c r="C1180" s="41" t="s">
        <v>4217</v>
      </c>
      <c r="D1180" s="40" t="s">
        <v>280</v>
      </c>
      <c r="E1180" s="40" t="s">
        <v>226</v>
      </c>
      <c r="F1180" s="40" t="s">
        <v>347</v>
      </c>
      <c r="G1180" s="42" t="s">
        <v>4218</v>
      </c>
    </row>
    <row r="1181" spans="1:7" x14ac:dyDescent="0.35">
      <c r="A1181" s="43" t="s">
        <v>4219</v>
      </c>
      <c r="B1181" s="44" t="s">
        <v>4220</v>
      </c>
      <c r="C1181" s="45" t="s">
        <v>4221</v>
      </c>
      <c r="D1181" s="44" t="s">
        <v>4222</v>
      </c>
      <c r="E1181" s="44" t="s">
        <v>642</v>
      </c>
      <c r="F1181" s="44" t="s">
        <v>280</v>
      </c>
      <c r="G1181" s="46" t="s">
        <v>4223</v>
      </c>
    </row>
    <row r="1182" spans="1:7" x14ac:dyDescent="0.35">
      <c r="A1182" s="39" t="s">
        <v>4224</v>
      </c>
      <c r="B1182" s="40" t="s">
        <v>4042</v>
      </c>
      <c r="C1182" s="41" t="s">
        <v>4225</v>
      </c>
      <c r="D1182" s="40" t="s">
        <v>4226</v>
      </c>
      <c r="E1182" s="40" t="s">
        <v>492</v>
      </c>
      <c r="F1182" s="40" t="s">
        <v>226</v>
      </c>
      <c r="G1182" s="42" t="s">
        <v>4227</v>
      </c>
    </row>
    <row r="1183" spans="1:7" x14ac:dyDescent="0.35">
      <c r="A1183" s="43" t="s">
        <v>4228</v>
      </c>
      <c r="B1183" s="44" t="s">
        <v>3962</v>
      </c>
      <c r="C1183" s="45" t="s">
        <v>4229</v>
      </c>
      <c r="D1183" s="44" t="s">
        <v>4230</v>
      </c>
      <c r="E1183" s="44" t="s">
        <v>389</v>
      </c>
      <c r="F1183" s="44" t="s">
        <v>531</v>
      </c>
      <c r="G1183" s="46" t="s">
        <v>4231</v>
      </c>
    </row>
    <row r="1184" spans="1:7" x14ac:dyDescent="0.35">
      <c r="A1184" s="39" t="s">
        <v>4232</v>
      </c>
      <c r="B1184" s="40" t="s">
        <v>3962</v>
      </c>
      <c r="C1184" s="41" t="s">
        <v>4229</v>
      </c>
      <c r="D1184" s="40" t="s">
        <v>4233</v>
      </c>
      <c r="E1184" s="40" t="s">
        <v>389</v>
      </c>
      <c r="F1184" s="40" t="s">
        <v>531</v>
      </c>
      <c r="G1184" s="42" t="s">
        <v>4234</v>
      </c>
    </row>
    <row r="1185" spans="1:7" x14ac:dyDescent="0.35">
      <c r="A1185" s="43" t="s">
        <v>4235</v>
      </c>
      <c r="B1185" s="44" t="s">
        <v>4236</v>
      </c>
      <c r="C1185" s="45" t="s">
        <v>4237</v>
      </c>
      <c r="D1185" s="44" t="s">
        <v>4238</v>
      </c>
      <c r="E1185" s="44" t="s">
        <v>384</v>
      </c>
      <c r="F1185" s="44" t="s">
        <v>492</v>
      </c>
      <c r="G1185" s="46" t="s">
        <v>4239</v>
      </c>
    </row>
    <row r="1186" spans="1:7" x14ac:dyDescent="0.35">
      <c r="A1186" s="39" t="s">
        <v>4240</v>
      </c>
      <c r="B1186" s="40" t="s">
        <v>4241</v>
      </c>
      <c r="C1186" s="41" t="s">
        <v>4242</v>
      </c>
      <c r="D1186" s="40" t="s">
        <v>525</v>
      </c>
      <c r="E1186" s="40" t="s">
        <v>1573</v>
      </c>
      <c r="F1186" s="40" t="s">
        <v>3926</v>
      </c>
      <c r="G1186" s="42" t="s">
        <v>4243</v>
      </c>
    </row>
    <row r="1187" spans="1:7" x14ac:dyDescent="0.35">
      <c r="A1187" s="43" t="s">
        <v>4244</v>
      </c>
      <c r="B1187" s="44" t="s">
        <v>4212</v>
      </c>
      <c r="C1187" s="45" t="s">
        <v>4245</v>
      </c>
      <c r="D1187" s="44" t="s">
        <v>4246</v>
      </c>
      <c r="E1187" s="44" t="s">
        <v>632</v>
      </c>
      <c r="F1187" s="44" t="s">
        <v>648</v>
      </c>
      <c r="G1187" s="46" t="s">
        <v>4247</v>
      </c>
    </row>
    <row r="1188" spans="1:7" x14ac:dyDescent="0.35">
      <c r="A1188" s="39" t="s">
        <v>4248</v>
      </c>
      <c r="B1188" s="40" t="s">
        <v>4249</v>
      </c>
      <c r="C1188" s="41" t="s">
        <v>4250</v>
      </c>
      <c r="D1188" s="40" t="s">
        <v>4251</v>
      </c>
      <c r="E1188" s="40" t="s">
        <v>280</v>
      </c>
      <c r="F1188" s="40" t="s">
        <v>384</v>
      </c>
      <c r="G1188" s="42" t="s">
        <v>4252</v>
      </c>
    </row>
    <row r="1189" spans="1:7" x14ac:dyDescent="0.35">
      <c r="A1189" s="43" t="s">
        <v>4253</v>
      </c>
      <c r="B1189" s="44" t="s">
        <v>3978</v>
      </c>
      <c r="C1189" s="45" t="s">
        <v>4254</v>
      </c>
      <c r="D1189" s="44" t="s">
        <v>4255</v>
      </c>
      <c r="E1189" s="44" t="s">
        <v>307</v>
      </c>
      <c r="F1189" s="44" t="s">
        <v>221</v>
      </c>
      <c r="G1189" s="46" t="s">
        <v>4256</v>
      </c>
    </row>
    <row r="1190" spans="1:7" x14ac:dyDescent="0.35">
      <c r="A1190" s="39" t="s">
        <v>4257</v>
      </c>
      <c r="B1190" s="40" t="s">
        <v>3978</v>
      </c>
      <c r="C1190" s="41" t="s">
        <v>4254</v>
      </c>
      <c r="D1190" s="40" t="s">
        <v>415</v>
      </c>
      <c r="E1190" s="40" t="s">
        <v>307</v>
      </c>
      <c r="F1190" s="40" t="s">
        <v>221</v>
      </c>
      <c r="G1190" s="42" t="s">
        <v>4258</v>
      </c>
    </row>
    <row r="1191" spans="1:7" x14ac:dyDescent="0.35">
      <c r="A1191" s="43" t="s">
        <v>4259</v>
      </c>
      <c r="B1191" s="44" t="s">
        <v>3978</v>
      </c>
      <c r="C1191" s="45" t="s">
        <v>4254</v>
      </c>
      <c r="D1191" s="44" t="s">
        <v>4260</v>
      </c>
      <c r="E1191" s="44" t="s">
        <v>307</v>
      </c>
      <c r="F1191" s="44" t="s">
        <v>221</v>
      </c>
      <c r="G1191" s="46" t="s">
        <v>4261</v>
      </c>
    </row>
    <row r="1192" spans="1:7" x14ac:dyDescent="0.35">
      <c r="A1192" s="39" t="s">
        <v>4262</v>
      </c>
      <c r="B1192" s="40" t="s">
        <v>3978</v>
      </c>
      <c r="C1192" s="41" t="s">
        <v>4254</v>
      </c>
      <c r="D1192" s="40" t="s">
        <v>4263</v>
      </c>
      <c r="E1192" s="40" t="s">
        <v>307</v>
      </c>
      <c r="F1192" s="40" t="s">
        <v>221</v>
      </c>
      <c r="G1192" s="42" t="s">
        <v>4264</v>
      </c>
    </row>
    <row r="1193" spans="1:7" x14ac:dyDescent="0.35">
      <c r="A1193" s="43" t="s">
        <v>4265</v>
      </c>
      <c r="B1193" s="44" t="s">
        <v>3978</v>
      </c>
      <c r="C1193" s="45" t="s">
        <v>4254</v>
      </c>
      <c r="D1193" s="44" t="s">
        <v>4266</v>
      </c>
      <c r="E1193" s="44" t="s">
        <v>307</v>
      </c>
      <c r="F1193" s="44" t="s">
        <v>221</v>
      </c>
      <c r="G1193" s="46" t="s">
        <v>4267</v>
      </c>
    </row>
    <row r="1194" spans="1:7" x14ac:dyDescent="0.35">
      <c r="A1194" s="39" t="s">
        <v>4268</v>
      </c>
      <c r="B1194" s="40" t="s">
        <v>3978</v>
      </c>
      <c r="C1194" s="41" t="s">
        <v>4254</v>
      </c>
      <c r="D1194" s="40" t="s">
        <v>4269</v>
      </c>
      <c r="E1194" s="40" t="s">
        <v>307</v>
      </c>
      <c r="F1194" s="40" t="s">
        <v>221</v>
      </c>
      <c r="G1194" s="42" t="s">
        <v>4270</v>
      </c>
    </row>
    <row r="1195" spans="1:7" x14ac:dyDescent="0.35">
      <c r="A1195" s="43" t="s">
        <v>4271</v>
      </c>
      <c r="B1195" s="44" t="s">
        <v>3978</v>
      </c>
      <c r="C1195" s="45" t="s">
        <v>4254</v>
      </c>
      <c r="D1195" s="44" t="s">
        <v>4272</v>
      </c>
      <c r="E1195" s="44" t="s">
        <v>307</v>
      </c>
      <c r="F1195" s="44" t="s">
        <v>221</v>
      </c>
      <c r="G1195" s="46" t="s">
        <v>4273</v>
      </c>
    </row>
    <row r="1196" spans="1:7" x14ac:dyDescent="0.35">
      <c r="A1196" s="39" t="s">
        <v>4274</v>
      </c>
      <c r="B1196" s="40" t="s">
        <v>3978</v>
      </c>
      <c r="C1196" s="41" t="s">
        <v>4254</v>
      </c>
      <c r="D1196" s="40" t="s">
        <v>4275</v>
      </c>
      <c r="E1196" s="40" t="s">
        <v>307</v>
      </c>
      <c r="F1196" s="40" t="s">
        <v>221</v>
      </c>
      <c r="G1196" s="42" t="s">
        <v>4276</v>
      </c>
    </row>
    <row r="1197" spans="1:7" x14ac:dyDescent="0.35">
      <c r="A1197" s="43" t="s">
        <v>4277</v>
      </c>
      <c r="B1197" s="44" t="s">
        <v>4278</v>
      </c>
      <c r="C1197" s="45" t="s">
        <v>4279</v>
      </c>
      <c r="D1197" s="44" t="s">
        <v>4280</v>
      </c>
      <c r="E1197" s="44" t="s">
        <v>268</v>
      </c>
      <c r="F1197" s="44" t="s">
        <v>214</v>
      </c>
      <c r="G1197" s="46" t="s">
        <v>4281</v>
      </c>
    </row>
    <row r="1198" spans="1:7" x14ac:dyDescent="0.35">
      <c r="A1198" s="39" t="s">
        <v>4282</v>
      </c>
      <c r="B1198" s="40" t="s">
        <v>4283</v>
      </c>
      <c r="C1198" s="41" t="s">
        <v>4284</v>
      </c>
      <c r="D1198" s="40" t="s">
        <v>4285</v>
      </c>
      <c r="E1198" s="40" t="s">
        <v>220</v>
      </c>
      <c r="F1198" s="40" t="s">
        <v>1528</v>
      </c>
      <c r="G1198" s="42" t="s">
        <v>4286</v>
      </c>
    </row>
    <row r="1199" spans="1:7" x14ac:dyDescent="0.35">
      <c r="A1199" s="43" t="s">
        <v>4287</v>
      </c>
      <c r="B1199" s="44" t="s">
        <v>4288</v>
      </c>
      <c r="C1199" s="45" t="s">
        <v>4289</v>
      </c>
      <c r="D1199" s="44" t="s">
        <v>4290</v>
      </c>
      <c r="E1199" s="44" t="s">
        <v>469</v>
      </c>
      <c r="F1199" s="44" t="s">
        <v>353</v>
      </c>
      <c r="G1199" s="46" t="s">
        <v>4291</v>
      </c>
    </row>
    <row r="1200" spans="1:7" x14ac:dyDescent="0.35">
      <c r="A1200" s="39" t="s">
        <v>4292</v>
      </c>
      <c r="B1200" s="40" t="s">
        <v>4288</v>
      </c>
      <c r="C1200" s="41" t="s">
        <v>4289</v>
      </c>
      <c r="D1200" s="40" t="s">
        <v>4293</v>
      </c>
      <c r="E1200" s="40" t="s">
        <v>469</v>
      </c>
      <c r="F1200" s="40" t="s">
        <v>353</v>
      </c>
      <c r="G1200" s="42" t="s">
        <v>4294</v>
      </c>
    </row>
    <row r="1201" spans="1:7" x14ac:dyDescent="0.35">
      <c r="A1201" s="43" t="s">
        <v>4295</v>
      </c>
      <c r="B1201" s="44" t="s">
        <v>4296</v>
      </c>
      <c r="C1201" s="45" t="s">
        <v>4297</v>
      </c>
      <c r="D1201" s="44" t="s">
        <v>4298</v>
      </c>
      <c r="E1201" s="44" t="s">
        <v>509</v>
      </c>
      <c r="F1201" s="44" t="s">
        <v>696</v>
      </c>
      <c r="G1201" s="46" t="s">
        <v>4299</v>
      </c>
    </row>
    <row r="1202" spans="1:7" x14ac:dyDescent="0.35">
      <c r="A1202" s="39" t="s">
        <v>4300</v>
      </c>
      <c r="B1202" s="40" t="s">
        <v>4301</v>
      </c>
      <c r="C1202" s="41" t="s">
        <v>4302</v>
      </c>
      <c r="D1202" s="40" t="s">
        <v>4303</v>
      </c>
      <c r="E1202" s="40" t="s">
        <v>280</v>
      </c>
      <c r="F1202" s="40" t="s">
        <v>632</v>
      </c>
      <c r="G1202" s="42" t="s">
        <v>4304</v>
      </c>
    </row>
    <row r="1203" spans="1:7" x14ac:dyDescent="0.35">
      <c r="A1203" s="43" t="s">
        <v>4305</v>
      </c>
      <c r="B1203" s="44" t="s">
        <v>4042</v>
      </c>
      <c r="C1203" s="45" t="s">
        <v>4306</v>
      </c>
      <c r="D1203" s="44" t="s">
        <v>4307</v>
      </c>
      <c r="E1203" s="44" t="s">
        <v>221</v>
      </c>
      <c r="F1203" s="44" t="s">
        <v>502</v>
      </c>
      <c r="G1203" s="46" t="s">
        <v>4308</v>
      </c>
    </row>
    <row r="1204" spans="1:7" x14ac:dyDescent="0.35">
      <c r="A1204" s="39" t="s">
        <v>4309</v>
      </c>
      <c r="B1204" s="40" t="s">
        <v>4042</v>
      </c>
      <c r="C1204" s="41" t="s">
        <v>4306</v>
      </c>
      <c r="D1204" s="40" t="s">
        <v>4310</v>
      </c>
      <c r="E1204" s="40" t="s">
        <v>221</v>
      </c>
      <c r="F1204" s="40" t="s">
        <v>502</v>
      </c>
      <c r="G1204" s="42" t="s">
        <v>4311</v>
      </c>
    </row>
    <row r="1205" spans="1:7" x14ac:dyDescent="0.35">
      <c r="A1205" s="43" t="s">
        <v>4312</v>
      </c>
      <c r="B1205" s="44" t="s">
        <v>4042</v>
      </c>
      <c r="C1205" s="45" t="s">
        <v>4306</v>
      </c>
      <c r="D1205" s="44" t="s">
        <v>4313</v>
      </c>
      <c r="E1205" s="44" t="s">
        <v>221</v>
      </c>
      <c r="F1205" s="44" t="s">
        <v>502</v>
      </c>
      <c r="G1205" s="46" t="s">
        <v>4314</v>
      </c>
    </row>
    <row r="1206" spans="1:7" x14ac:dyDescent="0.35">
      <c r="A1206" s="39" t="s">
        <v>4315</v>
      </c>
      <c r="B1206" s="40" t="s">
        <v>4042</v>
      </c>
      <c r="C1206" s="41" t="s">
        <v>4306</v>
      </c>
      <c r="D1206" s="40" t="s">
        <v>4316</v>
      </c>
      <c r="E1206" s="40" t="s">
        <v>221</v>
      </c>
      <c r="F1206" s="40" t="s">
        <v>502</v>
      </c>
      <c r="G1206" s="42" t="s">
        <v>4317</v>
      </c>
    </row>
    <row r="1207" spans="1:7" x14ac:dyDescent="0.35">
      <c r="A1207" s="43" t="s">
        <v>4318</v>
      </c>
      <c r="B1207" s="44" t="s">
        <v>4042</v>
      </c>
      <c r="C1207" s="45" t="s">
        <v>4306</v>
      </c>
      <c r="D1207" s="44" t="s">
        <v>4319</v>
      </c>
      <c r="E1207" s="44" t="s">
        <v>221</v>
      </c>
      <c r="F1207" s="44" t="s">
        <v>502</v>
      </c>
      <c r="G1207" s="46" t="s">
        <v>4320</v>
      </c>
    </row>
    <row r="1208" spans="1:7" x14ac:dyDescent="0.35">
      <c r="A1208" s="39" t="s">
        <v>4321</v>
      </c>
      <c r="B1208" s="40" t="s">
        <v>4042</v>
      </c>
      <c r="C1208" s="41" t="s">
        <v>4306</v>
      </c>
      <c r="D1208" s="40" t="s">
        <v>4322</v>
      </c>
      <c r="E1208" s="40" t="s">
        <v>221</v>
      </c>
      <c r="F1208" s="40" t="s">
        <v>502</v>
      </c>
      <c r="G1208" s="42" t="s">
        <v>4323</v>
      </c>
    </row>
    <row r="1209" spans="1:7" x14ac:dyDescent="0.35">
      <c r="A1209" s="43" t="s">
        <v>4324</v>
      </c>
      <c r="B1209" s="44" t="s">
        <v>4325</v>
      </c>
      <c r="C1209" s="45" t="s">
        <v>4326</v>
      </c>
      <c r="D1209" s="44" t="s">
        <v>249</v>
      </c>
      <c r="E1209" s="44" t="s">
        <v>268</v>
      </c>
      <c r="F1209" s="44" t="s">
        <v>226</v>
      </c>
      <c r="G1209" s="46" t="s">
        <v>4327</v>
      </c>
    </row>
    <row r="1210" spans="1:7" x14ac:dyDescent="0.35">
      <c r="A1210" s="39" t="s">
        <v>4328</v>
      </c>
      <c r="B1210" s="40" t="s">
        <v>4329</v>
      </c>
      <c r="C1210" s="41" t="s">
        <v>4330</v>
      </c>
      <c r="D1210" s="40" t="s">
        <v>4331</v>
      </c>
      <c r="E1210" s="40" t="s">
        <v>384</v>
      </c>
      <c r="F1210" s="40" t="s">
        <v>268</v>
      </c>
      <c r="G1210" s="42" t="s">
        <v>4332</v>
      </c>
    </row>
    <row r="1211" spans="1:7" x14ac:dyDescent="0.35">
      <c r="A1211" s="43" t="s">
        <v>4333</v>
      </c>
      <c r="B1211" s="44" t="s">
        <v>4329</v>
      </c>
      <c r="C1211" s="45" t="s">
        <v>4334</v>
      </c>
      <c r="D1211" s="44" t="s">
        <v>4335</v>
      </c>
      <c r="E1211" s="44" t="s">
        <v>551</v>
      </c>
      <c r="F1211" s="44" t="s">
        <v>469</v>
      </c>
      <c r="G1211" s="46" t="s">
        <v>4336</v>
      </c>
    </row>
    <row r="1212" spans="1:7" x14ac:dyDescent="0.35">
      <c r="A1212" s="39" t="s">
        <v>4337</v>
      </c>
      <c r="B1212" s="40" t="s">
        <v>4338</v>
      </c>
      <c r="C1212" s="41" t="s">
        <v>4339</v>
      </c>
      <c r="D1212" s="40" t="s">
        <v>4340</v>
      </c>
      <c r="E1212" s="40" t="s">
        <v>648</v>
      </c>
      <c r="F1212" s="40" t="s">
        <v>347</v>
      </c>
      <c r="G1212" s="42" t="s">
        <v>4341</v>
      </c>
    </row>
    <row r="1213" spans="1:7" x14ac:dyDescent="0.35">
      <c r="A1213" s="43" t="s">
        <v>4342</v>
      </c>
      <c r="B1213" s="44" t="s">
        <v>4329</v>
      </c>
      <c r="C1213" s="45" t="s">
        <v>4343</v>
      </c>
      <c r="D1213" s="44" t="s">
        <v>4344</v>
      </c>
      <c r="E1213" s="44" t="s">
        <v>502</v>
      </c>
      <c r="F1213" s="44" t="s">
        <v>463</v>
      </c>
      <c r="G1213" s="46" t="s">
        <v>4345</v>
      </c>
    </row>
    <row r="1214" spans="1:7" x14ac:dyDescent="0.35">
      <c r="A1214" s="39" t="s">
        <v>4346</v>
      </c>
      <c r="B1214" s="40" t="s">
        <v>4329</v>
      </c>
      <c r="C1214" s="41" t="s">
        <v>4343</v>
      </c>
      <c r="D1214" s="40" t="s">
        <v>4347</v>
      </c>
      <c r="E1214" s="40" t="s">
        <v>502</v>
      </c>
      <c r="F1214" s="40" t="s">
        <v>463</v>
      </c>
      <c r="G1214" s="42" t="s">
        <v>4348</v>
      </c>
    </row>
    <row r="1215" spans="1:7" x14ac:dyDescent="0.35">
      <c r="A1215" s="43" t="s">
        <v>4349</v>
      </c>
      <c r="B1215" s="44" t="s">
        <v>4329</v>
      </c>
      <c r="C1215" s="45" t="s">
        <v>4343</v>
      </c>
      <c r="D1215" s="44" t="s">
        <v>4350</v>
      </c>
      <c r="E1215" s="44" t="s">
        <v>502</v>
      </c>
      <c r="F1215" s="44" t="s">
        <v>463</v>
      </c>
      <c r="G1215" s="46" t="s">
        <v>4351</v>
      </c>
    </row>
    <row r="1216" spans="1:7" x14ac:dyDescent="0.35">
      <c r="A1216" s="39" t="s">
        <v>4352</v>
      </c>
      <c r="B1216" s="40" t="s">
        <v>4329</v>
      </c>
      <c r="C1216" s="41" t="s">
        <v>4343</v>
      </c>
      <c r="D1216" s="40" t="s">
        <v>4353</v>
      </c>
      <c r="E1216" s="40" t="s">
        <v>502</v>
      </c>
      <c r="F1216" s="40" t="s">
        <v>463</v>
      </c>
      <c r="G1216" s="42" t="s">
        <v>4354</v>
      </c>
    </row>
    <row r="1217" spans="1:7" x14ac:dyDescent="0.35">
      <c r="A1217" s="43" t="s">
        <v>4355</v>
      </c>
      <c r="B1217" s="44" t="s">
        <v>4329</v>
      </c>
      <c r="C1217" s="45" t="s">
        <v>4343</v>
      </c>
      <c r="D1217" s="44" t="s">
        <v>4356</v>
      </c>
      <c r="E1217" s="44" t="s">
        <v>502</v>
      </c>
      <c r="F1217" s="44" t="s">
        <v>463</v>
      </c>
      <c r="G1217" s="46" t="s">
        <v>4357</v>
      </c>
    </row>
    <row r="1218" spans="1:7" x14ac:dyDescent="0.35">
      <c r="A1218" s="39" t="s">
        <v>4358</v>
      </c>
      <c r="B1218" s="40" t="s">
        <v>4329</v>
      </c>
      <c r="C1218" s="41" t="s">
        <v>4343</v>
      </c>
      <c r="D1218" s="40" t="s">
        <v>4359</v>
      </c>
      <c r="E1218" s="40" t="s">
        <v>502</v>
      </c>
      <c r="F1218" s="40" t="s">
        <v>463</v>
      </c>
      <c r="G1218" s="42" t="s">
        <v>4360</v>
      </c>
    </row>
    <row r="1219" spans="1:7" x14ac:dyDescent="0.35">
      <c r="A1219" s="43" t="s">
        <v>4361</v>
      </c>
      <c r="B1219" s="44" t="s">
        <v>4362</v>
      </c>
      <c r="C1219" s="45" t="s">
        <v>4363</v>
      </c>
      <c r="D1219" s="44" t="s">
        <v>4364</v>
      </c>
      <c r="E1219" s="44" t="s">
        <v>492</v>
      </c>
      <c r="F1219" s="44" t="s">
        <v>268</v>
      </c>
      <c r="G1219" s="46" t="s">
        <v>4365</v>
      </c>
    </row>
    <row r="1220" spans="1:7" x14ac:dyDescent="0.35">
      <c r="A1220" s="39" t="s">
        <v>4366</v>
      </c>
      <c r="B1220" s="40" t="s">
        <v>4367</v>
      </c>
      <c r="C1220" s="41" t="s">
        <v>4368</v>
      </c>
      <c r="D1220" s="40" t="s">
        <v>4369</v>
      </c>
      <c r="E1220" s="40" t="s">
        <v>280</v>
      </c>
      <c r="F1220" s="40" t="s">
        <v>492</v>
      </c>
      <c r="G1220" s="42" t="s">
        <v>4370</v>
      </c>
    </row>
    <row r="1221" spans="1:7" x14ac:dyDescent="0.35">
      <c r="A1221" s="43" t="s">
        <v>4371</v>
      </c>
      <c r="B1221" s="44" t="s">
        <v>4372</v>
      </c>
      <c r="C1221" s="45" t="s">
        <v>4373</v>
      </c>
      <c r="D1221" s="44" t="s">
        <v>4374</v>
      </c>
      <c r="E1221" s="44" t="s">
        <v>695</v>
      </c>
      <c r="F1221" s="44" t="s">
        <v>279</v>
      </c>
      <c r="G1221" s="46" t="s">
        <v>4375</v>
      </c>
    </row>
    <row r="1222" spans="1:7" x14ac:dyDescent="0.35">
      <c r="A1222" s="39" t="s">
        <v>4376</v>
      </c>
      <c r="B1222" s="40" t="s">
        <v>4377</v>
      </c>
      <c r="C1222" s="41" t="s">
        <v>4378</v>
      </c>
      <c r="D1222" s="40" t="s">
        <v>4379</v>
      </c>
      <c r="E1222" s="40" t="s">
        <v>463</v>
      </c>
      <c r="F1222" s="40" t="s">
        <v>389</v>
      </c>
      <c r="G1222" s="42" t="s">
        <v>4380</v>
      </c>
    </row>
    <row r="1223" spans="1:7" x14ac:dyDescent="0.35">
      <c r="A1223" s="43" t="s">
        <v>4381</v>
      </c>
      <c r="B1223" s="44" t="s">
        <v>4382</v>
      </c>
      <c r="C1223" s="45" t="s">
        <v>4383</v>
      </c>
      <c r="D1223" s="44" t="s">
        <v>4384</v>
      </c>
      <c r="E1223" s="44" t="s">
        <v>491</v>
      </c>
      <c r="F1223" s="44" t="s">
        <v>2460</v>
      </c>
      <c r="G1223" s="46" t="s">
        <v>4385</v>
      </c>
    </row>
    <row r="1224" spans="1:7" x14ac:dyDescent="0.35">
      <c r="A1224" s="39" t="s">
        <v>4386</v>
      </c>
      <c r="B1224" s="40" t="s">
        <v>4387</v>
      </c>
      <c r="C1224" s="41" t="s">
        <v>4388</v>
      </c>
      <c r="D1224" s="40" t="s">
        <v>4389</v>
      </c>
      <c r="E1224" s="40" t="s">
        <v>285</v>
      </c>
      <c r="F1224" s="40" t="s">
        <v>491</v>
      </c>
      <c r="G1224" s="42" t="s">
        <v>4390</v>
      </c>
    </row>
    <row r="1225" spans="1:7" x14ac:dyDescent="0.35">
      <c r="A1225" s="43" t="s">
        <v>4391</v>
      </c>
      <c r="B1225" s="44" t="s">
        <v>183</v>
      </c>
      <c r="C1225" s="45" t="s">
        <v>183</v>
      </c>
      <c r="D1225" s="44" t="s">
        <v>183</v>
      </c>
      <c r="E1225" s="44" t="s">
        <v>183</v>
      </c>
      <c r="F1225" s="44" t="s">
        <v>183</v>
      </c>
      <c r="G1225" s="46" t="s">
        <v>183</v>
      </c>
    </row>
    <row r="1226" spans="1:7" x14ac:dyDescent="0.35">
      <c r="A1226" s="39" t="s">
        <v>4392</v>
      </c>
      <c r="B1226" s="40" t="s">
        <v>687</v>
      </c>
      <c r="C1226" s="41" t="s">
        <v>4393</v>
      </c>
      <c r="D1226" s="40" t="s">
        <v>4394</v>
      </c>
      <c r="E1226" s="40" t="s">
        <v>502</v>
      </c>
      <c r="F1226" s="40" t="s">
        <v>296</v>
      </c>
      <c r="G1226" s="42" t="s">
        <v>4395</v>
      </c>
    </row>
    <row r="1227" spans="1:7" x14ac:dyDescent="0.35">
      <c r="A1227" s="43" t="s">
        <v>4396</v>
      </c>
      <c r="B1227" s="44" t="s">
        <v>687</v>
      </c>
      <c r="C1227" s="45" t="s">
        <v>4393</v>
      </c>
      <c r="D1227" s="44" t="s">
        <v>4397</v>
      </c>
      <c r="E1227" s="44" t="s">
        <v>502</v>
      </c>
      <c r="F1227" s="44" t="s">
        <v>296</v>
      </c>
      <c r="G1227" s="46" t="s">
        <v>4398</v>
      </c>
    </row>
    <row r="1228" spans="1:7" x14ac:dyDescent="0.35">
      <c r="A1228" s="39" t="s">
        <v>4399</v>
      </c>
      <c r="B1228" s="40" t="s">
        <v>687</v>
      </c>
      <c r="C1228" s="41" t="s">
        <v>4393</v>
      </c>
      <c r="D1228" s="40" t="s">
        <v>4400</v>
      </c>
      <c r="E1228" s="40" t="s">
        <v>502</v>
      </c>
      <c r="F1228" s="40" t="s">
        <v>296</v>
      </c>
      <c r="G1228" s="42" t="s">
        <v>4401</v>
      </c>
    </row>
    <row r="1229" spans="1:7" x14ac:dyDescent="0.35">
      <c r="A1229" s="43" t="s">
        <v>4402</v>
      </c>
      <c r="B1229" s="44" t="s">
        <v>687</v>
      </c>
      <c r="C1229" s="45" t="s">
        <v>4393</v>
      </c>
      <c r="D1229" s="44" t="s">
        <v>4403</v>
      </c>
      <c r="E1229" s="44" t="s">
        <v>502</v>
      </c>
      <c r="F1229" s="44" t="s">
        <v>296</v>
      </c>
      <c r="G1229" s="46" t="s">
        <v>4404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8F9F5-8B23-4BE9-94CA-40140C9BDEAD}">
  <dimension ref="A1:N4"/>
  <sheetViews>
    <sheetView workbookViewId="0">
      <selection activeCell="E14" sqref="E14"/>
    </sheetView>
  </sheetViews>
  <sheetFormatPr defaultRowHeight="14.5" x14ac:dyDescent="0.35"/>
  <cols>
    <col min="2" max="2" width="15.81640625" customWidth="1"/>
  </cols>
  <sheetData>
    <row r="1" spans="1:14" s="48" customFormat="1" x14ac:dyDescent="0.35">
      <c r="A1" t="s">
        <v>4758</v>
      </c>
      <c r="B1" s="63" t="s">
        <v>4881</v>
      </c>
    </row>
    <row r="2" spans="1:14" x14ac:dyDescent="0.35">
      <c r="B2" s="19"/>
      <c r="C2" s="19" t="s">
        <v>107</v>
      </c>
      <c r="D2" s="19" t="s">
        <v>108</v>
      </c>
      <c r="E2" s="19" t="s">
        <v>109</v>
      </c>
      <c r="F2" s="19" t="s">
        <v>110</v>
      </c>
      <c r="G2" s="19"/>
      <c r="H2" s="19" t="s">
        <v>111</v>
      </c>
      <c r="I2" s="19" t="s">
        <v>112</v>
      </c>
      <c r="J2" s="19" t="s">
        <v>113</v>
      </c>
      <c r="K2" s="19" t="s">
        <v>114</v>
      </c>
      <c r="L2" s="60" t="s">
        <v>4811</v>
      </c>
    </row>
    <row r="3" spans="1:14" x14ac:dyDescent="0.35">
      <c r="B3" s="24" t="s">
        <v>115</v>
      </c>
      <c r="C3" s="25">
        <v>0.74686600000000003</v>
      </c>
      <c r="D3" s="25">
        <v>0.77124999999999999</v>
      </c>
      <c r="E3" s="25">
        <v>1.3833869999999999</v>
      </c>
      <c r="F3" s="25">
        <v>1.0984970000000001</v>
      </c>
      <c r="G3" s="25"/>
      <c r="H3" s="25">
        <v>1.3869</v>
      </c>
      <c r="I3" s="25">
        <v>1.5556950000000001</v>
      </c>
      <c r="J3" s="25">
        <v>1.45564</v>
      </c>
      <c r="K3" s="25">
        <v>1.7650840000000001</v>
      </c>
      <c r="L3">
        <f>_xlfn.T.TEST(C3:F3,H3:K3,2,2)</f>
        <v>1.9906098339281763E-2</v>
      </c>
      <c r="M3" s="22"/>
      <c r="N3" s="22"/>
    </row>
    <row r="4" spans="1:14" x14ac:dyDescent="0.35">
      <c r="B4" s="24" t="s">
        <v>116</v>
      </c>
      <c r="C4" s="25">
        <v>0.86611300000000002</v>
      </c>
      <c r="D4" s="25">
        <v>0.83897299999999997</v>
      </c>
      <c r="E4" s="25">
        <v>1.0360210000000001</v>
      </c>
      <c r="F4" s="25">
        <v>1.258893</v>
      </c>
      <c r="G4" s="25"/>
      <c r="H4" s="25">
        <v>2.098004</v>
      </c>
      <c r="I4" s="25">
        <v>1.972583</v>
      </c>
      <c r="J4" s="25">
        <v>2.0352939999999999</v>
      </c>
      <c r="K4" s="25"/>
      <c r="L4" s="48">
        <f>_xlfn.T.TEST(C4:F4,H4:K4,2,2)</f>
        <v>3.2340415848567381E-4</v>
      </c>
      <c r="M4" s="22"/>
      <c r="N4" s="22"/>
    </row>
  </sheetData>
  <phoneticPr fontId="3" type="noConversion"/>
  <pageMargins left="0.7" right="0.7" top="0.75" bottom="0.75" header="0.3" footer="0.3"/>
  <pageSetup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E6314-7E93-48B6-9D31-9CE14C219630}">
  <dimension ref="A1:C12"/>
  <sheetViews>
    <sheetView workbookViewId="0">
      <selection activeCell="H28" sqref="H28"/>
    </sheetView>
  </sheetViews>
  <sheetFormatPr defaultRowHeight="14.5" x14ac:dyDescent="0.35"/>
  <sheetData>
    <row r="1" spans="1:3" x14ac:dyDescent="0.35">
      <c r="A1" t="s">
        <v>4759</v>
      </c>
      <c r="B1" t="s">
        <v>85</v>
      </c>
    </row>
    <row r="2" spans="1:3" ht="15.5" x14ac:dyDescent="0.35">
      <c r="B2" s="29" t="s">
        <v>4576</v>
      </c>
      <c r="C2" s="20" t="s">
        <v>23</v>
      </c>
    </row>
    <row r="3" spans="1:3" x14ac:dyDescent="0.35">
      <c r="A3" t="s">
        <v>4816</v>
      </c>
      <c r="B3" s="17">
        <v>10.050409999999999</v>
      </c>
      <c r="C3" s="17">
        <v>25.62762</v>
      </c>
    </row>
    <row r="4" spans="1:3" x14ac:dyDescent="0.35">
      <c r="A4" s="48" t="s">
        <v>4817</v>
      </c>
      <c r="B4" s="17">
        <v>20.09273</v>
      </c>
      <c r="C4" s="17">
        <v>35.751019999999997</v>
      </c>
    </row>
    <row r="5" spans="1:3" x14ac:dyDescent="0.35">
      <c r="A5" s="48" t="s">
        <v>4818</v>
      </c>
      <c r="B5" s="17">
        <v>40.82085</v>
      </c>
      <c r="C5" s="17">
        <v>51.426160000000003</v>
      </c>
    </row>
    <row r="6" spans="1:3" x14ac:dyDescent="0.35">
      <c r="A6" s="48" t="s">
        <v>4819</v>
      </c>
      <c r="B6" s="17">
        <v>13.678319999999999</v>
      </c>
      <c r="C6" s="17">
        <v>39.259480000000003</v>
      </c>
    </row>
    <row r="7" spans="1:3" x14ac:dyDescent="0.35">
      <c r="A7" s="48" t="s">
        <v>4820</v>
      </c>
      <c r="B7" s="17">
        <v>30.212019999999999</v>
      </c>
      <c r="C7" s="17">
        <v>54.562739999999998</v>
      </c>
    </row>
    <row r="8" spans="1:3" x14ac:dyDescent="0.35">
      <c r="A8" s="48" t="s">
        <v>4821</v>
      </c>
      <c r="B8" s="17">
        <v>42.870710000000003</v>
      </c>
      <c r="C8" s="17">
        <v>52.390320000000003</v>
      </c>
    </row>
    <row r="9" spans="1:3" x14ac:dyDescent="0.35">
      <c r="A9" s="48" t="s">
        <v>4822</v>
      </c>
      <c r="B9" s="17">
        <v>13.38801</v>
      </c>
      <c r="C9" s="17">
        <v>32.655929999999998</v>
      </c>
    </row>
    <row r="10" spans="1:3" x14ac:dyDescent="0.35">
      <c r="A10" s="48" t="s">
        <v>4842</v>
      </c>
      <c r="B10" s="17">
        <v>11.04087</v>
      </c>
      <c r="C10" s="17">
        <v>26.35061</v>
      </c>
    </row>
    <row r="11" spans="1:3" x14ac:dyDescent="0.35">
      <c r="A11" s="48" t="s">
        <v>4843</v>
      </c>
      <c r="B11" s="17"/>
      <c r="C11" s="17">
        <v>26.164349999999999</v>
      </c>
    </row>
    <row r="12" spans="1:3" x14ac:dyDescent="0.35">
      <c r="A12" t="s">
        <v>4811</v>
      </c>
      <c r="B12">
        <f>_xlfn.T.TEST(B3:B10,C3:C12,2,2)</f>
        <v>2.3367950140639093E-2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5AE0-19DB-4086-A180-678D5F409718}">
  <dimension ref="A3:F16"/>
  <sheetViews>
    <sheetView workbookViewId="0">
      <selection activeCell="B17" sqref="B17"/>
    </sheetView>
  </sheetViews>
  <sheetFormatPr defaultRowHeight="14.5" x14ac:dyDescent="0.35"/>
  <sheetData>
    <row r="3" spans="1:6" x14ac:dyDescent="0.35">
      <c r="A3" s="48" t="s">
        <v>4760</v>
      </c>
      <c r="B3" s="48" t="s">
        <v>84</v>
      </c>
      <c r="C3" s="48"/>
      <c r="D3" s="48"/>
      <c r="E3" s="48"/>
      <c r="F3" s="48"/>
    </row>
    <row r="4" spans="1:6" ht="15.5" x14ac:dyDescent="0.35">
      <c r="A4" s="48"/>
      <c r="B4" s="29" t="s">
        <v>4663</v>
      </c>
      <c r="C4" s="29" t="s">
        <v>4664</v>
      </c>
      <c r="D4" s="48"/>
      <c r="E4" s="48"/>
      <c r="F4" s="48"/>
    </row>
    <row r="5" spans="1:6" x14ac:dyDescent="0.35">
      <c r="A5" s="48" t="s">
        <v>4882</v>
      </c>
      <c r="B5" s="17">
        <v>14.69802</v>
      </c>
      <c r="C5" s="17">
        <v>8.8670969999999993</v>
      </c>
      <c r="D5" s="48"/>
      <c r="E5" s="48"/>
      <c r="F5" s="48"/>
    </row>
    <row r="6" spans="1:6" x14ac:dyDescent="0.35">
      <c r="A6" s="48" t="s">
        <v>4883</v>
      </c>
      <c r="B6" s="17">
        <v>10.65593</v>
      </c>
      <c r="C6" s="17">
        <v>41.513129999999997</v>
      </c>
      <c r="D6" s="48"/>
      <c r="E6" s="48"/>
      <c r="F6" s="48"/>
    </row>
    <row r="7" spans="1:6" x14ac:dyDescent="0.35">
      <c r="A7" s="48" t="s">
        <v>4885</v>
      </c>
      <c r="B7" s="17">
        <v>22.51221</v>
      </c>
      <c r="C7" s="17">
        <v>25.934139999999999</v>
      </c>
      <c r="D7" s="48"/>
      <c r="E7" s="48"/>
      <c r="F7" s="48"/>
    </row>
    <row r="8" spans="1:6" x14ac:dyDescent="0.35">
      <c r="A8" s="48" t="s">
        <v>4886</v>
      </c>
      <c r="B8" s="17">
        <v>14.67104</v>
      </c>
      <c r="C8" s="17">
        <v>24.40813</v>
      </c>
      <c r="D8" s="48"/>
      <c r="E8" s="48"/>
      <c r="F8" s="48"/>
    </row>
    <row r="9" spans="1:6" x14ac:dyDescent="0.35">
      <c r="A9" s="48" t="s">
        <v>4887</v>
      </c>
      <c r="B9" s="17">
        <v>23.09891</v>
      </c>
      <c r="C9" s="17">
        <v>45.009259999999998</v>
      </c>
      <c r="D9" s="48"/>
      <c r="E9" s="48"/>
      <c r="F9" s="48"/>
    </row>
    <row r="10" spans="1:6" x14ac:dyDescent="0.35">
      <c r="A10" s="48" t="s">
        <v>4888</v>
      </c>
      <c r="B10" s="17">
        <v>18.527619999999999</v>
      </c>
      <c r="C10" s="17">
        <v>28.308959999999999</v>
      </c>
      <c r="D10" s="48"/>
      <c r="E10" s="48"/>
      <c r="F10" s="48"/>
    </row>
    <row r="11" spans="1:6" x14ac:dyDescent="0.35">
      <c r="A11" s="48" t="s">
        <v>4884</v>
      </c>
      <c r="B11" s="17">
        <v>7.466221</v>
      </c>
      <c r="C11" s="17"/>
      <c r="D11" s="48"/>
      <c r="E11" s="48"/>
      <c r="F11" s="48"/>
    </row>
    <row r="12" spans="1:6" x14ac:dyDescent="0.35">
      <c r="A12" s="48" t="s">
        <v>4889</v>
      </c>
      <c r="B12" s="17">
        <v>15.047510000000001</v>
      </c>
      <c r="C12" s="17"/>
      <c r="D12" s="48"/>
      <c r="E12" s="48"/>
      <c r="F12" s="48"/>
    </row>
    <row r="13" spans="1:6" x14ac:dyDescent="0.35">
      <c r="A13" s="48" t="s">
        <v>4890</v>
      </c>
      <c r="B13" s="17">
        <v>18.359310000000001</v>
      </c>
      <c r="C13" s="17"/>
      <c r="D13" s="48"/>
      <c r="E13" s="48"/>
      <c r="F13" s="48"/>
    </row>
    <row r="14" spans="1:6" x14ac:dyDescent="0.35">
      <c r="A14" s="48" t="s">
        <v>4891</v>
      </c>
      <c r="B14" s="17">
        <v>21.19942</v>
      </c>
      <c r="C14" s="17"/>
      <c r="D14" s="48"/>
      <c r="E14" s="48"/>
      <c r="F14" s="48"/>
    </row>
    <row r="16" spans="1:6" x14ac:dyDescent="0.35">
      <c r="A16" t="s">
        <v>4811</v>
      </c>
      <c r="B16">
        <f>_xlfn.T.TEST(B5:B14,C5:C10,2,2)</f>
        <v>1.6378035572204325E-2</v>
      </c>
    </row>
  </sheetData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8CCB5-A480-45AA-8C8B-618A8FC8514A}">
  <dimension ref="A1:E17"/>
  <sheetViews>
    <sheetView workbookViewId="0">
      <selection activeCell="E17" sqref="E17"/>
    </sheetView>
  </sheetViews>
  <sheetFormatPr defaultRowHeight="14.5" x14ac:dyDescent="0.35"/>
  <sheetData>
    <row r="1" spans="1:3" x14ac:dyDescent="0.35">
      <c r="A1" t="s">
        <v>4761</v>
      </c>
    </row>
    <row r="2" spans="1:3" x14ac:dyDescent="0.35">
      <c r="B2" s="19" t="s">
        <v>117</v>
      </c>
      <c r="C2" s="19"/>
    </row>
    <row r="3" spans="1:3" ht="15.5" x14ac:dyDescent="0.35">
      <c r="B3" s="29" t="s">
        <v>4576</v>
      </c>
      <c r="C3" s="29" t="s">
        <v>23</v>
      </c>
    </row>
    <row r="4" spans="1:3" x14ac:dyDescent="0.35">
      <c r="A4" t="s">
        <v>4816</v>
      </c>
      <c r="B4" s="25">
        <v>29.342429800000001</v>
      </c>
      <c r="C4" s="25">
        <v>32.571188100000001</v>
      </c>
    </row>
    <row r="5" spans="1:3" x14ac:dyDescent="0.35">
      <c r="A5" s="48" t="s">
        <v>4817</v>
      </c>
      <c r="B5" s="25">
        <v>31.9407946</v>
      </c>
      <c r="C5" s="25">
        <v>54.489928499999998</v>
      </c>
    </row>
    <row r="6" spans="1:3" x14ac:dyDescent="0.35">
      <c r="A6" s="48" t="s">
        <v>4818</v>
      </c>
      <c r="B6" s="25">
        <v>27.347475599999999</v>
      </c>
      <c r="C6" s="25">
        <v>63.262545000000003</v>
      </c>
    </row>
    <row r="7" spans="1:3" x14ac:dyDescent="0.35">
      <c r="A7" s="48" t="s">
        <v>4819</v>
      </c>
      <c r="B7" s="25">
        <v>23.003592999999999</v>
      </c>
      <c r="C7" s="25">
        <v>25.7477652</v>
      </c>
    </row>
    <row r="8" spans="1:3" x14ac:dyDescent="0.35">
      <c r="A8" s="48" t="s">
        <v>4820</v>
      </c>
      <c r="B8" s="25">
        <v>28.321463999999999</v>
      </c>
      <c r="C8" s="25">
        <v>45.6670242</v>
      </c>
    </row>
    <row r="9" spans="1:3" x14ac:dyDescent="0.35">
      <c r="A9" t="s">
        <v>4811</v>
      </c>
      <c r="B9">
        <f>_xlfn.T.TEST(B4:B8,C4:C8,2,2)</f>
        <v>4.8539174402098942E-2</v>
      </c>
    </row>
    <row r="17" spans="5:5" x14ac:dyDescent="0.35">
      <c r="E17">
        <v>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C5FB2-9181-4253-9A6F-71A27BF89631}">
  <dimension ref="A1:F9"/>
  <sheetViews>
    <sheetView workbookViewId="0">
      <selection activeCell="D14" sqref="D14"/>
    </sheetView>
  </sheetViews>
  <sheetFormatPr defaultRowHeight="14.5" x14ac:dyDescent="0.35"/>
  <sheetData>
    <row r="1" spans="1:6" x14ac:dyDescent="0.35">
      <c r="A1" s="48" t="s">
        <v>4762</v>
      </c>
      <c r="B1" s="27" t="s">
        <v>120</v>
      </c>
      <c r="C1" s="48"/>
      <c r="D1" s="48"/>
      <c r="E1" s="48"/>
      <c r="F1" s="48"/>
    </row>
    <row r="2" spans="1:6" ht="15.5" x14ac:dyDescent="0.35">
      <c r="A2" s="48"/>
      <c r="B2" s="29" t="s">
        <v>4576</v>
      </c>
      <c r="C2" s="29" t="s">
        <v>23</v>
      </c>
      <c r="D2" s="48"/>
      <c r="E2" s="48"/>
      <c r="F2" s="48"/>
    </row>
    <row r="3" spans="1:6" x14ac:dyDescent="0.35">
      <c r="A3" s="48" t="s">
        <v>4848</v>
      </c>
      <c r="B3" s="25">
        <v>0.67174100000000003</v>
      </c>
      <c r="C3" s="25">
        <v>1.486078</v>
      </c>
      <c r="D3" s="48"/>
      <c r="E3" s="48"/>
      <c r="F3" s="48"/>
    </row>
    <row r="4" spans="1:6" x14ac:dyDescent="0.35">
      <c r="A4" s="48" t="s">
        <v>4849</v>
      </c>
      <c r="B4" s="25">
        <v>0.96007600000000004</v>
      </c>
      <c r="C4" s="25">
        <v>1.1109519999999999</v>
      </c>
      <c r="D4" s="48"/>
      <c r="E4" s="48"/>
      <c r="F4" s="48"/>
    </row>
    <row r="5" spans="1:6" x14ac:dyDescent="0.35">
      <c r="A5" s="48" t="s">
        <v>4850</v>
      </c>
      <c r="B5" s="25">
        <v>0.75785100000000005</v>
      </c>
      <c r="C5" s="25">
        <v>1.5549599999999999</v>
      </c>
      <c r="D5" s="48"/>
      <c r="E5" s="48"/>
      <c r="F5" s="48"/>
    </row>
    <row r="6" spans="1:6" x14ac:dyDescent="0.35">
      <c r="A6" s="48" t="s">
        <v>4851</v>
      </c>
      <c r="B6" s="25">
        <v>1.7469779999999999</v>
      </c>
      <c r="C6" s="25">
        <v>1.9341820000000001</v>
      </c>
      <c r="D6" s="48"/>
      <c r="E6" s="48"/>
      <c r="F6" s="48"/>
    </row>
    <row r="7" spans="1:6" x14ac:dyDescent="0.35">
      <c r="A7" s="48" t="s">
        <v>4852</v>
      </c>
      <c r="B7" s="25">
        <v>0.90991599999999995</v>
      </c>
      <c r="C7" s="25">
        <v>3.6617009999999999</v>
      </c>
      <c r="D7" s="48"/>
      <c r="E7" s="48"/>
      <c r="F7" s="48"/>
    </row>
    <row r="8" spans="1:6" x14ac:dyDescent="0.35">
      <c r="A8" s="48" t="s">
        <v>4853</v>
      </c>
      <c r="B8" s="25">
        <v>1.287123</v>
      </c>
      <c r="C8" s="25">
        <v>3.7199</v>
      </c>
      <c r="D8" s="48"/>
      <c r="E8" s="48"/>
      <c r="F8" s="48"/>
    </row>
    <row r="9" spans="1:6" x14ac:dyDescent="0.35">
      <c r="A9" s="48" t="s">
        <v>4811</v>
      </c>
      <c r="B9" s="48">
        <f>_xlfn.T.TEST(B3:B8,C3:C8,2,2)</f>
        <v>3.7854920531457885E-2</v>
      </c>
      <c r="C9" s="48"/>
      <c r="D9" s="48"/>
      <c r="E9" s="48"/>
      <c r="F9" s="48"/>
    </row>
  </sheetData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3E581-CE7A-4C16-B332-D6EABE23119C}">
  <dimension ref="A1:F10"/>
  <sheetViews>
    <sheetView workbookViewId="0">
      <selection activeCell="D15" sqref="D15"/>
    </sheetView>
  </sheetViews>
  <sheetFormatPr defaultRowHeight="14.5" x14ac:dyDescent="0.35"/>
  <sheetData>
    <row r="1" spans="1:6" x14ac:dyDescent="0.35">
      <c r="A1" s="48" t="s">
        <v>4763</v>
      </c>
      <c r="B1" s="27" t="s">
        <v>119</v>
      </c>
      <c r="C1" s="48"/>
      <c r="D1" s="48"/>
      <c r="E1" s="48"/>
      <c r="F1" s="48"/>
    </row>
    <row r="2" spans="1:6" x14ac:dyDescent="0.35">
      <c r="A2" s="48"/>
      <c r="B2" s="29" t="s">
        <v>118</v>
      </c>
      <c r="C2" s="29" t="s">
        <v>87</v>
      </c>
      <c r="D2" s="48"/>
      <c r="E2" s="48"/>
      <c r="F2" s="48"/>
    </row>
    <row r="3" spans="1:6" x14ac:dyDescent="0.35">
      <c r="A3" s="48" t="s">
        <v>4848</v>
      </c>
      <c r="B3" s="25">
        <v>0.76343099999999997</v>
      </c>
      <c r="C3" s="25">
        <v>1.1971290000000001</v>
      </c>
      <c r="D3" s="48"/>
      <c r="E3" s="48"/>
      <c r="F3" s="48"/>
    </row>
    <row r="4" spans="1:6" x14ac:dyDescent="0.35">
      <c r="A4" s="48" t="s">
        <v>4849</v>
      </c>
      <c r="B4" s="25">
        <v>1.12575</v>
      </c>
      <c r="C4" s="25">
        <v>1.1681140000000001</v>
      </c>
      <c r="D4" s="48"/>
      <c r="E4" s="48"/>
      <c r="F4" s="48"/>
    </row>
    <row r="5" spans="1:6" x14ac:dyDescent="0.35">
      <c r="A5" s="48" t="s">
        <v>4850</v>
      </c>
      <c r="B5" s="25">
        <v>1.110819</v>
      </c>
      <c r="C5" s="25">
        <v>1.7537450000000001</v>
      </c>
      <c r="D5" s="48"/>
      <c r="E5" s="48"/>
      <c r="F5" s="48"/>
    </row>
    <row r="6" spans="1:6" x14ac:dyDescent="0.35">
      <c r="A6" s="48" t="s">
        <v>4851</v>
      </c>
      <c r="B6" s="25">
        <v>1.0322560000000001</v>
      </c>
      <c r="C6" s="25">
        <v>1.5357430000000001</v>
      </c>
      <c r="D6" s="48"/>
      <c r="E6" s="48"/>
      <c r="F6" s="48"/>
    </row>
    <row r="7" spans="1:6" x14ac:dyDescent="0.35">
      <c r="A7" s="48" t="s">
        <v>4852</v>
      </c>
      <c r="B7" s="25">
        <v>0.88424199999999997</v>
      </c>
      <c r="C7" s="25">
        <v>1.5502899999999999</v>
      </c>
      <c r="D7" s="48"/>
      <c r="E7" s="48"/>
      <c r="F7" s="48"/>
    </row>
    <row r="8" spans="1:6" x14ac:dyDescent="0.35">
      <c r="A8" s="48" t="s">
        <v>4853</v>
      </c>
      <c r="B8" s="25">
        <v>1.083502</v>
      </c>
      <c r="C8" s="25">
        <v>1.609807</v>
      </c>
      <c r="D8" s="48"/>
      <c r="E8" s="48"/>
      <c r="F8" s="48"/>
    </row>
    <row r="9" spans="1:6" x14ac:dyDescent="0.35">
      <c r="A9" s="48" t="s">
        <v>4854</v>
      </c>
      <c r="B9" s="25"/>
      <c r="C9" s="25">
        <v>1.407802</v>
      </c>
      <c r="D9" s="48"/>
      <c r="E9" s="48"/>
      <c r="F9" s="48"/>
    </row>
    <row r="10" spans="1:6" x14ac:dyDescent="0.35">
      <c r="A10" t="s">
        <v>4811</v>
      </c>
      <c r="B10">
        <f>_xlfn.T.TEST(B3:B8,C3:C9,2,2)</f>
        <v>1.0242527095340882E-3</v>
      </c>
    </row>
  </sheetData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C23C9-D117-4386-B413-EE6BCF2C4F14}">
  <dimension ref="A1:D12"/>
  <sheetViews>
    <sheetView workbookViewId="0">
      <selection activeCell="I26" sqref="I26"/>
    </sheetView>
  </sheetViews>
  <sheetFormatPr defaultRowHeight="14.5" x14ac:dyDescent="0.35"/>
  <cols>
    <col min="3" max="3" width="11.26953125" customWidth="1"/>
    <col min="4" max="4" width="20.81640625" customWidth="1"/>
  </cols>
  <sheetData>
    <row r="1" spans="1:4" x14ac:dyDescent="0.35">
      <c r="A1" t="s">
        <v>4764</v>
      </c>
    </row>
    <row r="2" spans="1:4" x14ac:dyDescent="0.35">
      <c r="B2" t="s">
        <v>89</v>
      </c>
    </row>
    <row r="3" spans="1:4" x14ac:dyDescent="0.35">
      <c r="B3" s="20" t="s">
        <v>86</v>
      </c>
      <c r="C3" s="20" t="s">
        <v>87</v>
      </c>
      <c r="D3" s="20" t="s">
        <v>88</v>
      </c>
    </row>
    <row r="4" spans="1:4" x14ac:dyDescent="0.35">
      <c r="A4" t="s">
        <v>4816</v>
      </c>
      <c r="B4" s="17">
        <v>0.28256399999999998</v>
      </c>
      <c r="C4" s="17">
        <v>0.79898999999999998</v>
      </c>
      <c r="D4" s="17">
        <v>0.243259</v>
      </c>
    </row>
    <row r="5" spans="1:4" x14ac:dyDescent="0.35">
      <c r="A5" s="48" t="s">
        <v>4817</v>
      </c>
      <c r="B5" s="17">
        <v>0.474136</v>
      </c>
      <c r="C5" s="17">
        <v>1.183702</v>
      </c>
      <c r="D5" s="17">
        <v>0.31634099999999998</v>
      </c>
    </row>
    <row r="6" spans="1:4" x14ac:dyDescent="0.35">
      <c r="A6" s="48" t="s">
        <v>4818</v>
      </c>
      <c r="B6" s="17">
        <v>0.70045900000000005</v>
      </c>
      <c r="C6" s="17">
        <v>0.97841800000000001</v>
      </c>
      <c r="D6" s="17">
        <v>6.3645999999999994E-2</v>
      </c>
    </row>
    <row r="7" spans="1:4" x14ac:dyDescent="0.35">
      <c r="A7" s="48" t="s">
        <v>4819</v>
      </c>
      <c r="B7" s="17">
        <v>1.3336669999999999</v>
      </c>
      <c r="C7" s="17">
        <v>2.0065179999999998</v>
      </c>
      <c r="D7" s="17">
        <v>0.35224699999999998</v>
      </c>
    </row>
    <row r="8" spans="1:4" x14ac:dyDescent="0.35">
      <c r="A8" s="48" t="s">
        <v>4820</v>
      </c>
      <c r="B8" s="17">
        <v>1.135891</v>
      </c>
      <c r="C8" s="17">
        <v>2.1066560000000001</v>
      </c>
      <c r="D8" s="17">
        <v>0.30353000000000002</v>
      </c>
    </row>
    <row r="9" spans="1:4" x14ac:dyDescent="0.35">
      <c r="A9" s="48" t="s">
        <v>4821</v>
      </c>
      <c r="B9" s="17">
        <v>0.236514</v>
      </c>
      <c r="C9" s="17">
        <v>2.0828679999999999</v>
      </c>
      <c r="D9" s="17">
        <v>0.30634</v>
      </c>
    </row>
    <row r="10" spans="1:4" x14ac:dyDescent="0.35">
      <c r="A10" s="48" t="s">
        <v>4822</v>
      </c>
      <c r="B10" s="17"/>
      <c r="C10" s="17">
        <v>1.5281070000000001</v>
      </c>
      <c r="D10" s="17">
        <v>3.2669999999999999E-3</v>
      </c>
    </row>
    <row r="12" spans="1:4" x14ac:dyDescent="0.35">
      <c r="A12" t="s">
        <v>4811</v>
      </c>
      <c r="B12">
        <f>_xlfn.T.TEST(B4:B9,C4:C10,2,2)</f>
        <v>1.3509220606014392E-2</v>
      </c>
      <c r="C12" s="48">
        <f>_xlfn.T.TEST(C4:C10,D4:D10,2,2)</f>
        <v>5.741765357298086E-5</v>
      </c>
    </row>
  </sheetData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89569-5198-40E4-A8AE-E385A1E6AAB5}">
  <dimension ref="B1:V7"/>
  <sheetViews>
    <sheetView zoomScaleNormal="100" workbookViewId="0">
      <selection activeCell="E32" sqref="E32"/>
    </sheetView>
  </sheetViews>
  <sheetFormatPr defaultRowHeight="14.5" x14ac:dyDescent="0.35"/>
  <cols>
    <col min="2" max="2" width="15.81640625" customWidth="1"/>
  </cols>
  <sheetData>
    <row r="1" spans="2:22" s="48" customFormat="1" x14ac:dyDescent="0.35">
      <c r="B1" t="s">
        <v>4765</v>
      </c>
      <c r="C1" s="48" t="s">
        <v>4892</v>
      </c>
    </row>
    <row r="2" spans="2:22" x14ac:dyDescent="0.35">
      <c r="C2" s="24" t="s">
        <v>4678</v>
      </c>
      <c r="D2" s="24" t="s">
        <v>4679</v>
      </c>
      <c r="E2" s="24" t="s">
        <v>4680</v>
      </c>
      <c r="F2" s="24" t="s">
        <v>4681</v>
      </c>
      <c r="G2" s="24" t="s">
        <v>4682</v>
      </c>
      <c r="H2" s="24" t="s">
        <v>4683</v>
      </c>
      <c r="I2" s="19"/>
      <c r="J2" s="24" t="s">
        <v>4684</v>
      </c>
      <c r="K2" s="24" t="s">
        <v>4685</v>
      </c>
      <c r="L2" s="24" t="s">
        <v>4686</v>
      </c>
      <c r="M2" s="24" t="s">
        <v>4687</v>
      </c>
      <c r="N2" s="24" t="s">
        <v>4688</v>
      </c>
      <c r="O2" s="24" t="s">
        <v>4689</v>
      </c>
      <c r="P2" s="19"/>
      <c r="Q2" s="24" t="s">
        <v>4690</v>
      </c>
      <c r="R2" s="24" t="s">
        <v>4691</v>
      </c>
      <c r="S2" s="24" t="s">
        <v>4692</v>
      </c>
      <c r="T2" s="24" t="s">
        <v>4693</v>
      </c>
      <c r="U2" s="24" t="s">
        <v>4694</v>
      </c>
      <c r="V2" s="24" t="s">
        <v>4695</v>
      </c>
    </row>
    <row r="3" spans="2:22" x14ac:dyDescent="0.35">
      <c r="B3" s="24" t="s">
        <v>115</v>
      </c>
      <c r="C3" s="25">
        <v>1.0154589999999999</v>
      </c>
      <c r="D3" s="25">
        <v>0.984541</v>
      </c>
      <c r="E3" s="25">
        <v>0.87883199999999995</v>
      </c>
      <c r="F3" s="25">
        <v>1.1211679999999999</v>
      </c>
      <c r="G3" s="25">
        <v>1.0000009999999999</v>
      </c>
      <c r="H3" s="25">
        <v>0.975136</v>
      </c>
      <c r="I3" s="19"/>
      <c r="J3" s="25">
        <v>1.2197640000000001</v>
      </c>
      <c r="K3" s="25">
        <v>1.3581719999999999</v>
      </c>
      <c r="L3" s="25">
        <v>1.2007319999999999</v>
      </c>
      <c r="M3" s="25">
        <v>2.1126960000000001</v>
      </c>
      <c r="N3" s="25">
        <v>1.2852300000000001</v>
      </c>
      <c r="O3" s="25">
        <v>1.4400250000000001</v>
      </c>
      <c r="P3" s="19"/>
      <c r="Q3" s="25">
        <v>1.0645169999999999</v>
      </c>
      <c r="R3" s="25">
        <v>0.95420499999999997</v>
      </c>
      <c r="S3" s="25">
        <v>0.957511</v>
      </c>
      <c r="T3" s="25">
        <v>0.89624000000000004</v>
      </c>
      <c r="U3" s="25">
        <v>0.80189100000000002</v>
      </c>
      <c r="V3" s="25">
        <v>1.037455</v>
      </c>
    </row>
    <row r="4" spans="2:22" x14ac:dyDescent="0.35">
      <c r="B4" s="24" t="s">
        <v>116</v>
      </c>
      <c r="C4" s="25">
        <v>1.024667</v>
      </c>
      <c r="D4" s="25">
        <v>0.97533300000000001</v>
      </c>
      <c r="E4" s="25">
        <v>1</v>
      </c>
      <c r="F4" s="25">
        <v>1.000005</v>
      </c>
      <c r="G4" s="25">
        <v>1</v>
      </c>
      <c r="H4" s="25"/>
      <c r="I4" s="19"/>
      <c r="J4" s="25">
        <v>1.2572239999999999</v>
      </c>
      <c r="K4" s="25">
        <v>1.2783720000000001</v>
      </c>
      <c r="L4" s="25">
        <v>1.2714240000000001</v>
      </c>
      <c r="M4" s="25">
        <v>1.6477269999999999</v>
      </c>
      <c r="N4" s="25">
        <v>1.2612890000000001</v>
      </c>
      <c r="O4" s="25"/>
      <c r="P4" s="19"/>
      <c r="Q4" s="25">
        <v>0.97883200000000004</v>
      </c>
      <c r="R4" s="25">
        <v>0.96095600000000003</v>
      </c>
      <c r="S4" s="25">
        <v>0.50888299999999997</v>
      </c>
      <c r="T4" s="25">
        <v>1.019909</v>
      </c>
      <c r="U4" s="25">
        <v>1.0747949999999999</v>
      </c>
      <c r="V4" s="25"/>
    </row>
    <row r="6" spans="2:22" x14ac:dyDescent="0.35">
      <c r="B6" t="s">
        <v>4811</v>
      </c>
      <c r="C6">
        <f>_xlfn.T.TEST(C3:H3,J3:O3,2,2)</f>
        <v>1.195438636425932E-2</v>
      </c>
      <c r="D6" s="48">
        <f>_xlfn.T.TEST(J3:O3,Q3:V3,2,2)</f>
        <v>7.6301461461973745E-3</v>
      </c>
    </row>
    <row r="7" spans="2:22" x14ac:dyDescent="0.35">
      <c r="C7" s="48">
        <f>_xlfn.T.TEST(C4:H4,J4:O4,2,2)</f>
        <v>2.0574611464899534E-3</v>
      </c>
      <c r="D7" s="48">
        <f>_xlfn.T.TEST(J4:O4,Q4:V4,2,2)</f>
        <v>9.1437740367724882E-3</v>
      </c>
    </row>
  </sheetData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92507-486A-4BFC-AD3A-D55F4DB4838D}">
  <dimension ref="A1:D9"/>
  <sheetViews>
    <sheetView workbookViewId="0">
      <selection activeCell="G18" sqref="G18"/>
    </sheetView>
  </sheetViews>
  <sheetFormatPr defaultRowHeight="14.5" x14ac:dyDescent="0.35"/>
  <cols>
    <col min="2" max="2" width="9.81640625" customWidth="1"/>
    <col min="3" max="3" width="12.7265625" customWidth="1"/>
    <col min="4" max="4" width="16.453125" customWidth="1"/>
  </cols>
  <sheetData>
    <row r="1" spans="1:4" x14ac:dyDescent="0.35">
      <c r="A1" t="s">
        <v>4766</v>
      </c>
    </row>
    <row r="2" spans="1:4" x14ac:dyDescent="0.35">
      <c r="B2" t="s">
        <v>89</v>
      </c>
    </row>
    <row r="3" spans="1:4" x14ac:dyDescent="0.35">
      <c r="B3" s="20" t="s">
        <v>90</v>
      </c>
      <c r="C3" s="20" t="s">
        <v>91</v>
      </c>
      <c r="D3" s="20" t="s">
        <v>92</v>
      </c>
    </row>
    <row r="4" spans="1:4" x14ac:dyDescent="0.35">
      <c r="A4" t="s">
        <v>4816</v>
      </c>
      <c r="B4" s="17">
        <v>0.76</v>
      </c>
      <c r="C4" s="17">
        <v>0.94</v>
      </c>
      <c r="D4" s="17">
        <v>0.82</v>
      </c>
    </row>
    <row r="5" spans="1:4" x14ac:dyDescent="0.35">
      <c r="A5" s="48" t="s">
        <v>4817</v>
      </c>
      <c r="B5" s="17">
        <v>0.8</v>
      </c>
      <c r="C5" s="17">
        <v>0.97</v>
      </c>
      <c r="D5" s="17">
        <v>0.89</v>
      </c>
    </row>
    <row r="6" spans="1:4" x14ac:dyDescent="0.35">
      <c r="A6" s="48" t="s">
        <v>4818</v>
      </c>
      <c r="B6" s="17">
        <v>0.7</v>
      </c>
      <c r="C6" s="17">
        <v>0.97</v>
      </c>
      <c r="D6" s="17">
        <v>0.84</v>
      </c>
    </row>
    <row r="7" spans="1:4" x14ac:dyDescent="0.35">
      <c r="A7" s="48" t="s">
        <v>4819</v>
      </c>
      <c r="B7" s="17">
        <v>0.78</v>
      </c>
      <c r="C7" s="17">
        <v>0.92</v>
      </c>
      <c r="D7" s="17"/>
    </row>
    <row r="9" spans="1:4" x14ac:dyDescent="0.35">
      <c r="A9" t="s">
        <v>4811</v>
      </c>
      <c r="B9">
        <f>_xlfn.T.TEST(B4:B7,C4:C7,2,2)</f>
        <v>2.6035155113582754E-4</v>
      </c>
      <c r="C9" s="48">
        <f>_xlfn.T.TEST(C4:C7,D4:D7,2,2)</f>
        <v>6.9327592562715996E-3</v>
      </c>
    </row>
  </sheetData>
  <phoneticPr fontId="3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D58A6-B544-426F-92FC-315FD742A348}">
  <dimension ref="A1:Z16"/>
  <sheetViews>
    <sheetView workbookViewId="0">
      <selection activeCell="C2" sqref="C2"/>
    </sheetView>
  </sheetViews>
  <sheetFormatPr defaultRowHeight="14.5" x14ac:dyDescent="0.35"/>
  <cols>
    <col min="2" max="2" width="13.1796875" customWidth="1"/>
    <col min="3" max="3" width="19.26953125" customWidth="1"/>
    <col min="4" max="4" width="17.7265625" customWidth="1"/>
    <col min="5" max="5" width="19.7265625" customWidth="1"/>
    <col min="6" max="6" width="19.26953125" customWidth="1"/>
    <col min="7" max="8" width="19.1796875" customWidth="1"/>
  </cols>
  <sheetData>
    <row r="1" spans="1:26" x14ac:dyDescent="0.35">
      <c r="A1" t="s">
        <v>4767</v>
      </c>
      <c r="B1" s="63" t="s">
        <v>4892</v>
      </c>
    </row>
    <row r="2" spans="1:26" x14ac:dyDescent="0.35">
      <c r="B2" s="19"/>
      <c r="C2" s="19" t="s">
        <v>4895</v>
      </c>
      <c r="D2" s="19" t="s">
        <v>4896</v>
      </c>
      <c r="E2" s="19" t="s">
        <v>4897</v>
      </c>
      <c r="F2" s="19" t="s">
        <v>4898</v>
      </c>
      <c r="G2" s="19" t="s">
        <v>4899</v>
      </c>
      <c r="H2" s="19" t="s">
        <v>4900</v>
      </c>
      <c r="I2" s="1"/>
      <c r="J2" s="1"/>
      <c r="Q2" s="1"/>
      <c r="R2" s="1"/>
      <c r="Y2" s="1"/>
      <c r="Z2" s="1"/>
    </row>
    <row r="3" spans="1:26" x14ac:dyDescent="0.35">
      <c r="B3" s="24" t="s">
        <v>4696</v>
      </c>
      <c r="C3" s="17">
        <v>0.94290799999999997</v>
      </c>
      <c r="D3" s="17">
        <v>1.5616460000000001</v>
      </c>
      <c r="E3" s="17">
        <v>0.48766399999999999</v>
      </c>
      <c r="F3" s="17">
        <v>1.007782</v>
      </c>
      <c r="G3" s="17">
        <v>0.97404800000000002</v>
      </c>
      <c r="H3" s="17">
        <v>1.025952</v>
      </c>
      <c r="I3" s="1"/>
      <c r="J3" s="1"/>
      <c r="Q3" s="1"/>
      <c r="R3" s="1"/>
      <c r="Y3" s="1"/>
      <c r="Z3" s="1"/>
    </row>
    <row r="4" spans="1:26" x14ac:dyDescent="0.35">
      <c r="B4" s="24" t="s">
        <v>116</v>
      </c>
      <c r="C4" s="17">
        <v>0.818658</v>
      </c>
      <c r="D4" s="17">
        <v>1.5255540000000001</v>
      </c>
      <c r="E4" s="17">
        <v>0.66602700000000004</v>
      </c>
      <c r="F4" s="17">
        <v>0.98976200000000003</v>
      </c>
      <c r="G4" s="17">
        <v>1.1155280000000001</v>
      </c>
      <c r="H4" s="17">
        <v>0.88447200000000004</v>
      </c>
    </row>
    <row r="6" spans="1:26" x14ac:dyDescent="0.35">
      <c r="B6" s="19"/>
      <c r="C6" s="19" t="s">
        <v>95</v>
      </c>
      <c r="D6" s="19" t="s">
        <v>96</v>
      </c>
      <c r="E6" s="19" t="s">
        <v>97</v>
      </c>
      <c r="F6" s="19" t="s">
        <v>98</v>
      </c>
      <c r="G6" s="19" t="s">
        <v>99</v>
      </c>
      <c r="H6" s="19" t="s">
        <v>100</v>
      </c>
    </row>
    <row r="7" spans="1:26" x14ac:dyDescent="0.35">
      <c r="B7" s="24" t="s">
        <v>115</v>
      </c>
      <c r="C7" s="17">
        <v>2.8063940000000001</v>
      </c>
      <c r="D7" s="17">
        <v>2.5673339999999998</v>
      </c>
      <c r="E7" s="17">
        <v>2.568044</v>
      </c>
      <c r="F7" s="18" t="s">
        <v>93</v>
      </c>
      <c r="G7" s="17">
        <v>1.8878550000000001</v>
      </c>
      <c r="H7" s="17">
        <v>2.3655149999999998</v>
      </c>
    </row>
    <row r="8" spans="1:26" x14ac:dyDescent="0.35">
      <c r="B8" s="24" t="s">
        <v>116</v>
      </c>
      <c r="C8" s="17">
        <v>2.2813940000000001</v>
      </c>
      <c r="D8" s="17">
        <v>2.8797869999999999</v>
      </c>
      <c r="E8" s="17">
        <v>2.3323849999999999</v>
      </c>
      <c r="F8" s="18" t="s">
        <v>94</v>
      </c>
      <c r="G8" s="17">
        <v>2.001363</v>
      </c>
      <c r="H8" s="17">
        <v>2.4426999999999999</v>
      </c>
    </row>
    <row r="10" spans="1:26" x14ac:dyDescent="0.35">
      <c r="B10" s="19"/>
      <c r="C10" s="19" t="s">
        <v>101</v>
      </c>
      <c r="D10" s="19" t="s">
        <v>102</v>
      </c>
      <c r="E10" s="19" t="s">
        <v>103</v>
      </c>
      <c r="F10" s="19" t="s">
        <v>104</v>
      </c>
      <c r="G10" s="19" t="s">
        <v>105</v>
      </c>
      <c r="H10" s="19" t="s">
        <v>106</v>
      </c>
    </row>
    <row r="11" spans="1:26" x14ac:dyDescent="0.35">
      <c r="B11" s="24" t="s">
        <v>115</v>
      </c>
      <c r="C11" s="17">
        <v>1.5848610000000001</v>
      </c>
      <c r="D11" s="17">
        <v>2.109381</v>
      </c>
      <c r="E11" s="17">
        <v>1.5882179999999999</v>
      </c>
      <c r="F11" s="17">
        <v>2.2739530000000001</v>
      </c>
      <c r="G11" s="17">
        <v>0.74289099999999997</v>
      </c>
      <c r="H11" s="17">
        <v>0.52461000000000002</v>
      </c>
    </row>
    <row r="12" spans="1:26" x14ac:dyDescent="0.35">
      <c r="B12" s="24" t="s">
        <v>116</v>
      </c>
      <c r="C12" s="17">
        <v>1.9099299999999999</v>
      </c>
      <c r="D12" s="17">
        <v>2.352071</v>
      </c>
      <c r="E12" s="17">
        <v>1.849772</v>
      </c>
      <c r="F12" s="17">
        <v>1.9268099999999999</v>
      </c>
      <c r="G12" s="17">
        <v>0.88105599999999995</v>
      </c>
      <c r="H12" s="17">
        <v>0.73309599999999997</v>
      </c>
    </row>
    <row r="14" spans="1:26" x14ac:dyDescent="0.35">
      <c r="B14" t="s">
        <v>4811</v>
      </c>
      <c r="C14" t="s">
        <v>4893</v>
      </c>
      <c r="D14" s="48" t="s">
        <v>4894</v>
      </c>
    </row>
    <row r="15" spans="1:26" x14ac:dyDescent="0.35">
      <c r="B15" s="24" t="s">
        <v>4696</v>
      </c>
      <c r="C15">
        <f>_xlfn.T.TEST(C3:H3,C7:H7,2,2)</f>
        <v>6.8716149606479072E-5</v>
      </c>
      <c r="D15" s="48">
        <f>_xlfn.T.TEST(C7:H7,C11:H11,2,2)</f>
        <v>2.1461493373923671E-2</v>
      </c>
    </row>
    <row r="16" spans="1:26" x14ac:dyDescent="0.35">
      <c r="B16" s="24" t="s">
        <v>116</v>
      </c>
      <c r="C16" s="48">
        <f>_xlfn.T.TEST(C4:H4,C8:H8,2,2)</f>
        <v>3.9791315982235242E-5</v>
      </c>
      <c r="D16" s="48">
        <f>_xlfn.T.TEST(C8:H8,C12:H12,2,2)</f>
        <v>3.7586148908707616E-2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87983-8CD5-4FE4-B2AC-F319EA6C86B6}">
  <dimension ref="A1:F24"/>
  <sheetViews>
    <sheetView workbookViewId="0">
      <selection activeCell="L39" sqref="L39"/>
    </sheetView>
  </sheetViews>
  <sheetFormatPr defaultRowHeight="14.5" x14ac:dyDescent="0.35"/>
  <cols>
    <col min="2" max="2" width="11.81640625" bestFit="1" customWidth="1"/>
    <col min="5" max="5" width="11.81640625" bestFit="1" customWidth="1"/>
  </cols>
  <sheetData>
    <row r="1" spans="1:6" x14ac:dyDescent="0.35">
      <c r="A1" t="s">
        <v>4768</v>
      </c>
    </row>
    <row r="2" spans="1:6" x14ac:dyDescent="0.35">
      <c r="B2" s="29" t="s">
        <v>86</v>
      </c>
      <c r="C2" s="29" t="s">
        <v>4697</v>
      </c>
      <c r="E2" s="29" t="s">
        <v>90</v>
      </c>
      <c r="F2" s="29" t="s">
        <v>91</v>
      </c>
    </row>
    <row r="3" spans="1:6" x14ac:dyDescent="0.35">
      <c r="A3" t="s">
        <v>4901</v>
      </c>
      <c r="B3" s="25">
        <v>1.4465410000000001</v>
      </c>
      <c r="C3" s="25">
        <v>2.0348320000000002</v>
      </c>
      <c r="D3" s="48" t="s">
        <v>4901</v>
      </c>
      <c r="E3" s="25">
        <v>0.934253</v>
      </c>
      <c r="F3" s="25">
        <v>1.2338560000000001</v>
      </c>
    </row>
    <row r="4" spans="1:6" x14ac:dyDescent="0.35">
      <c r="A4" s="48" t="s">
        <v>4902</v>
      </c>
      <c r="B4" s="25">
        <v>1.1431849999999999</v>
      </c>
      <c r="C4" s="25">
        <v>2.6766649999999998</v>
      </c>
      <c r="D4" s="48" t="s">
        <v>4902</v>
      </c>
      <c r="E4" s="25">
        <v>0.86317999999999995</v>
      </c>
      <c r="F4" s="25">
        <v>1.264548</v>
      </c>
    </row>
    <row r="5" spans="1:6" x14ac:dyDescent="0.35">
      <c r="A5" s="48" t="s">
        <v>4903</v>
      </c>
      <c r="B5" s="25">
        <v>1.093818</v>
      </c>
      <c r="C5" s="25">
        <v>2.2101000000000002</v>
      </c>
      <c r="D5" s="48" t="s">
        <v>4903</v>
      </c>
      <c r="E5" s="25">
        <v>0.76304099999999997</v>
      </c>
      <c r="F5" s="25">
        <v>1.2308349999999999</v>
      </c>
    </row>
    <row r="6" spans="1:6" x14ac:dyDescent="0.35">
      <c r="A6" s="48" t="s">
        <v>4904</v>
      </c>
      <c r="B6" s="25">
        <v>1.1412629999999999</v>
      </c>
      <c r="C6" s="25">
        <v>2.5887319999999998</v>
      </c>
      <c r="D6" s="48" t="s">
        <v>4904</v>
      </c>
      <c r="E6" s="25">
        <v>1.460372</v>
      </c>
      <c r="F6" s="25">
        <v>0.93352199999999996</v>
      </c>
    </row>
    <row r="7" spans="1:6" x14ac:dyDescent="0.35">
      <c r="A7" s="48" t="s">
        <v>4905</v>
      </c>
      <c r="B7" s="25">
        <v>1.007212</v>
      </c>
      <c r="C7" s="25">
        <v>2.1832630000000002</v>
      </c>
      <c r="D7" s="48" t="s">
        <v>4905</v>
      </c>
      <c r="E7" s="25">
        <v>1.1884680000000001</v>
      </c>
      <c r="F7" s="25">
        <v>0.949102</v>
      </c>
    </row>
    <row r="8" spans="1:6" x14ac:dyDescent="0.35">
      <c r="A8" s="48" t="s">
        <v>4906</v>
      </c>
      <c r="B8" s="25">
        <v>0.80782299999999996</v>
      </c>
      <c r="C8" s="25">
        <v>2.1551680000000002</v>
      </c>
      <c r="D8" s="48" t="s">
        <v>4906</v>
      </c>
      <c r="E8" s="25">
        <v>1.018629</v>
      </c>
      <c r="F8" s="25">
        <v>1.3571439999999999</v>
      </c>
    </row>
    <row r="9" spans="1:6" x14ac:dyDescent="0.35">
      <c r="A9" s="48" t="s">
        <v>4907</v>
      </c>
      <c r="B9" s="25">
        <v>1.1173420000000001</v>
      </c>
      <c r="C9" s="25">
        <v>2.7940839999999998</v>
      </c>
      <c r="D9" s="48" t="s">
        <v>4907</v>
      </c>
      <c r="E9" s="25">
        <v>0.77205500000000005</v>
      </c>
      <c r="F9" s="25">
        <v>1.370808</v>
      </c>
    </row>
    <row r="10" spans="1:6" x14ac:dyDescent="0.35">
      <c r="A10" s="48" t="s">
        <v>4908</v>
      </c>
      <c r="B10" s="25">
        <v>0.83465999999999996</v>
      </c>
      <c r="C10" s="25">
        <v>2.631141</v>
      </c>
      <c r="D10" s="48" t="s">
        <v>4908</v>
      </c>
      <c r="E10" s="25">
        <v>1.355664</v>
      </c>
      <c r="F10" s="25">
        <v>1.647888</v>
      </c>
    </row>
    <row r="11" spans="1:6" x14ac:dyDescent="0.35">
      <c r="A11" s="48" t="s">
        <v>4909</v>
      </c>
      <c r="B11" s="25">
        <v>0.83790699999999996</v>
      </c>
      <c r="C11" s="25">
        <v>2.8678360000000001</v>
      </c>
      <c r="D11" s="48" t="s">
        <v>4909</v>
      </c>
      <c r="E11" s="25">
        <v>0.529694</v>
      </c>
      <c r="F11" s="25">
        <v>1.4969300000000001</v>
      </c>
    </row>
    <row r="12" spans="1:6" x14ac:dyDescent="0.35">
      <c r="A12" s="48" t="s">
        <v>4910</v>
      </c>
      <c r="B12" s="25">
        <v>0.60035099999999997</v>
      </c>
      <c r="C12" s="25">
        <v>2.6543999999999999</v>
      </c>
      <c r="D12" s="48" t="s">
        <v>4910</v>
      </c>
      <c r="E12" s="25">
        <v>1.086327</v>
      </c>
      <c r="F12" s="25">
        <v>1.123067</v>
      </c>
    </row>
    <row r="13" spans="1:6" x14ac:dyDescent="0.35">
      <c r="A13" s="48" t="s">
        <v>4911</v>
      </c>
      <c r="B13" s="25">
        <v>0.90622499999999995</v>
      </c>
      <c r="C13" s="25">
        <v>2.038808</v>
      </c>
      <c r="D13" s="48" t="s">
        <v>4911</v>
      </c>
      <c r="E13" s="25">
        <v>0.63120799999999999</v>
      </c>
      <c r="F13" s="25">
        <v>1.5842080000000001</v>
      </c>
    </row>
    <row r="14" spans="1:6" x14ac:dyDescent="0.35">
      <c r="A14" s="48" t="s">
        <v>4912</v>
      </c>
      <c r="B14" s="25">
        <v>1.0636680000000001</v>
      </c>
      <c r="C14" s="25">
        <v>2.0219770000000001</v>
      </c>
      <c r="D14" s="48" t="s">
        <v>4912</v>
      </c>
      <c r="E14" s="25">
        <v>0.81983700000000004</v>
      </c>
      <c r="F14" s="25">
        <v>1.803609</v>
      </c>
    </row>
    <row r="15" spans="1:6" x14ac:dyDescent="0.35">
      <c r="A15" s="48" t="s">
        <v>4913</v>
      </c>
      <c r="B15" s="25">
        <v>0.42667300000000002</v>
      </c>
      <c r="C15" s="25"/>
      <c r="D15" s="48" t="s">
        <v>4913</v>
      </c>
      <c r="E15" s="25">
        <v>0.79601900000000003</v>
      </c>
      <c r="F15" s="25">
        <v>1.1944669999999999</v>
      </c>
    </row>
    <row r="16" spans="1:6" x14ac:dyDescent="0.35">
      <c r="C16" s="22"/>
      <c r="D16" s="48" t="s">
        <v>4914</v>
      </c>
      <c r="E16" s="25">
        <v>1.476397</v>
      </c>
      <c r="F16" s="25">
        <v>1.427611</v>
      </c>
    </row>
    <row r="17" spans="1:6" x14ac:dyDescent="0.35">
      <c r="A17" t="s">
        <v>4811</v>
      </c>
      <c r="B17">
        <f>_xlfn.T.TEST(B3:B15,C3:C15,2,2)</f>
        <v>1.2916674566604108E-11</v>
      </c>
      <c r="D17" s="48" t="s">
        <v>4915</v>
      </c>
      <c r="E17" s="25">
        <v>0.96187</v>
      </c>
      <c r="F17" s="25">
        <v>1.666066</v>
      </c>
    </row>
    <row r="18" spans="1:6" x14ac:dyDescent="0.35">
      <c r="D18" s="48" t="s">
        <v>4916</v>
      </c>
      <c r="E18" s="25">
        <v>1.1438189999999999</v>
      </c>
      <c r="F18" s="25">
        <v>2.141006</v>
      </c>
    </row>
    <row r="19" spans="1:6" x14ac:dyDescent="0.35">
      <c r="D19" s="48" t="s">
        <v>4917</v>
      </c>
      <c r="E19" s="25">
        <v>0.93816200000000005</v>
      </c>
      <c r="F19" s="25">
        <v>1.650242</v>
      </c>
    </row>
    <row r="20" spans="1:6" x14ac:dyDescent="0.35">
      <c r="D20" s="48" t="s">
        <v>4918</v>
      </c>
      <c r="E20" s="25">
        <v>0.79711399999999999</v>
      </c>
      <c r="F20" s="25">
        <v>1.654404</v>
      </c>
    </row>
    <row r="21" spans="1:6" x14ac:dyDescent="0.35">
      <c r="D21" s="48" t="s">
        <v>4919</v>
      </c>
      <c r="E21" s="25">
        <v>1.3923490000000001</v>
      </c>
      <c r="F21" s="25">
        <v>1.773166</v>
      </c>
    </row>
    <row r="22" spans="1:6" x14ac:dyDescent="0.35">
      <c r="D22" s="48" t="s">
        <v>4920</v>
      </c>
      <c r="E22" s="25">
        <v>1.0715429999999999</v>
      </c>
      <c r="F22" s="25"/>
    </row>
    <row r="24" spans="1:6" x14ac:dyDescent="0.35">
      <c r="D24" s="48" t="s">
        <v>4811</v>
      </c>
      <c r="E24" s="48">
        <f>_xlfn.T.TEST(E3:E22,F3:F22,2,2)</f>
        <v>2.5698480711600605E-5</v>
      </c>
    </row>
  </sheetData>
  <phoneticPr fontId="3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9D39-EF13-41F8-9207-50C31E6319F3}">
  <dimension ref="A2:C11"/>
  <sheetViews>
    <sheetView workbookViewId="0">
      <selection activeCell="H19" sqref="H19"/>
    </sheetView>
  </sheetViews>
  <sheetFormatPr defaultRowHeight="14.5" x14ac:dyDescent="0.35"/>
  <sheetData>
    <row r="2" spans="1:3" x14ac:dyDescent="0.35">
      <c r="B2" t="s">
        <v>4921</v>
      </c>
    </row>
    <row r="3" spans="1:3" ht="15.5" x14ac:dyDescent="0.35">
      <c r="B3" s="29" t="s">
        <v>4922</v>
      </c>
      <c r="C3" s="29" t="s">
        <v>4698</v>
      </c>
    </row>
    <row r="4" spans="1:3" x14ac:dyDescent="0.35">
      <c r="A4" t="s">
        <v>4816</v>
      </c>
      <c r="B4" s="25">
        <v>0.99517100000000003</v>
      </c>
      <c r="C4" s="25">
        <v>1.0728439999999999</v>
      </c>
    </row>
    <row r="5" spans="1:3" x14ac:dyDescent="0.35">
      <c r="A5" s="48" t="s">
        <v>4817</v>
      </c>
      <c r="B5" s="25">
        <v>1.1061270000000001</v>
      </c>
      <c r="C5" s="25">
        <v>1.1245480000000001</v>
      </c>
    </row>
    <row r="6" spans="1:3" x14ac:dyDescent="0.35">
      <c r="A6" s="48" t="s">
        <v>4818</v>
      </c>
      <c r="B6" s="25">
        <v>1.1137509999999999</v>
      </c>
      <c r="C6" s="25">
        <v>2.0138440000000002</v>
      </c>
    </row>
    <row r="7" spans="1:3" x14ac:dyDescent="0.35">
      <c r="A7" s="48" t="s">
        <v>4819</v>
      </c>
      <c r="B7" s="25">
        <v>0.45686900000000003</v>
      </c>
      <c r="C7" s="25">
        <v>3.19347</v>
      </c>
    </row>
    <row r="8" spans="1:3" x14ac:dyDescent="0.35">
      <c r="A8" s="48" t="s">
        <v>4820</v>
      </c>
      <c r="B8" s="25">
        <v>1.2532460000000001</v>
      </c>
      <c r="C8" s="25">
        <v>1.855604</v>
      </c>
    </row>
    <row r="9" spans="1:3" x14ac:dyDescent="0.35">
      <c r="A9" s="48" t="s">
        <v>4821</v>
      </c>
      <c r="B9" s="25">
        <v>1.074837</v>
      </c>
      <c r="C9" s="25">
        <v>1.8854979999999999</v>
      </c>
    </row>
    <row r="11" spans="1:3" x14ac:dyDescent="0.35">
      <c r="A11" t="s">
        <v>4811</v>
      </c>
      <c r="B11">
        <f>_xlfn.T.TEST(B4:B9,C4:C9,2,2)</f>
        <v>2.8093896222313442E-2</v>
      </c>
    </row>
  </sheetData>
  <phoneticPr fontId="3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CCC9A-A514-4DB9-9F0F-2EE922D23161}">
  <dimension ref="A1:R12"/>
  <sheetViews>
    <sheetView workbookViewId="0">
      <selection activeCell="K36" sqref="K36"/>
    </sheetView>
  </sheetViews>
  <sheetFormatPr defaultRowHeight="14.5" x14ac:dyDescent="0.35"/>
  <cols>
    <col min="2" max="2" width="14.26953125" customWidth="1"/>
  </cols>
  <sheetData>
    <row r="1" spans="1:18" x14ac:dyDescent="0.35">
      <c r="A1" t="s">
        <v>4769</v>
      </c>
      <c r="B1" t="s">
        <v>4923</v>
      </c>
      <c r="H1" t="s">
        <v>4811</v>
      </c>
    </row>
    <row r="2" spans="1:18" x14ac:dyDescent="0.35">
      <c r="B2" s="19" t="s">
        <v>124</v>
      </c>
      <c r="C2" s="19" t="s">
        <v>4816</v>
      </c>
      <c r="D2" s="19" t="s">
        <v>4817</v>
      </c>
      <c r="E2" s="19" t="s">
        <v>4818</v>
      </c>
      <c r="F2" s="19" t="s">
        <v>4819</v>
      </c>
      <c r="G2" s="19" t="s">
        <v>4820</v>
      </c>
    </row>
    <row r="3" spans="1:18" x14ac:dyDescent="0.35">
      <c r="B3" s="16" t="s">
        <v>86</v>
      </c>
      <c r="C3" s="17">
        <v>1.001876</v>
      </c>
      <c r="D3" s="17">
        <v>0.91460200000000003</v>
      </c>
      <c r="E3" s="17">
        <v>1.0835220000000001</v>
      </c>
      <c r="F3" s="17">
        <v>0.97665900000000005</v>
      </c>
      <c r="G3" s="17">
        <v>1.0233410000000001</v>
      </c>
      <c r="H3" s="1">
        <f>_xlfn.T.TEST(C3:F3,C4:F4,2,2)</f>
        <v>4.1929260957776172E-3</v>
      </c>
      <c r="K3" s="1"/>
      <c r="L3" s="1"/>
      <c r="M3" s="1"/>
      <c r="N3" s="1"/>
      <c r="O3" s="1"/>
      <c r="P3" s="1"/>
      <c r="Q3" s="1"/>
      <c r="R3" s="1"/>
    </row>
    <row r="4" spans="1:18" x14ac:dyDescent="0.35">
      <c r="B4" s="16" t="s">
        <v>87</v>
      </c>
      <c r="C4" s="17">
        <v>2.2641439999999999</v>
      </c>
      <c r="D4" s="17">
        <v>2.1254949999999999</v>
      </c>
      <c r="E4" s="17">
        <v>1.71502</v>
      </c>
      <c r="F4" s="17">
        <v>1.4123699999999999</v>
      </c>
      <c r="G4" s="17">
        <v>1.255587</v>
      </c>
      <c r="H4" s="1"/>
      <c r="K4" s="1"/>
      <c r="L4" s="1"/>
      <c r="M4" s="1"/>
      <c r="N4" s="1"/>
      <c r="O4" s="1"/>
      <c r="P4" s="1"/>
      <c r="Q4" s="1"/>
      <c r="R4" s="1"/>
    </row>
    <row r="6" spans="1:18" x14ac:dyDescent="0.35">
      <c r="B6" s="19" t="s">
        <v>125</v>
      </c>
      <c r="C6" s="19" t="s">
        <v>4816</v>
      </c>
      <c r="D6" s="19" t="s">
        <v>4817</v>
      </c>
      <c r="E6" s="19" t="s">
        <v>4818</v>
      </c>
      <c r="F6" s="19" t="s">
        <v>4819</v>
      </c>
    </row>
    <row r="7" spans="1:18" x14ac:dyDescent="0.35">
      <c r="B7" s="16" t="s">
        <v>86</v>
      </c>
      <c r="C7" s="17">
        <v>0.78151499999999996</v>
      </c>
      <c r="D7" s="17">
        <v>1.178474</v>
      </c>
      <c r="E7" s="17">
        <v>1.040011</v>
      </c>
      <c r="F7" s="17">
        <v>1</v>
      </c>
      <c r="H7" s="1">
        <f>_xlfn.T.TEST(C7:G7,C8:G8,2,2)</f>
        <v>1.4799827230877952E-2</v>
      </c>
    </row>
    <row r="8" spans="1:18" x14ac:dyDescent="0.35">
      <c r="B8" s="16" t="s">
        <v>87</v>
      </c>
      <c r="C8" s="17">
        <v>1.544948</v>
      </c>
      <c r="D8" s="17">
        <v>1.297628</v>
      </c>
      <c r="E8" s="17">
        <v>1.2211160000000001</v>
      </c>
      <c r="F8" s="17">
        <v>1.3972230000000001</v>
      </c>
    </row>
    <row r="10" spans="1:18" x14ac:dyDescent="0.35">
      <c r="B10" s="19" t="s">
        <v>126</v>
      </c>
      <c r="C10" s="19" t="s">
        <v>4816</v>
      </c>
      <c r="D10" s="19" t="s">
        <v>4817</v>
      </c>
      <c r="E10" s="19" t="s">
        <v>4818</v>
      </c>
      <c r="F10" s="19" t="s">
        <v>4819</v>
      </c>
      <c r="G10" s="19" t="s">
        <v>4820</v>
      </c>
    </row>
    <row r="11" spans="1:18" x14ac:dyDescent="0.35">
      <c r="B11" s="16" t="s">
        <v>86</v>
      </c>
      <c r="C11" s="17">
        <v>1.1000399999999999</v>
      </c>
      <c r="D11" s="17">
        <v>1.0105489999999999</v>
      </c>
      <c r="E11" s="17">
        <v>0.91503000000000001</v>
      </c>
      <c r="F11" s="17">
        <v>0.93630400000000003</v>
      </c>
      <c r="G11" s="17">
        <v>1.0380769999999999</v>
      </c>
      <c r="H11" s="1">
        <f>_xlfn.T.TEST(C11:F11,C12:F12,2,2)</f>
        <v>3.1656661731148796E-4</v>
      </c>
    </row>
    <row r="12" spans="1:18" x14ac:dyDescent="0.35">
      <c r="B12" s="16" t="s">
        <v>87</v>
      </c>
      <c r="C12" s="17">
        <v>0.62190199999999995</v>
      </c>
      <c r="D12" s="17">
        <v>0.68801699999999999</v>
      </c>
      <c r="E12" s="17">
        <v>0.63519300000000001</v>
      </c>
      <c r="F12" s="17">
        <v>0.68405400000000005</v>
      </c>
      <c r="G12" s="17">
        <v>0.69766300000000003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4C607-738B-4FFF-82E2-BEE90E0263EE}">
  <dimension ref="A2:C10"/>
  <sheetViews>
    <sheetView workbookViewId="0">
      <selection activeCell="D14" sqref="D14"/>
    </sheetView>
  </sheetViews>
  <sheetFormatPr defaultRowHeight="14.5" x14ac:dyDescent="0.35"/>
  <sheetData>
    <row r="2" spans="1:3" x14ac:dyDescent="0.35">
      <c r="A2" t="s">
        <v>4770</v>
      </c>
      <c r="B2" s="27" t="s">
        <v>127</v>
      </c>
    </row>
    <row r="3" spans="1:3" x14ac:dyDescent="0.35">
      <c r="A3" t="s">
        <v>128</v>
      </c>
      <c r="B3" s="29" t="s">
        <v>121</v>
      </c>
      <c r="C3" s="29" t="s">
        <v>122</v>
      </c>
    </row>
    <row r="4" spans="1:3" x14ac:dyDescent="0.35">
      <c r="A4" t="s">
        <v>4816</v>
      </c>
      <c r="B4" s="25">
        <v>0.46360699999999999</v>
      </c>
      <c r="C4" s="25">
        <v>2.54129</v>
      </c>
    </row>
    <row r="5" spans="1:3" x14ac:dyDescent="0.35">
      <c r="A5" s="48" t="s">
        <v>4817</v>
      </c>
      <c r="B5" s="25">
        <v>0.370114</v>
      </c>
      <c r="C5" s="25">
        <v>2.7696540000000001</v>
      </c>
    </row>
    <row r="6" spans="1:3" x14ac:dyDescent="0.35">
      <c r="A6" s="48" t="s">
        <v>4818</v>
      </c>
      <c r="B6" s="25">
        <v>1.1233820000000001</v>
      </c>
      <c r="C6" s="25">
        <v>2.1372249999999999</v>
      </c>
    </row>
    <row r="7" spans="1:3" x14ac:dyDescent="0.35">
      <c r="A7" s="48" t="s">
        <v>4819</v>
      </c>
      <c r="B7" s="25">
        <v>1.1995070000000001</v>
      </c>
      <c r="C7" s="25"/>
    </row>
    <row r="8" spans="1:3" x14ac:dyDescent="0.35">
      <c r="A8" s="48" t="s">
        <v>4820</v>
      </c>
      <c r="B8" s="25">
        <v>1.8433900000000001</v>
      </c>
      <c r="C8" s="25"/>
    </row>
    <row r="10" spans="1:3" x14ac:dyDescent="0.35">
      <c r="A10" t="s">
        <v>4811</v>
      </c>
      <c r="B10">
        <f>_xlfn.T.TEST(B4:B8,C4:C6,2,2)</f>
        <v>8.3169255247808813E-3</v>
      </c>
    </row>
  </sheetData>
  <phoneticPr fontId="3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4F869-19B3-45F6-AE5C-3801B9766333}">
  <dimension ref="A1:G12"/>
  <sheetViews>
    <sheetView tabSelected="1" workbookViewId="0">
      <selection activeCell="W41" sqref="W41"/>
    </sheetView>
  </sheetViews>
  <sheetFormatPr defaultRowHeight="14.5" x14ac:dyDescent="0.35"/>
  <sheetData>
    <row r="1" spans="1:7" x14ac:dyDescent="0.35">
      <c r="A1" s="48" t="s">
        <v>4771</v>
      </c>
      <c r="B1" s="27" t="s">
        <v>119</v>
      </c>
      <c r="C1" s="48"/>
      <c r="D1" s="48"/>
      <c r="E1" s="48"/>
      <c r="F1" s="48"/>
      <c r="G1" s="48"/>
    </row>
    <row r="2" spans="1:7" x14ac:dyDescent="0.35">
      <c r="A2" s="48"/>
      <c r="B2" s="27"/>
      <c r="C2" s="48"/>
      <c r="D2" s="48"/>
      <c r="E2" s="48"/>
      <c r="F2" s="48"/>
      <c r="G2" s="48"/>
    </row>
    <row r="3" spans="1:7" x14ac:dyDescent="0.35">
      <c r="A3" s="48"/>
      <c r="B3" s="29" t="s">
        <v>123</v>
      </c>
      <c r="C3" s="29" t="s">
        <v>129</v>
      </c>
      <c r="D3" s="29" t="s">
        <v>130</v>
      </c>
      <c r="E3" s="29" t="s">
        <v>131</v>
      </c>
      <c r="F3" s="48"/>
      <c r="G3" s="48"/>
    </row>
    <row r="4" spans="1:7" x14ac:dyDescent="0.35">
      <c r="A4" s="48" t="s">
        <v>4816</v>
      </c>
      <c r="B4" s="25">
        <v>1.1640779999999999</v>
      </c>
      <c r="C4" s="25">
        <v>1.5989139999999999</v>
      </c>
      <c r="D4" s="25">
        <v>1.062867</v>
      </c>
      <c r="E4" s="25">
        <v>1.10242</v>
      </c>
      <c r="F4" s="48"/>
      <c r="G4" s="48"/>
    </row>
    <row r="5" spans="1:7" x14ac:dyDescent="0.35">
      <c r="A5" s="48" t="s">
        <v>4817</v>
      </c>
      <c r="B5" s="25">
        <v>0.85904899999999995</v>
      </c>
      <c r="C5" s="25">
        <v>1.240899</v>
      </c>
      <c r="D5" s="25">
        <v>0.69392900000000002</v>
      </c>
      <c r="E5" s="25">
        <v>0.81359400000000004</v>
      </c>
      <c r="F5" s="48"/>
      <c r="G5" s="48"/>
    </row>
    <row r="6" spans="1:7" x14ac:dyDescent="0.35">
      <c r="A6" s="48" t="s">
        <v>4818</v>
      </c>
      <c r="B6" s="25">
        <v>0.71804999999999997</v>
      </c>
      <c r="C6" s="25">
        <v>1.750102</v>
      </c>
      <c r="D6" s="25">
        <v>1.2987949999999999</v>
      </c>
      <c r="E6" s="25">
        <v>0.736321</v>
      </c>
      <c r="F6" s="48"/>
      <c r="G6" s="48"/>
    </row>
    <row r="7" spans="1:7" x14ac:dyDescent="0.35">
      <c r="A7" s="48" t="s">
        <v>4819</v>
      </c>
      <c r="B7" s="25">
        <v>1.3926609999999999</v>
      </c>
      <c r="C7" s="25">
        <v>1.2892349999999999</v>
      </c>
      <c r="D7" s="25">
        <v>0.74337799999999998</v>
      </c>
      <c r="E7" s="25">
        <v>0.89055300000000004</v>
      </c>
      <c r="F7" s="48"/>
      <c r="G7" s="48"/>
    </row>
    <row r="8" spans="1:7" x14ac:dyDescent="0.35">
      <c r="A8" s="48" t="s">
        <v>4820</v>
      </c>
      <c r="B8" s="25">
        <v>0.98863900000000005</v>
      </c>
      <c r="C8" s="25">
        <v>0.98466799999999999</v>
      </c>
      <c r="D8" s="25">
        <v>0.84403399999999995</v>
      </c>
      <c r="E8" s="25">
        <v>1.2234050000000001</v>
      </c>
      <c r="F8" s="48"/>
      <c r="G8" s="48"/>
    </row>
    <row r="9" spans="1:7" x14ac:dyDescent="0.35">
      <c r="A9" s="48" t="s">
        <v>4821</v>
      </c>
      <c r="B9" s="25">
        <v>0.99409700000000001</v>
      </c>
      <c r="C9" s="25">
        <v>1.5118389999999999</v>
      </c>
      <c r="D9" s="25">
        <v>0.88782000000000005</v>
      </c>
      <c r="E9" s="25"/>
      <c r="F9" s="48"/>
      <c r="G9" s="48"/>
    </row>
    <row r="10" spans="1:7" x14ac:dyDescent="0.35">
      <c r="A10" s="48" t="s">
        <v>4822</v>
      </c>
      <c r="B10" s="25">
        <v>1.0174989999999999</v>
      </c>
      <c r="C10" s="25">
        <v>2.1232530000000001</v>
      </c>
      <c r="D10" s="25">
        <v>0.81945800000000002</v>
      </c>
      <c r="E10" s="25"/>
      <c r="F10" s="48"/>
      <c r="G10" s="48"/>
    </row>
    <row r="11" spans="1:7" x14ac:dyDescent="0.35">
      <c r="A11" s="48"/>
      <c r="B11" s="48"/>
      <c r="C11" s="48"/>
      <c r="D11" s="48"/>
      <c r="E11" s="48"/>
      <c r="F11" s="48"/>
      <c r="G11" s="48"/>
    </row>
    <row r="12" spans="1:7" x14ac:dyDescent="0.35">
      <c r="A12" t="s">
        <v>4811</v>
      </c>
      <c r="B12">
        <f>_xlfn.T.TEST(B4:B10,C4:C10,2,2)</f>
        <v>1.21815814420738E-2</v>
      </c>
      <c r="C12" s="48">
        <f>_xlfn.T.TEST(C4:C10,E4:E10,2,2)</f>
        <v>1.4625678691472133E-2</v>
      </c>
    </row>
  </sheetData>
  <phoneticPr fontId="3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AC210-D907-48EB-B4FE-10BD96B4D2C2}">
  <dimension ref="A1:G13"/>
  <sheetViews>
    <sheetView workbookViewId="0">
      <selection activeCell="J25" sqref="J25"/>
    </sheetView>
  </sheetViews>
  <sheetFormatPr defaultRowHeight="14.5" x14ac:dyDescent="0.35"/>
  <sheetData>
    <row r="1" spans="1:7" x14ac:dyDescent="0.35">
      <c r="A1" s="48"/>
      <c r="B1" s="48"/>
      <c r="C1" s="48"/>
      <c r="D1" s="48"/>
      <c r="E1" s="48"/>
      <c r="F1" s="48"/>
      <c r="G1" s="48"/>
    </row>
    <row r="2" spans="1:7" x14ac:dyDescent="0.35">
      <c r="A2" s="48" t="s">
        <v>4772</v>
      </c>
      <c r="B2" s="27" t="s">
        <v>134</v>
      </c>
      <c r="C2" s="48"/>
      <c r="D2" s="48"/>
      <c r="E2" s="48"/>
      <c r="F2" s="48"/>
      <c r="G2" s="48"/>
    </row>
    <row r="3" spans="1:7" x14ac:dyDescent="0.35">
      <c r="A3" s="48"/>
      <c r="B3" s="29" t="s">
        <v>123</v>
      </c>
      <c r="C3" s="29" t="s">
        <v>129</v>
      </c>
      <c r="D3" s="29" t="s">
        <v>132</v>
      </c>
      <c r="E3" s="29" t="s">
        <v>133</v>
      </c>
      <c r="F3" s="48"/>
      <c r="G3" s="48"/>
    </row>
    <row r="4" spans="1:7" x14ac:dyDescent="0.35">
      <c r="A4" s="48" t="s">
        <v>4816</v>
      </c>
      <c r="B4" s="25">
        <v>0.60236299999999998</v>
      </c>
      <c r="C4" s="25">
        <v>1.4739450000000001</v>
      </c>
      <c r="D4" s="25">
        <v>0.99526899999999996</v>
      </c>
      <c r="E4" s="25">
        <v>2.1844830000000002</v>
      </c>
      <c r="F4" s="48"/>
      <c r="G4" s="48"/>
    </row>
    <row r="5" spans="1:7" x14ac:dyDescent="0.35">
      <c r="A5" s="48" t="s">
        <v>4817</v>
      </c>
      <c r="B5" s="25">
        <v>1.781908</v>
      </c>
      <c r="C5" s="25">
        <v>2.0981999999999998</v>
      </c>
      <c r="D5" s="25">
        <v>0.86524100000000004</v>
      </c>
      <c r="E5" s="25">
        <v>1.250867</v>
      </c>
      <c r="F5" s="48"/>
      <c r="G5" s="48"/>
    </row>
    <row r="6" spans="1:7" x14ac:dyDescent="0.35">
      <c r="A6" s="48" t="s">
        <v>4818</v>
      </c>
      <c r="B6" s="25">
        <v>0.93165799999999999</v>
      </c>
      <c r="C6" s="25">
        <v>2.5757240000000001</v>
      </c>
      <c r="D6" s="25">
        <v>0.57147400000000004</v>
      </c>
      <c r="E6" s="25">
        <v>0.86013899999999999</v>
      </c>
      <c r="F6" s="48"/>
      <c r="G6" s="48"/>
    </row>
    <row r="7" spans="1:7" x14ac:dyDescent="0.35">
      <c r="A7" s="48" t="s">
        <v>4819</v>
      </c>
      <c r="B7" s="25">
        <v>1.087037</v>
      </c>
      <c r="C7" s="25">
        <v>1.729373</v>
      </c>
      <c r="D7" s="25">
        <v>1.7762500000000001</v>
      </c>
      <c r="E7" s="25">
        <v>0.67884299999999997</v>
      </c>
      <c r="F7" s="48"/>
      <c r="G7" s="48"/>
    </row>
    <row r="8" spans="1:7" x14ac:dyDescent="0.35">
      <c r="A8" s="48" t="s">
        <v>4820</v>
      </c>
      <c r="B8" s="25">
        <v>0.98874200000000001</v>
      </c>
      <c r="C8" s="25">
        <v>1.3856200000000001</v>
      </c>
      <c r="D8" s="25">
        <v>1.198931</v>
      </c>
      <c r="E8" s="25">
        <v>0.82541799999999999</v>
      </c>
      <c r="F8" s="48"/>
      <c r="G8" s="48"/>
    </row>
    <row r="9" spans="1:7" x14ac:dyDescent="0.35">
      <c r="A9" s="48" t="s">
        <v>4821</v>
      </c>
      <c r="B9" s="25">
        <v>0.93040599999999996</v>
      </c>
      <c r="C9" s="25">
        <v>1.8327389999999999</v>
      </c>
      <c r="D9" s="25">
        <v>1.8320529999999999</v>
      </c>
      <c r="E9" s="25">
        <v>0.74509000000000003</v>
      </c>
      <c r="F9" s="48"/>
      <c r="G9" s="48"/>
    </row>
    <row r="10" spans="1:7" x14ac:dyDescent="0.35">
      <c r="A10" s="48" t="s">
        <v>4822</v>
      </c>
      <c r="B10" s="31"/>
      <c r="C10" s="31"/>
      <c r="D10" s="31"/>
      <c r="E10" s="25">
        <v>0.90849500000000005</v>
      </c>
      <c r="F10" s="48"/>
      <c r="G10" s="48"/>
    </row>
    <row r="11" spans="1:7" x14ac:dyDescent="0.35">
      <c r="A11" s="48" t="s">
        <v>4842</v>
      </c>
      <c r="B11" s="31"/>
      <c r="C11" s="31"/>
      <c r="D11" s="31"/>
      <c r="E11" s="25">
        <v>0.80085200000000001</v>
      </c>
      <c r="F11" s="48"/>
      <c r="G11" s="48"/>
    </row>
    <row r="12" spans="1:7" x14ac:dyDescent="0.35">
      <c r="A12" s="48"/>
      <c r="B12" s="30"/>
      <c r="C12" s="22"/>
      <c r="D12" s="22"/>
      <c r="E12" s="22"/>
      <c r="F12" s="48"/>
      <c r="G12" s="48"/>
    </row>
    <row r="13" spans="1:7" x14ac:dyDescent="0.35">
      <c r="A13" t="s">
        <v>4811</v>
      </c>
      <c r="B13">
        <f>_xlfn.T.TEST(B4:B9,C4:C9,2,2)</f>
        <v>7.8345039867575156E-3</v>
      </c>
      <c r="C13" s="48">
        <f>_xlfn.T.TEST(C4:C9,E4:E11,2,2)</f>
        <v>7.6251643546520267E-3</v>
      </c>
      <c r="D13" s="48"/>
    </row>
  </sheetData>
  <phoneticPr fontId="3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4E45E-B5C9-4500-8B75-8D8862B93A6B}">
  <dimension ref="A1:AC12"/>
  <sheetViews>
    <sheetView workbookViewId="0">
      <selection activeCell="L14" sqref="L14"/>
    </sheetView>
  </sheetViews>
  <sheetFormatPr defaultRowHeight="14.5" x14ac:dyDescent="0.35"/>
  <sheetData>
    <row r="1" spans="1:29" x14ac:dyDescent="0.35">
      <c r="A1" t="s">
        <v>4773</v>
      </c>
      <c r="B1" t="s">
        <v>4923</v>
      </c>
    </row>
    <row r="2" spans="1:29" x14ac:dyDescent="0.35">
      <c r="B2" s="27" t="s">
        <v>124</v>
      </c>
      <c r="C2" t="s">
        <v>4816</v>
      </c>
      <c r="D2" s="48" t="s">
        <v>4817</v>
      </c>
      <c r="E2" s="48" t="s">
        <v>4818</v>
      </c>
      <c r="F2" s="48" t="s">
        <v>4819</v>
      </c>
      <c r="G2" s="48" t="s">
        <v>4820</v>
      </c>
      <c r="H2" s="48" t="s">
        <v>4821</v>
      </c>
      <c r="I2" t="s">
        <v>4811</v>
      </c>
    </row>
    <row r="3" spans="1:29" x14ac:dyDescent="0.35">
      <c r="B3" s="16" t="s">
        <v>86</v>
      </c>
      <c r="C3" s="25">
        <v>0.85339200000000004</v>
      </c>
      <c r="D3" s="25">
        <v>1.1466080000000001</v>
      </c>
      <c r="E3" s="25">
        <v>1</v>
      </c>
      <c r="F3" s="25">
        <v>1.2734399999999999</v>
      </c>
      <c r="G3" s="25">
        <v>1.1021890000000001</v>
      </c>
      <c r="H3" s="25">
        <v>0.89781100000000003</v>
      </c>
      <c r="I3" s="22">
        <f>_xlfn.T.TEST(C3:H3,C4:H4,2,2)</f>
        <v>2.6731865077881264E-3</v>
      </c>
      <c r="J3" s="22"/>
      <c r="K3" s="22"/>
      <c r="R3" s="22"/>
      <c r="S3" s="22"/>
      <c r="T3" s="22"/>
      <c r="AA3" s="22"/>
      <c r="AB3" s="22"/>
      <c r="AC3" s="22"/>
    </row>
    <row r="4" spans="1:29" x14ac:dyDescent="0.35">
      <c r="B4" s="24" t="s">
        <v>135</v>
      </c>
      <c r="C4" s="25">
        <v>1.5558419999999999</v>
      </c>
      <c r="D4" s="25">
        <v>1.4309829999999999</v>
      </c>
      <c r="E4" s="25">
        <v>1.2804519999999999</v>
      </c>
      <c r="F4" s="25">
        <v>1.2250000000000001</v>
      </c>
      <c r="G4" s="25">
        <v>1.679808</v>
      </c>
      <c r="H4" s="25">
        <v>1.367405</v>
      </c>
      <c r="I4" s="22"/>
      <c r="J4" s="22"/>
      <c r="K4" s="22"/>
      <c r="R4" s="22"/>
      <c r="S4" s="22"/>
      <c r="T4" s="22"/>
      <c r="AA4" s="22"/>
      <c r="AB4" s="22"/>
      <c r="AC4" s="22"/>
    </row>
    <row r="6" spans="1:29" x14ac:dyDescent="0.35">
      <c r="B6" s="27" t="s">
        <v>125</v>
      </c>
    </row>
    <row r="7" spans="1:29" x14ac:dyDescent="0.35">
      <c r="B7" s="16" t="s">
        <v>86</v>
      </c>
      <c r="C7" s="25">
        <v>0.99221599999999999</v>
      </c>
      <c r="D7" s="25">
        <v>0.85363199999999995</v>
      </c>
      <c r="E7" s="25">
        <v>1.1541520000000001</v>
      </c>
      <c r="F7" s="25">
        <v>0.82857499999999995</v>
      </c>
      <c r="G7" s="25">
        <v>1.2238560000000001</v>
      </c>
      <c r="H7" s="25">
        <v>0.94757000000000002</v>
      </c>
      <c r="I7" s="22">
        <f>_xlfn.T.TEST(C7:H7,C8:H8,2,2)</f>
        <v>1.2026995802760763E-2</v>
      </c>
    </row>
    <row r="8" spans="1:29" x14ac:dyDescent="0.35">
      <c r="B8" s="24" t="s">
        <v>135</v>
      </c>
      <c r="C8" s="25">
        <v>1.488604</v>
      </c>
      <c r="D8" s="25">
        <v>1.0801080000000001</v>
      </c>
      <c r="E8" s="25">
        <v>1.153651</v>
      </c>
      <c r="F8" s="25">
        <v>1.4415789999999999</v>
      </c>
      <c r="G8" s="25">
        <v>1.700248</v>
      </c>
      <c r="H8" s="25">
        <v>1.2526759999999999</v>
      </c>
    </row>
    <row r="10" spans="1:29" x14ac:dyDescent="0.35">
      <c r="B10" s="27" t="s">
        <v>126</v>
      </c>
    </row>
    <row r="11" spans="1:29" x14ac:dyDescent="0.35">
      <c r="B11" s="16" t="s">
        <v>86</v>
      </c>
      <c r="C11" s="25">
        <v>0.82692500000000002</v>
      </c>
      <c r="D11" s="25">
        <v>1.1168979999999999</v>
      </c>
      <c r="E11" s="25">
        <v>1.0561769999999999</v>
      </c>
      <c r="F11" s="25">
        <v>0.65415800000000002</v>
      </c>
      <c r="G11" s="25">
        <v>1.345842</v>
      </c>
      <c r="H11" s="25"/>
      <c r="I11" s="22">
        <f>_xlfn.T.TEST(C11:H11,C12:H12,2,2)</f>
        <v>9.6723826056535241E-3</v>
      </c>
    </row>
    <row r="12" spans="1:29" x14ac:dyDescent="0.35">
      <c r="B12" s="24" t="s">
        <v>135</v>
      </c>
      <c r="C12" s="25">
        <v>0.42370600000000003</v>
      </c>
      <c r="D12" s="25">
        <v>0.50843099999999997</v>
      </c>
      <c r="E12" s="25">
        <v>0.354543</v>
      </c>
      <c r="F12" s="25">
        <v>0.64224499999999995</v>
      </c>
      <c r="G12" s="25">
        <v>0.56520999999999999</v>
      </c>
      <c r="H12" s="25">
        <v>0.85997699999999999</v>
      </c>
    </row>
  </sheetData>
  <phoneticPr fontId="3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B87B-294C-41F2-AF07-B45108A863F4}">
  <dimension ref="A2:F15"/>
  <sheetViews>
    <sheetView workbookViewId="0">
      <selection activeCell="F20" sqref="F20"/>
    </sheetView>
  </sheetViews>
  <sheetFormatPr defaultRowHeight="14.5" x14ac:dyDescent="0.35"/>
  <sheetData>
    <row r="2" spans="1:6" x14ac:dyDescent="0.35">
      <c r="A2" s="48" t="s">
        <v>4774</v>
      </c>
      <c r="B2" s="48"/>
      <c r="C2" s="48"/>
      <c r="D2" s="48"/>
      <c r="E2" s="48"/>
      <c r="F2" s="48"/>
    </row>
    <row r="3" spans="1:6" x14ac:dyDescent="0.35">
      <c r="A3" s="48"/>
      <c r="B3" s="27" t="s">
        <v>127</v>
      </c>
      <c r="C3" s="48"/>
      <c r="D3" s="48"/>
      <c r="E3" s="48"/>
      <c r="F3" s="48"/>
    </row>
    <row r="4" spans="1:6" x14ac:dyDescent="0.35">
      <c r="A4" s="48"/>
      <c r="B4" s="29" t="s">
        <v>86</v>
      </c>
      <c r="C4" s="29" t="s">
        <v>135</v>
      </c>
      <c r="D4" s="48"/>
      <c r="E4" s="48"/>
      <c r="F4" s="48"/>
    </row>
    <row r="5" spans="1:6" x14ac:dyDescent="0.35">
      <c r="A5" s="48" t="s">
        <v>4816</v>
      </c>
      <c r="B5" s="25">
        <v>1.052219</v>
      </c>
      <c r="C5" s="25">
        <v>1.6992750000000001</v>
      </c>
      <c r="D5" s="48"/>
      <c r="E5" s="48"/>
      <c r="F5" s="48"/>
    </row>
    <row r="6" spans="1:6" x14ac:dyDescent="0.35">
      <c r="A6" s="48" t="s">
        <v>4817</v>
      </c>
      <c r="B6" s="25">
        <v>1.4177299999999999</v>
      </c>
      <c r="C6" s="25">
        <v>1.691703</v>
      </c>
      <c r="D6" s="48"/>
      <c r="E6" s="48"/>
      <c r="F6" s="48"/>
    </row>
    <row r="7" spans="1:6" x14ac:dyDescent="0.35">
      <c r="A7" s="48" t="s">
        <v>4818</v>
      </c>
      <c r="B7" s="25">
        <v>0.67034800000000005</v>
      </c>
      <c r="C7" s="25">
        <v>1.659958</v>
      </c>
      <c r="D7" s="48"/>
      <c r="E7" s="48"/>
      <c r="F7" s="48"/>
    </row>
    <row r="8" spans="1:6" x14ac:dyDescent="0.35">
      <c r="A8" s="48" t="s">
        <v>4819</v>
      </c>
      <c r="B8" s="25">
        <v>1.0393319999999999</v>
      </c>
      <c r="C8" s="25">
        <v>1.115766</v>
      </c>
      <c r="D8" s="48"/>
      <c r="E8" s="48"/>
      <c r="F8" s="48"/>
    </row>
    <row r="9" spans="1:6" x14ac:dyDescent="0.35">
      <c r="A9" s="48" t="s">
        <v>4820</v>
      </c>
      <c r="B9" s="25">
        <v>0.64577799999999996</v>
      </c>
      <c r="C9" s="25">
        <v>1.486693</v>
      </c>
      <c r="D9" s="48"/>
      <c r="E9" s="48"/>
      <c r="F9" s="48"/>
    </row>
    <row r="10" spans="1:6" x14ac:dyDescent="0.35">
      <c r="A10" s="48" t="s">
        <v>4821</v>
      </c>
      <c r="B10" s="25">
        <v>1.1829259999999999</v>
      </c>
      <c r="C10" s="25">
        <v>1.3947179999999999</v>
      </c>
      <c r="D10" s="48"/>
      <c r="E10" s="48"/>
      <c r="F10" s="48"/>
    </row>
    <row r="11" spans="1:6" x14ac:dyDescent="0.35">
      <c r="A11" s="48" t="s">
        <v>4822</v>
      </c>
      <c r="B11" s="25">
        <v>1.0167759999999999</v>
      </c>
      <c r="C11" s="25">
        <v>1.3124530000000001</v>
      </c>
      <c r="D11" s="48"/>
      <c r="E11" s="48"/>
      <c r="F11" s="48"/>
    </row>
    <row r="12" spans="1:6" x14ac:dyDescent="0.35">
      <c r="A12" s="48" t="s">
        <v>4842</v>
      </c>
      <c r="B12" s="25">
        <v>1.003932</v>
      </c>
      <c r="C12" s="25">
        <v>1.3176140000000001</v>
      </c>
      <c r="D12" s="48"/>
      <c r="E12" s="48"/>
      <c r="F12" s="48"/>
    </row>
    <row r="13" spans="1:6" x14ac:dyDescent="0.35">
      <c r="A13" s="48" t="s">
        <v>4843</v>
      </c>
      <c r="B13" s="25">
        <v>1.233886</v>
      </c>
      <c r="C13" s="25">
        <v>1.2030400000000001</v>
      </c>
      <c r="D13" s="48"/>
      <c r="E13" s="48"/>
      <c r="F13" s="48"/>
    </row>
    <row r="14" spans="1:6" x14ac:dyDescent="0.35">
      <c r="A14" s="48"/>
      <c r="B14" s="48"/>
      <c r="C14" s="48"/>
      <c r="D14" s="48"/>
      <c r="E14" s="48"/>
      <c r="F14" s="48"/>
    </row>
    <row r="15" spans="1:6" x14ac:dyDescent="0.35">
      <c r="A15" t="s">
        <v>4811</v>
      </c>
      <c r="B15">
        <f>_xlfn.T.TEST(B5:B13,C5:C13,2,2)</f>
        <v>2.1133614308850852E-3</v>
      </c>
    </row>
  </sheetData>
  <phoneticPr fontId="3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F41A4-171E-474F-86AF-2316D24AB35F}">
  <dimension ref="A2:E16"/>
  <sheetViews>
    <sheetView workbookViewId="0">
      <selection activeCell="H41" sqref="H41"/>
    </sheetView>
  </sheetViews>
  <sheetFormatPr defaultRowHeight="14.5" x14ac:dyDescent="0.35"/>
  <sheetData>
    <row r="2" spans="1:5" x14ac:dyDescent="0.35">
      <c r="A2" t="s">
        <v>4775</v>
      </c>
    </row>
    <row r="3" spans="1:5" x14ac:dyDescent="0.35">
      <c r="B3" s="27" t="s">
        <v>127</v>
      </c>
    </row>
    <row r="4" spans="1:5" x14ac:dyDescent="0.35">
      <c r="B4" s="29" t="s">
        <v>123</v>
      </c>
      <c r="C4" s="29" t="s">
        <v>129</v>
      </c>
      <c r="D4" s="29" t="s">
        <v>136</v>
      </c>
      <c r="E4" s="29" t="s">
        <v>137</v>
      </c>
    </row>
    <row r="5" spans="1:5" x14ac:dyDescent="0.35">
      <c r="A5" t="s">
        <v>4816</v>
      </c>
      <c r="B5" s="25">
        <v>1.1482559999999999</v>
      </c>
      <c r="C5" s="25">
        <v>1.573018</v>
      </c>
      <c r="D5" s="25">
        <v>1.3390340000000001</v>
      </c>
      <c r="E5" s="25">
        <v>0.97793600000000003</v>
      </c>
    </row>
    <row r="6" spans="1:5" x14ac:dyDescent="0.35">
      <c r="A6" s="48" t="s">
        <v>4817</v>
      </c>
      <c r="B6" s="25">
        <v>1.2702720000000001</v>
      </c>
      <c r="C6" s="25">
        <v>3.0702050000000001</v>
      </c>
      <c r="D6" s="25">
        <v>0.87208300000000005</v>
      </c>
      <c r="E6" s="25">
        <v>0.70016</v>
      </c>
    </row>
    <row r="7" spans="1:5" x14ac:dyDescent="0.35">
      <c r="A7" s="48" t="s">
        <v>4818</v>
      </c>
      <c r="B7" s="25">
        <v>0.68559000000000003</v>
      </c>
      <c r="C7" s="25">
        <v>1.3601749999999999</v>
      </c>
      <c r="D7" s="25">
        <v>1.959643</v>
      </c>
      <c r="E7" s="25">
        <v>1.7386029999999999</v>
      </c>
    </row>
    <row r="8" spans="1:5" x14ac:dyDescent="0.35">
      <c r="A8" s="48" t="s">
        <v>4819</v>
      </c>
      <c r="B8" s="25">
        <v>1.177845</v>
      </c>
      <c r="C8" s="25">
        <v>1.6159749999999999</v>
      </c>
      <c r="D8" s="25">
        <v>1.6844330000000001</v>
      </c>
      <c r="E8" s="25">
        <v>1.0364169999999999</v>
      </c>
    </row>
    <row r="9" spans="1:5" x14ac:dyDescent="0.35">
      <c r="A9" s="48" t="s">
        <v>4820</v>
      </c>
      <c r="B9" s="25">
        <v>1.186877</v>
      </c>
      <c r="C9" s="25">
        <v>3.7187299999999999</v>
      </c>
      <c r="D9" s="25">
        <v>1.1911510000000001</v>
      </c>
      <c r="E9" s="25">
        <v>1.704008</v>
      </c>
    </row>
    <row r="10" spans="1:5" x14ac:dyDescent="0.35">
      <c r="A10" s="48" t="s">
        <v>4821</v>
      </c>
      <c r="B10" s="25">
        <v>0.71533000000000002</v>
      </c>
      <c r="C10" s="25">
        <v>1.4894270000000001</v>
      </c>
      <c r="D10" s="25">
        <v>1.4217219999999999</v>
      </c>
      <c r="E10" s="25">
        <v>0.73299800000000004</v>
      </c>
    </row>
    <row r="11" spans="1:5" x14ac:dyDescent="0.35">
      <c r="A11" s="48" t="s">
        <v>4822</v>
      </c>
      <c r="B11" s="25">
        <v>1.0201070000000001</v>
      </c>
      <c r="C11" s="25">
        <v>2.437961</v>
      </c>
      <c r="D11" s="25">
        <v>1.154185</v>
      </c>
      <c r="E11" s="25">
        <v>1.026038</v>
      </c>
    </row>
    <row r="12" spans="1:5" x14ac:dyDescent="0.35">
      <c r="A12" s="48" t="s">
        <v>4842</v>
      </c>
      <c r="B12" s="25">
        <v>0.98028899999999997</v>
      </c>
      <c r="C12" s="25">
        <v>1.295825</v>
      </c>
      <c r="D12" s="25">
        <v>0.715256</v>
      </c>
      <c r="E12" s="25">
        <v>0.72153699999999998</v>
      </c>
    </row>
    <row r="13" spans="1:5" x14ac:dyDescent="0.35">
      <c r="A13" s="48" t="s">
        <v>4843</v>
      </c>
      <c r="B13" s="25"/>
      <c r="C13" s="25"/>
      <c r="D13" s="25"/>
      <c r="E13" s="25">
        <v>1.0126230000000001</v>
      </c>
    </row>
    <row r="14" spans="1:5" x14ac:dyDescent="0.35">
      <c r="A14" s="48" t="s">
        <v>4844</v>
      </c>
      <c r="B14" s="25"/>
      <c r="C14" s="25"/>
      <c r="D14" s="25"/>
      <c r="E14" s="25">
        <v>0.79760200000000003</v>
      </c>
    </row>
    <row r="15" spans="1:5" x14ac:dyDescent="0.35">
      <c r="B15" s="22"/>
      <c r="C15" s="22"/>
      <c r="D15" s="22"/>
    </row>
    <row r="16" spans="1:5" x14ac:dyDescent="0.35">
      <c r="A16" t="s">
        <v>4811</v>
      </c>
      <c r="B16">
        <f>_xlfn.T.TEST(B5:B12,C5:C12,2,2)</f>
        <v>6.7294508225125794E-3</v>
      </c>
      <c r="C16" s="48">
        <f>_xlfn.T.TEST(C5:C12,E5:E14,2,2)</f>
        <v>4.9547403135736124E-3</v>
      </c>
    </row>
  </sheetData>
  <phoneticPr fontId="3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E5EF3-7D34-4041-ADB0-D773FAAC0A03}">
  <dimension ref="A2:F12"/>
  <sheetViews>
    <sheetView workbookViewId="0">
      <selection activeCell="Q52" sqref="Q52"/>
    </sheetView>
  </sheetViews>
  <sheetFormatPr defaultRowHeight="14.5" x14ac:dyDescent="0.35"/>
  <sheetData>
    <row r="2" spans="1:6" x14ac:dyDescent="0.35">
      <c r="A2" s="48" t="s">
        <v>4776</v>
      </c>
      <c r="B2" s="48"/>
      <c r="C2" s="48"/>
      <c r="D2" s="48"/>
      <c r="E2" s="48"/>
      <c r="F2" s="48"/>
    </row>
    <row r="3" spans="1:6" x14ac:dyDescent="0.35">
      <c r="A3" s="48"/>
      <c r="B3" s="27" t="s">
        <v>127</v>
      </c>
      <c r="C3" s="48"/>
      <c r="D3" s="48"/>
      <c r="E3" s="48"/>
      <c r="F3" s="48"/>
    </row>
    <row r="4" spans="1:6" x14ac:dyDescent="0.35">
      <c r="A4" s="48"/>
      <c r="B4" s="29" t="s">
        <v>123</v>
      </c>
      <c r="C4" s="29" t="s">
        <v>138</v>
      </c>
      <c r="D4" s="48"/>
      <c r="E4" s="48"/>
      <c r="F4" s="48"/>
    </row>
    <row r="5" spans="1:6" x14ac:dyDescent="0.35">
      <c r="A5" s="48" t="s">
        <v>4816</v>
      </c>
      <c r="B5" s="25">
        <v>0.92741499999999999</v>
      </c>
      <c r="C5" s="25">
        <v>1.9638469999999999</v>
      </c>
      <c r="D5" s="48"/>
      <c r="E5" s="48"/>
      <c r="F5" s="48"/>
    </row>
    <row r="6" spans="1:6" x14ac:dyDescent="0.35">
      <c r="A6" s="48" t="s">
        <v>4817</v>
      </c>
      <c r="B6" s="25">
        <v>1.0782659999999999</v>
      </c>
      <c r="C6" s="25">
        <v>1.5806750000000001</v>
      </c>
      <c r="D6" s="48"/>
      <c r="E6" s="48"/>
      <c r="F6" s="48"/>
    </row>
    <row r="7" spans="1:6" x14ac:dyDescent="0.35">
      <c r="A7" s="48" t="s">
        <v>4818</v>
      </c>
      <c r="B7" s="25">
        <v>0.917184</v>
      </c>
      <c r="C7" s="25">
        <v>2.265425</v>
      </c>
      <c r="D7" s="48"/>
      <c r="E7" s="48"/>
      <c r="F7" s="48"/>
    </row>
    <row r="8" spans="1:6" x14ac:dyDescent="0.35">
      <c r="A8" s="48" t="s">
        <v>4819</v>
      </c>
      <c r="B8" s="25">
        <v>1.0902940000000001</v>
      </c>
      <c r="C8" s="25">
        <v>1.4494</v>
      </c>
      <c r="D8" s="48"/>
      <c r="E8" s="48"/>
      <c r="F8" s="48"/>
    </row>
    <row r="9" spans="1:6" x14ac:dyDescent="0.35">
      <c r="A9" s="48" t="s">
        <v>4820</v>
      </c>
      <c r="B9" s="25"/>
      <c r="C9" s="25">
        <v>1.198056</v>
      </c>
      <c r="D9" s="48"/>
      <c r="E9" s="48"/>
      <c r="F9" s="48"/>
    </row>
    <row r="10" spans="1:6" x14ac:dyDescent="0.35">
      <c r="A10" s="48" t="s">
        <v>4821</v>
      </c>
      <c r="B10" s="25"/>
      <c r="C10" s="25">
        <v>1.9681949999999999</v>
      </c>
      <c r="D10" s="48"/>
      <c r="E10" s="48"/>
      <c r="F10" s="48"/>
    </row>
    <row r="12" spans="1:6" x14ac:dyDescent="0.35">
      <c r="A12" t="s">
        <v>4811</v>
      </c>
      <c r="B12">
        <f>_xlfn.T.TEST(B5:B8,C5:C10,2,2)</f>
        <v>7.1960180394454549E-3</v>
      </c>
    </row>
  </sheetData>
  <phoneticPr fontId="3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CC250-EA92-400C-BFEE-F7BEA245C737}">
  <dimension ref="A1:C9"/>
  <sheetViews>
    <sheetView workbookViewId="0">
      <selection activeCell="G47" sqref="G47"/>
    </sheetView>
  </sheetViews>
  <sheetFormatPr defaultRowHeight="14.5" x14ac:dyDescent="0.35"/>
  <cols>
    <col min="2" max="2" width="11.81640625" bestFit="1" customWidth="1"/>
  </cols>
  <sheetData>
    <row r="1" spans="1:3" x14ac:dyDescent="0.35">
      <c r="A1" t="s">
        <v>4777</v>
      </c>
    </row>
    <row r="2" spans="1:3" x14ac:dyDescent="0.35">
      <c r="B2" t="s">
        <v>4558</v>
      </c>
    </row>
    <row r="3" spans="1:3" ht="16.5" x14ac:dyDescent="0.35">
      <c r="B3" s="5" t="s">
        <v>4699</v>
      </c>
      <c r="C3" s="5" t="s">
        <v>23</v>
      </c>
    </row>
    <row r="4" spans="1:3" x14ac:dyDescent="0.35">
      <c r="B4" s="50">
        <v>0.97</v>
      </c>
      <c r="C4" s="50">
        <v>0</v>
      </c>
    </row>
    <row r="5" spans="1:3" x14ac:dyDescent="0.35">
      <c r="B5" s="50">
        <v>1.08</v>
      </c>
      <c r="C5" s="50">
        <v>0.11</v>
      </c>
    </row>
    <row r="6" spans="1:3" x14ac:dyDescent="0.35">
      <c r="B6" s="50">
        <v>0.91</v>
      </c>
      <c r="C6" s="50">
        <v>0.14000000000000001</v>
      </c>
    </row>
    <row r="7" spans="1:3" x14ac:dyDescent="0.35">
      <c r="B7" s="50">
        <v>1.04</v>
      </c>
      <c r="C7" s="51"/>
    </row>
    <row r="9" spans="1:3" x14ac:dyDescent="0.35">
      <c r="A9" t="s">
        <v>4811</v>
      </c>
      <c r="B9">
        <f>_xlfn.T.TEST(B4:B7,C4:C6,2,2)</f>
        <v>1.6962474808360267E-5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00406-6D1E-4E97-95CD-C49E800394A3}">
  <dimension ref="A2:M14"/>
  <sheetViews>
    <sheetView workbookViewId="0">
      <selection activeCell="J22" sqref="J22"/>
    </sheetView>
  </sheetViews>
  <sheetFormatPr defaultRowHeight="14.5" x14ac:dyDescent="0.35"/>
  <sheetData>
    <row r="2" spans="1:13" x14ac:dyDescent="0.35">
      <c r="A2" s="48" t="s">
        <v>4778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3" x14ac:dyDescent="0.35">
      <c r="A3" s="48"/>
      <c r="B3" s="48" t="s">
        <v>4926</v>
      </c>
      <c r="C3" s="48"/>
      <c r="D3" s="48"/>
      <c r="E3" s="48"/>
      <c r="F3" s="48"/>
      <c r="G3" s="48"/>
      <c r="H3" s="48"/>
      <c r="I3" s="48"/>
      <c r="J3" s="48" t="s">
        <v>4811</v>
      </c>
      <c r="K3" s="48"/>
      <c r="L3" s="48"/>
      <c r="M3" s="48"/>
    </row>
    <row r="4" spans="1:13" ht="16.5" x14ac:dyDescent="0.35">
      <c r="A4" s="48"/>
      <c r="B4" s="19"/>
      <c r="C4" s="5" t="s">
        <v>4559</v>
      </c>
      <c r="D4" s="5" t="s">
        <v>4560</v>
      </c>
      <c r="E4" s="5" t="s">
        <v>4561</v>
      </c>
      <c r="F4" s="5"/>
      <c r="G4" s="19" t="s">
        <v>1</v>
      </c>
      <c r="H4" s="19" t="s">
        <v>2</v>
      </c>
      <c r="I4" s="19" t="s">
        <v>3</v>
      </c>
      <c r="J4" s="19"/>
      <c r="M4" s="1"/>
    </row>
    <row r="5" spans="1:13" x14ac:dyDescent="0.35">
      <c r="A5" s="48"/>
      <c r="B5" s="16" t="s">
        <v>161</v>
      </c>
      <c r="C5" s="17">
        <v>0.59041699999999997</v>
      </c>
      <c r="D5" s="17">
        <v>0.718615</v>
      </c>
      <c r="E5" s="17">
        <v>1.690968</v>
      </c>
      <c r="F5" s="17"/>
      <c r="G5" s="17">
        <v>1.2782420000000001</v>
      </c>
      <c r="H5" s="17">
        <v>0.82470399999999999</v>
      </c>
      <c r="I5" s="17">
        <v>0.74782599999999999</v>
      </c>
      <c r="J5" s="17">
        <f>_xlfn.T.TEST(C5:E5,G5:I5,2,2)</f>
        <v>0.90339854617669024</v>
      </c>
      <c r="M5" s="1"/>
    </row>
    <row r="6" spans="1:13" x14ac:dyDescent="0.35">
      <c r="A6" s="48"/>
      <c r="B6" s="16" t="s">
        <v>162</v>
      </c>
      <c r="C6" s="17">
        <v>0.39</v>
      </c>
      <c r="D6" s="17">
        <v>0.77</v>
      </c>
      <c r="E6" s="17">
        <v>1.84</v>
      </c>
      <c r="F6" s="17"/>
      <c r="G6" s="17">
        <v>1.57</v>
      </c>
      <c r="H6" s="17">
        <v>0.91</v>
      </c>
      <c r="I6" s="17">
        <v>0.62</v>
      </c>
      <c r="J6" s="17">
        <f t="shared" ref="J6:J12" si="0">_xlfn.T.TEST(C6:E6,G6:I6,2,2)</f>
        <v>0.9516999511547769</v>
      </c>
      <c r="M6" s="1"/>
    </row>
    <row r="7" spans="1:13" x14ac:dyDescent="0.35">
      <c r="A7" s="48"/>
      <c r="B7" s="16" t="s">
        <v>163</v>
      </c>
      <c r="C7" s="17">
        <v>0.82</v>
      </c>
      <c r="D7" s="17">
        <v>0.76</v>
      </c>
      <c r="E7" s="17">
        <v>1.42</v>
      </c>
      <c r="F7" s="17"/>
      <c r="G7" s="17">
        <v>1.34</v>
      </c>
      <c r="H7" s="17">
        <v>1.05</v>
      </c>
      <c r="I7" s="17">
        <v>1.02</v>
      </c>
      <c r="J7" s="17">
        <f t="shared" si="0"/>
        <v>0.59072007681145444</v>
      </c>
      <c r="M7" s="1"/>
    </row>
    <row r="8" spans="1:13" x14ac:dyDescent="0.35">
      <c r="A8" s="48"/>
      <c r="B8" s="16" t="s">
        <v>164</v>
      </c>
      <c r="C8" s="17">
        <v>0.76</v>
      </c>
      <c r="D8" s="17">
        <v>0.91</v>
      </c>
      <c r="E8" s="17">
        <v>1.33</v>
      </c>
      <c r="F8" s="17"/>
      <c r="G8" s="17">
        <v>0.63</v>
      </c>
      <c r="H8" s="17">
        <v>0.66</v>
      </c>
      <c r="I8" s="17">
        <v>0.8</v>
      </c>
      <c r="J8" s="17">
        <f t="shared" si="0"/>
        <v>0.16438933885730239</v>
      </c>
      <c r="M8" s="1"/>
    </row>
    <row r="9" spans="1:13" x14ac:dyDescent="0.35">
      <c r="A9" s="48"/>
      <c r="B9" s="16" t="s">
        <v>165</v>
      </c>
      <c r="C9" s="17">
        <v>0.84</v>
      </c>
      <c r="D9" s="17">
        <v>1.2</v>
      </c>
      <c r="E9" s="17">
        <v>0.97</v>
      </c>
      <c r="F9" s="17"/>
      <c r="G9" s="17">
        <v>0.92</v>
      </c>
      <c r="H9" s="17">
        <v>0.99</v>
      </c>
      <c r="I9" s="17">
        <v>0.79</v>
      </c>
      <c r="J9" s="17">
        <f t="shared" si="0"/>
        <v>0.43935657942843809</v>
      </c>
      <c r="M9" s="1"/>
    </row>
    <row r="10" spans="1:13" x14ac:dyDescent="0.35">
      <c r="A10" s="48"/>
      <c r="B10" s="16" t="s">
        <v>166</v>
      </c>
      <c r="C10" s="17">
        <v>0.86</v>
      </c>
      <c r="D10" s="17">
        <v>0.97</v>
      </c>
      <c r="E10" s="17">
        <v>1.17</v>
      </c>
      <c r="F10" s="17"/>
      <c r="G10" s="17">
        <v>0.94</v>
      </c>
      <c r="H10" s="17">
        <v>0.98</v>
      </c>
      <c r="I10" s="17">
        <v>1.01</v>
      </c>
      <c r="J10" s="17">
        <f t="shared" si="0"/>
        <v>0.81420793040302408</v>
      </c>
      <c r="M10" s="48"/>
    </row>
    <row r="11" spans="1:13" x14ac:dyDescent="0.35">
      <c r="A11" s="48"/>
      <c r="B11" s="16" t="s">
        <v>167</v>
      </c>
      <c r="C11" s="17">
        <v>0.45927299999999999</v>
      </c>
      <c r="D11" s="17">
        <v>0.83136900000000002</v>
      </c>
      <c r="E11" s="17">
        <v>1.7093579999999999</v>
      </c>
      <c r="F11" s="17"/>
      <c r="G11" s="17">
        <v>1.243887</v>
      </c>
      <c r="H11" s="17">
        <v>0.48784300000000003</v>
      </c>
      <c r="I11" s="17">
        <v>1.3055369999999999</v>
      </c>
      <c r="J11" s="17">
        <f t="shared" si="0"/>
        <v>0.97949821137695148</v>
      </c>
      <c r="M11" s="1"/>
    </row>
    <row r="12" spans="1:13" x14ac:dyDescent="0.35">
      <c r="A12" s="48"/>
      <c r="B12" s="16" t="s">
        <v>168</v>
      </c>
      <c r="C12" s="17">
        <v>0.98672599999999999</v>
      </c>
      <c r="D12" s="17">
        <v>0.95611299999999999</v>
      </c>
      <c r="E12" s="17">
        <v>1.057161</v>
      </c>
      <c r="F12" s="17"/>
      <c r="G12" s="17">
        <v>1.333704</v>
      </c>
      <c r="H12" s="17">
        <v>0.911663</v>
      </c>
      <c r="I12" s="17">
        <v>0.86499099999999995</v>
      </c>
      <c r="J12" s="17">
        <f t="shared" si="0"/>
        <v>0.82071889551632327</v>
      </c>
      <c r="M12" s="48"/>
    </row>
    <row r="14" spans="1:13" x14ac:dyDescent="0.35">
      <c r="E14" s="48"/>
      <c r="F14" s="48"/>
      <c r="I14" s="48"/>
      <c r="J14" s="48"/>
      <c r="K14" s="48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A780E-6247-40B8-A911-DD7862D271C6}">
  <dimension ref="B2:AS18"/>
  <sheetViews>
    <sheetView workbookViewId="0">
      <selection activeCell="H26" sqref="H26"/>
    </sheetView>
  </sheetViews>
  <sheetFormatPr defaultRowHeight="14.5" x14ac:dyDescent="0.35"/>
  <sheetData>
    <row r="2" spans="2:45" x14ac:dyDescent="0.35">
      <c r="B2" t="s">
        <v>4706</v>
      </c>
    </row>
    <row r="3" spans="2:45" ht="16.5" x14ac:dyDescent="0.35">
      <c r="B3" s="19"/>
      <c r="C3" s="5" t="s">
        <v>4559</v>
      </c>
      <c r="D3" s="5" t="s">
        <v>4700</v>
      </c>
      <c r="E3" s="5" t="s">
        <v>4701</v>
      </c>
      <c r="F3" s="5" t="s">
        <v>4702</v>
      </c>
      <c r="G3" s="5" t="s">
        <v>4703</v>
      </c>
      <c r="H3" s="5" t="s">
        <v>4704</v>
      </c>
    </row>
    <row r="4" spans="2:45" x14ac:dyDescent="0.35">
      <c r="B4" s="24" t="s">
        <v>4705</v>
      </c>
      <c r="C4" s="25">
        <v>100</v>
      </c>
      <c r="D4" s="25">
        <v>100</v>
      </c>
      <c r="E4" s="25">
        <v>100</v>
      </c>
      <c r="F4" s="25">
        <v>100</v>
      </c>
      <c r="G4" s="25">
        <v>100</v>
      </c>
      <c r="H4" s="25">
        <v>100</v>
      </c>
      <c r="I4" s="22"/>
      <c r="U4" s="22"/>
      <c r="V4" s="30"/>
      <c r="W4" s="30"/>
      <c r="X4" s="30"/>
      <c r="Y4" s="30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30"/>
      <c r="AL4" s="30"/>
      <c r="AM4" s="30"/>
      <c r="AN4" s="30"/>
      <c r="AO4" s="22"/>
      <c r="AP4" s="22"/>
      <c r="AQ4" s="22"/>
      <c r="AR4" s="22"/>
      <c r="AS4" s="22"/>
    </row>
    <row r="5" spans="2:45" x14ac:dyDescent="0.35">
      <c r="B5" s="24">
        <v>-9</v>
      </c>
      <c r="C5" s="25">
        <v>98.472999999999999</v>
      </c>
      <c r="D5" s="25">
        <v>93.13</v>
      </c>
      <c r="E5" s="25">
        <v>93.430999999999997</v>
      </c>
      <c r="F5" s="25">
        <v>96.8</v>
      </c>
      <c r="G5" s="25">
        <v>99.486999999999995</v>
      </c>
      <c r="H5" s="25">
        <v>93.332999999999998</v>
      </c>
      <c r="I5" s="22"/>
      <c r="U5" s="22"/>
      <c r="V5" s="30"/>
      <c r="W5" s="30"/>
      <c r="X5" s="30"/>
      <c r="Y5" s="30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30"/>
      <c r="AL5" s="30"/>
      <c r="AM5" s="30"/>
      <c r="AN5" s="30"/>
      <c r="AO5" s="22"/>
      <c r="AP5" s="22"/>
      <c r="AQ5" s="22"/>
      <c r="AR5" s="22"/>
      <c r="AS5" s="22"/>
    </row>
    <row r="6" spans="2:45" x14ac:dyDescent="0.35">
      <c r="B6" s="24">
        <v>-8</v>
      </c>
      <c r="C6" s="25">
        <v>90.075999999999993</v>
      </c>
      <c r="D6" s="25">
        <v>90.075999999999993</v>
      </c>
      <c r="E6" s="25">
        <v>91.971000000000004</v>
      </c>
      <c r="F6" s="25">
        <v>88</v>
      </c>
      <c r="G6" s="25">
        <v>97.948999999999998</v>
      </c>
      <c r="H6" s="25">
        <v>82.856999999999999</v>
      </c>
      <c r="I6" s="22"/>
      <c r="U6" s="22"/>
      <c r="V6" s="30"/>
      <c r="W6" s="30"/>
      <c r="X6" s="30"/>
      <c r="Y6" s="30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30"/>
      <c r="AL6" s="30"/>
      <c r="AM6" s="30"/>
      <c r="AN6" s="30"/>
      <c r="AO6" s="22"/>
      <c r="AP6" s="22"/>
      <c r="AQ6" s="22"/>
      <c r="AR6" s="22"/>
      <c r="AS6" s="22"/>
    </row>
    <row r="7" spans="2:45" x14ac:dyDescent="0.35">
      <c r="B7" s="24">
        <v>-7</v>
      </c>
      <c r="C7" s="25">
        <v>79.388999999999996</v>
      </c>
      <c r="D7" s="25">
        <v>54.962000000000003</v>
      </c>
      <c r="E7" s="25">
        <v>81.022000000000006</v>
      </c>
      <c r="F7" s="25">
        <v>58.4</v>
      </c>
      <c r="G7" s="25">
        <v>70.769000000000005</v>
      </c>
      <c r="H7" s="25">
        <v>21.905000000000001</v>
      </c>
      <c r="I7" s="22"/>
      <c r="U7" s="22"/>
      <c r="V7" s="30"/>
      <c r="W7" s="30"/>
      <c r="X7" s="30"/>
      <c r="Y7" s="30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30"/>
      <c r="AL7" s="30"/>
      <c r="AM7" s="30"/>
      <c r="AN7" s="30"/>
      <c r="AO7" s="22"/>
      <c r="AP7" s="22"/>
      <c r="AQ7" s="22"/>
      <c r="AR7" s="22"/>
      <c r="AS7" s="22"/>
    </row>
    <row r="8" spans="2:45" x14ac:dyDescent="0.35">
      <c r="B8" s="24">
        <v>-6</v>
      </c>
      <c r="C8" s="25">
        <v>42.747999999999998</v>
      </c>
      <c r="D8" s="25">
        <v>22.137</v>
      </c>
      <c r="E8" s="25">
        <v>27.736999999999998</v>
      </c>
      <c r="F8" s="25">
        <v>31.2</v>
      </c>
      <c r="G8" s="25">
        <v>12.821</v>
      </c>
      <c r="H8" s="25">
        <v>13.333</v>
      </c>
      <c r="I8" s="22"/>
      <c r="U8" s="22"/>
      <c r="V8" s="30"/>
      <c r="W8" s="30"/>
      <c r="X8" s="30"/>
      <c r="Y8" s="30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30"/>
      <c r="AL8" s="30"/>
      <c r="AM8" s="30"/>
      <c r="AN8" s="30"/>
      <c r="AO8" s="22"/>
      <c r="AP8" s="22"/>
      <c r="AQ8" s="22"/>
      <c r="AR8" s="22"/>
      <c r="AS8" s="22"/>
    </row>
    <row r="9" spans="2:45" x14ac:dyDescent="0.35">
      <c r="B9" s="24">
        <v>-5</v>
      </c>
      <c r="C9" s="25">
        <v>25.954000000000001</v>
      </c>
      <c r="D9" s="25">
        <v>15.266999999999999</v>
      </c>
      <c r="E9" s="25">
        <v>18.248000000000001</v>
      </c>
      <c r="F9" s="25">
        <v>25.6</v>
      </c>
      <c r="G9" s="25">
        <v>9.7439999999999998</v>
      </c>
      <c r="H9" s="25">
        <v>11.429</v>
      </c>
      <c r="I9" s="22"/>
      <c r="U9" s="22"/>
      <c r="V9" s="30"/>
      <c r="W9" s="30"/>
      <c r="X9" s="30"/>
      <c r="Y9" s="30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30"/>
      <c r="AL9" s="30"/>
      <c r="AM9" s="30"/>
      <c r="AN9" s="30"/>
      <c r="AO9" s="22"/>
      <c r="AP9" s="22"/>
      <c r="AQ9" s="22"/>
      <c r="AR9" s="22"/>
      <c r="AS9" s="22"/>
    </row>
    <row r="11" spans="2:45" x14ac:dyDescent="0.35">
      <c r="N11" t="s">
        <v>4811</v>
      </c>
    </row>
    <row r="12" spans="2:45" x14ac:dyDescent="0.35">
      <c r="B12" s="19"/>
      <c r="C12" s="19" t="s">
        <v>1</v>
      </c>
      <c r="D12" s="19" t="s">
        <v>2</v>
      </c>
      <c r="E12" s="19" t="s">
        <v>3</v>
      </c>
      <c r="F12" s="19" t="s">
        <v>4</v>
      </c>
      <c r="G12" s="19" t="s">
        <v>5</v>
      </c>
      <c r="H12" s="19" t="s">
        <v>6</v>
      </c>
      <c r="I12" s="19" t="s">
        <v>7</v>
      </c>
      <c r="J12" s="19" t="s">
        <v>8</v>
      </c>
      <c r="K12" s="19" t="s">
        <v>9</v>
      </c>
      <c r="L12" s="19" t="s">
        <v>11</v>
      </c>
      <c r="M12" s="19" t="s">
        <v>12</v>
      </c>
    </row>
    <row r="13" spans="2:45" x14ac:dyDescent="0.35">
      <c r="B13" s="24" t="s">
        <v>4705</v>
      </c>
      <c r="C13" s="25">
        <v>100</v>
      </c>
      <c r="D13" s="25">
        <v>100</v>
      </c>
      <c r="E13" s="25">
        <v>100</v>
      </c>
      <c r="F13" s="25">
        <v>100</v>
      </c>
      <c r="G13" s="25">
        <v>100</v>
      </c>
      <c r="H13" s="25">
        <v>100</v>
      </c>
      <c r="I13" s="25">
        <v>100</v>
      </c>
      <c r="J13" s="25">
        <v>100</v>
      </c>
      <c r="K13" s="25">
        <v>100</v>
      </c>
      <c r="L13" s="25">
        <v>100</v>
      </c>
      <c r="M13" s="25">
        <v>100</v>
      </c>
    </row>
    <row r="14" spans="2:45" x14ac:dyDescent="0.35">
      <c r="B14" s="24">
        <v>-9</v>
      </c>
      <c r="C14" s="25"/>
      <c r="D14" s="25"/>
      <c r="E14" s="25">
        <v>100</v>
      </c>
      <c r="F14" s="25">
        <v>100</v>
      </c>
      <c r="G14" s="25">
        <v>96.581199999999995</v>
      </c>
      <c r="H14" s="25">
        <v>100</v>
      </c>
      <c r="I14" s="25">
        <v>100</v>
      </c>
      <c r="J14" s="25">
        <v>100</v>
      </c>
      <c r="K14" s="25">
        <v>100</v>
      </c>
      <c r="L14" s="25">
        <v>100</v>
      </c>
      <c r="M14" s="25">
        <v>100</v>
      </c>
      <c r="N14">
        <f>_xlfn.T.TEST(C5:H5,C14:M14,2,2)</f>
        <v>2.7501531544854283E-3</v>
      </c>
    </row>
    <row r="15" spans="2:45" x14ac:dyDescent="0.35">
      <c r="B15" s="24">
        <v>-8</v>
      </c>
      <c r="C15" s="25">
        <v>94.736999999999995</v>
      </c>
      <c r="D15" s="25">
        <v>99.144999999999996</v>
      </c>
      <c r="E15" s="25">
        <v>100</v>
      </c>
      <c r="F15" s="25">
        <v>100</v>
      </c>
      <c r="G15" s="25">
        <v>95.726500000000001</v>
      </c>
      <c r="H15" s="25">
        <v>100</v>
      </c>
      <c r="I15" s="25">
        <v>94.565219999999997</v>
      </c>
      <c r="J15" s="25">
        <v>100</v>
      </c>
      <c r="K15" s="25">
        <v>99.512</v>
      </c>
      <c r="L15" s="25">
        <v>96.8</v>
      </c>
      <c r="M15" s="25">
        <v>100</v>
      </c>
      <c r="N15" s="48">
        <f t="shared" ref="N15:N18" si="0">_xlfn.T.TEST(C6:H6,C15:M15,2,2)</f>
        <v>3.0290517571047635E-4</v>
      </c>
    </row>
    <row r="16" spans="2:45" x14ac:dyDescent="0.35">
      <c r="B16" s="24">
        <v>-7</v>
      </c>
      <c r="C16" s="25">
        <v>88.158000000000001</v>
      </c>
      <c r="D16" s="25">
        <v>93.162000000000006</v>
      </c>
      <c r="E16" s="25">
        <v>96.319019999999995</v>
      </c>
      <c r="F16" s="25">
        <v>100</v>
      </c>
      <c r="G16" s="25">
        <v>85.470089999999999</v>
      </c>
      <c r="H16" s="25">
        <v>100</v>
      </c>
      <c r="I16" s="25">
        <v>88.043480000000002</v>
      </c>
      <c r="J16" s="25">
        <v>95.725999999999999</v>
      </c>
      <c r="K16" s="25">
        <v>99.512</v>
      </c>
      <c r="L16" s="25">
        <v>96</v>
      </c>
      <c r="M16" s="25">
        <v>100</v>
      </c>
      <c r="N16" s="48">
        <f t="shared" si="0"/>
        <v>1.7331350002267019E-4</v>
      </c>
    </row>
    <row r="17" spans="2:14" x14ac:dyDescent="0.35">
      <c r="B17" s="24">
        <v>-6</v>
      </c>
      <c r="C17" s="25">
        <v>46.052999999999997</v>
      </c>
      <c r="D17" s="25">
        <v>37.606999999999999</v>
      </c>
      <c r="E17" s="25">
        <v>57.668709999999997</v>
      </c>
      <c r="F17" s="25">
        <v>79.230770000000007</v>
      </c>
      <c r="G17" s="25">
        <v>51.282049999999998</v>
      </c>
      <c r="H17" s="25">
        <v>63.716810000000002</v>
      </c>
      <c r="I17" s="25">
        <v>72.826089999999994</v>
      </c>
      <c r="J17" s="25">
        <v>83.760999999999996</v>
      </c>
      <c r="K17" s="25">
        <v>97.072999999999993</v>
      </c>
      <c r="L17" s="25">
        <v>90.4</v>
      </c>
      <c r="M17" s="25">
        <v>100</v>
      </c>
      <c r="N17" s="48">
        <f t="shared" si="0"/>
        <v>1.9896143179367993E-4</v>
      </c>
    </row>
    <row r="18" spans="2:14" x14ac:dyDescent="0.35">
      <c r="B18" s="24">
        <v>-5</v>
      </c>
      <c r="C18" s="25">
        <v>32.895000000000003</v>
      </c>
      <c r="D18" s="25">
        <v>29.914999999999999</v>
      </c>
      <c r="E18" s="25">
        <v>20.2454</v>
      </c>
      <c r="F18" s="25">
        <v>55.384619999999998</v>
      </c>
      <c r="G18" s="25">
        <v>37.606839999999998</v>
      </c>
      <c r="H18" s="25">
        <v>42.477879999999999</v>
      </c>
      <c r="I18" s="25">
        <v>50</v>
      </c>
      <c r="J18" s="25">
        <v>62.393000000000001</v>
      </c>
      <c r="K18" s="25">
        <v>88.78</v>
      </c>
      <c r="L18" s="25">
        <v>72.8</v>
      </c>
      <c r="M18" s="25">
        <v>87.783000000000001</v>
      </c>
      <c r="N18" s="48">
        <f t="shared" si="0"/>
        <v>2.7367554917379832E-3</v>
      </c>
    </row>
  </sheetData>
  <phoneticPr fontId="3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FB5A8-B5E1-4600-8597-AD3C46084E44}">
  <dimension ref="A1:C25"/>
  <sheetViews>
    <sheetView topLeftCell="A13" workbookViewId="0">
      <selection activeCell="J34" sqref="J34"/>
    </sheetView>
  </sheetViews>
  <sheetFormatPr defaultRowHeight="14.5" x14ac:dyDescent="0.35"/>
  <sheetData>
    <row r="1" spans="1:3" x14ac:dyDescent="0.35">
      <c r="A1" t="s">
        <v>4779</v>
      </c>
    </row>
    <row r="2" spans="1:3" x14ac:dyDescent="0.35">
      <c r="B2" t="s">
        <v>4707</v>
      </c>
    </row>
    <row r="3" spans="1:3" ht="15.5" x14ac:dyDescent="0.35">
      <c r="B3" s="29" t="s">
        <v>4576</v>
      </c>
      <c r="C3" s="29" t="s">
        <v>23</v>
      </c>
    </row>
    <row r="4" spans="1:3" x14ac:dyDescent="0.35">
      <c r="A4" t="s">
        <v>4848</v>
      </c>
      <c r="B4" s="25">
        <v>110</v>
      </c>
      <c r="C4" s="25">
        <v>93</v>
      </c>
    </row>
    <row r="5" spans="1:3" x14ac:dyDescent="0.35">
      <c r="A5" s="48" t="s">
        <v>4849</v>
      </c>
      <c r="B5" s="25">
        <v>131</v>
      </c>
      <c r="C5" s="25">
        <v>83</v>
      </c>
    </row>
    <row r="6" spans="1:3" x14ac:dyDescent="0.35">
      <c r="A6" s="48" t="s">
        <v>4850</v>
      </c>
      <c r="B6" s="25">
        <v>105</v>
      </c>
      <c r="C6" s="25">
        <v>117</v>
      </c>
    </row>
    <row r="7" spans="1:3" x14ac:dyDescent="0.35">
      <c r="A7" s="48" t="s">
        <v>4851</v>
      </c>
      <c r="B7" s="25">
        <v>124</v>
      </c>
      <c r="C7" s="25">
        <v>115</v>
      </c>
    </row>
    <row r="8" spans="1:3" x14ac:dyDescent="0.35">
      <c r="A8" s="48" t="s">
        <v>4852</v>
      </c>
      <c r="B8" s="25">
        <v>124</v>
      </c>
      <c r="C8" s="25">
        <v>80</v>
      </c>
    </row>
    <row r="9" spans="1:3" x14ac:dyDescent="0.35">
      <c r="A9" s="48" t="s">
        <v>4853</v>
      </c>
      <c r="B9" s="25">
        <v>139</v>
      </c>
      <c r="C9" s="25">
        <v>83</v>
      </c>
    </row>
    <row r="10" spans="1:3" x14ac:dyDescent="0.35">
      <c r="A10" s="48" t="s">
        <v>4854</v>
      </c>
      <c r="B10" s="25">
        <v>80</v>
      </c>
      <c r="C10" s="25">
        <v>59</v>
      </c>
    </row>
    <row r="11" spans="1:3" x14ac:dyDescent="0.35">
      <c r="A11" s="48" t="s">
        <v>4855</v>
      </c>
      <c r="B11" s="25">
        <v>82</v>
      </c>
      <c r="C11" s="25">
        <v>81</v>
      </c>
    </row>
    <row r="12" spans="1:3" x14ac:dyDescent="0.35">
      <c r="A12" s="48" t="s">
        <v>4856</v>
      </c>
      <c r="B12" s="25">
        <v>84</v>
      </c>
      <c r="C12" s="25">
        <v>69</v>
      </c>
    </row>
    <row r="13" spans="1:3" x14ac:dyDescent="0.35">
      <c r="A13" s="48" t="s">
        <v>4857</v>
      </c>
      <c r="B13" s="25">
        <v>105</v>
      </c>
      <c r="C13" s="25">
        <v>72</v>
      </c>
    </row>
    <row r="14" spans="1:3" x14ac:dyDescent="0.35">
      <c r="A14" s="48" t="s">
        <v>4858</v>
      </c>
      <c r="B14" s="25">
        <v>66</v>
      </c>
      <c r="C14" s="25">
        <v>70</v>
      </c>
    </row>
    <row r="15" spans="1:3" x14ac:dyDescent="0.35">
      <c r="A15" s="48" t="s">
        <v>4859</v>
      </c>
      <c r="B15" s="25">
        <v>100</v>
      </c>
      <c r="C15" s="25">
        <v>67</v>
      </c>
    </row>
    <row r="16" spans="1:3" x14ac:dyDescent="0.35">
      <c r="A16" s="48" t="s">
        <v>4860</v>
      </c>
      <c r="B16" s="25">
        <v>74</v>
      </c>
      <c r="C16" s="25">
        <v>116</v>
      </c>
    </row>
    <row r="17" spans="1:3" x14ac:dyDescent="0.35">
      <c r="A17" s="48" t="s">
        <v>4861</v>
      </c>
      <c r="B17" s="25">
        <v>96</v>
      </c>
      <c r="C17" s="25">
        <v>76</v>
      </c>
    </row>
    <row r="18" spans="1:3" x14ac:dyDescent="0.35">
      <c r="A18" s="48" t="s">
        <v>4927</v>
      </c>
      <c r="B18" s="25">
        <v>118</v>
      </c>
      <c r="C18" s="25">
        <v>86</v>
      </c>
    </row>
    <row r="19" spans="1:3" x14ac:dyDescent="0.35">
      <c r="A19" s="48" t="s">
        <v>4928</v>
      </c>
      <c r="B19" s="25">
        <v>102</v>
      </c>
      <c r="C19" s="25">
        <v>94</v>
      </c>
    </row>
    <row r="20" spans="1:3" x14ac:dyDescent="0.35">
      <c r="A20" s="48" t="s">
        <v>4929</v>
      </c>
      <c r="B20" s="25">
        <v>151</v>
      </c>
      <c r="C20" s="25">
        <v>91</v>
      </c>
    </row>
    <row r="21" spans="1:3" x14ac:dyDescent="0.35">
      <c r="A21" s="48" t="s">
        <v>4930</v>
      </c>
      <c r="B21" s="25">
        <v>115</v>
      </c>
      <c r="C21" s="25">
        <v>81</v>
      </c>
    </row>
    <row r="22" spans="1:3" x14ac:dyDescent="0.35">
      <c r="A22" s="48" t="s">
        <v>4931</v>
      </c>
      <c r="B22" s="25">
        <v>93</v>
      </c>
      <c r="C22" s="25">
        <v>95</v>
      </c>
    </row>
    <row r="23" spans="1:3" x14ac:dyDescent="0.35">
      <c r="A23" s="48" t="s">
        <v>4932</v>
      </c>
      <c r="B23" s="25">
        <v>77</v>
      </c>
      <c r="C23" s="25"/>
    </row>
    <row r="24" spans="1:3" x14ac:dyDescent="0.35">
      <c r="A24" s="48" t="s">
        <v>4933</v>
      </c>
      <c r="B24" s="25">
        <v>101</v>
      </c>
      <c r="C24" s="25"/>
    </row>
    <row r="25" spans="1:3" x14ac:dyDescent="0.35">
      <c r="A25" t="s">
        <v>4811</v>
      </c>
      <c r="B25">
        <f>_xlfn.T.TEST(B4:B24,C4:C22,2,2)</f>
        <v>6.8994730516692485E-3</v>
      </c>
    </row>
  </sheetData>
  <phoneticPr fontId="3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35103-877E-4858-AFD3-500C8780BAC0}">
  <dimension ref="B3:E95"/>
  <sheetViews>
    <sheetView topLeftCell="A55" workbookViewId="0">
      <selection activeCell="I33" sqref="I33"/>
    </sheetView>
  </sheetViews>
  <sheetFormatPr defaultRowHeight="14.5" x14ac:dyDescent="0.35"/>
  <sheetData>
    <row r="3" spans="2:5" x14ac:dyDescent="0.35">
      <c r="B3" t="s">
        <v>4935</v>
      </c>
    </row>
    <row r="4" spans="2:5" ht="16.5" x14ac:dyDescent="0.35">
      <c r="D4" s="49" t="s">
        <v>4934</v>
      </c>
      <c r="E4" t="s">
        <v>23</v>
      </c>
    </row>
    <row r="5" spans="2:5" x14ac:dyDescent="0.35">
      <c r="B5" s="2" t="s">
        <v>4467</v>
      </c>
      <c r="C5" s="1"/>
      <c r="D5" s="1">
        <v>1</v>
      </c>
      <c r="E5" s="1">
        <v>1.017223</v>
      </c>
    </row>
    <row r="6" spans="2:5" x14ac:dyDescent="0.35">
      <c r="B6" s="2" t="s">
        <v>4468</v>
      </c>
      <c r="C6" s="1"/>
      <c r="D6" s="1">
        <v>1</v>
      </c>
      <c r="E6" s="1">
        <v>1.074022</v>
      </c>
    </row>
    <row r="7" spans="2:5" x14ac:dyDescent="0.35">
      <c r="B7" s="2" t="s">
        <v>4469</v>
      </c>
      <c r="C7" s="1"/>
      <c r="D7" s="1">
        <v>1</v>
      </c>
      <c r="E7" s="1">
        <v>0.62319054799999996</v>
      </c>
    </row>
    <row r="8" spans="2:5" x14ac:dyDescent="0.35">
      <c r="B8" s="2" t="s">
        <v>4470</v>
      </c>
      <c r="C8" s="1"/>
      <c r="D8" s="1">
        <v>1</v>
      </c>
      <c r="E8" s="1">
        <v>1.041771</v>
      </c>
    </row>
    <row r="9" spans="2:5" x14ac:dyDescent="0.35">
      <c r="B9" s="2" t="s">
        <v>4471</v>
      </c>
      <c r="C9" s="1"/>
      <c r="D9" s="1">
        <v>1</v>
      </c>
      <c r="E9" s="1">
        <v>1.240486</v>
      </c>
    </row>
    <row r="10" spans="2:5" x14ac:dyDescent="0.35">
      <c r="B10" s="2" t="s">
        <v>4472</v>
      </c>
      <c r="C10" s="1"/>
      <c r="D10" s="1">
        <v>1</v>
      </c>
      <c r="E10" s="1">
        <v>1.3697619999999999</v>
      </c>
    </row>
    <row r="11" spans="2:5" x14ac:dyDescent="0.35">
      <c r="B11" s="2" t="s">
        <v>4473</v>
      </c>
      <c r="C11" s="1"/>
      <c r="D11" s="1">
        <v>1</v>
      </c>
      <c r="E11" s="1">
        <v>0.965638</v>
      </c>
    </row>
    <row r="12" spans="2:5" x14ac:dyDescent="0.35">
      <c r="B12" s="2" t="s">
        <v>4474</v>
      </c>
      <c r="C12" s="1"/>
      <c r="D12" s="1">
        <v>1</v>
      </c>
      <c r="E12" s="1">
        <v>1.077888</v>
      </c>
    </row>
    <row r="13" spans="2:5" x14ac:dyDescent="0.35">
      <c r="B13" s="2" t="s">
        <v>4475</v>
      </c>
      <c r="C13" s="1"/>
      <c r="D13" s="1">
        <v>1</v>
      </c>
      <c r="E13" s="1">
        <v>0.99102500000000004</v>
      </c>
    </row>
    <row r="14" spans="2:5" x14ac:dyDescent="0.35">
      <c r="B14" s="2" t="s">
        <v>4476</v>
      </c>
      <c r="C14" s="1"/>
      <c r="D14" s="1">
        <v>1</v>
      </c>
      <c r="E14" s="1">
        <v>0.82084500000000005</v>
      </c>
    </row>
    <row r="15" spans="2:5" x14ac:dyDescent="0.35">
      <c r="B15" s="2" t="s">
        <v>4477</v>
      </c>
      <c r="C15" s="1"/>
      <c r="D15" s="1">
        <v>1</v>
      </c>
      <c r="E15" s="1">
        <v>0.83618099999999995</v>
      </c>
    </row>
    <row r="16" spans="2:5" x14ac:dyDescent="0.35">
      <c r="B16" s="2" t="s">
        <v>4478</v>
      </c>
      <c r="C16" s="1"/>
      <c r="D16" s="1">
        <v>1</v>
      </c>
      <c r="E16" s="1">
        <v>1.2264379999999999</v>
      </c>
    </row>
    <row r="17" spans="2:5" x14ac:dyDescent="0.35">
      <c r="B17" s="2" t="s">
        <v>4479</v>
      </c>
      <c r="C17" s="1"/>
      <c r="D17" s="1">
        <v>1</v>
      </c>
      <c r="E17" s="1">
        <v>1.0154430000000001</v>
      </c>
    </row>
    <row r="18" spans="2:5" x14ac:dyDescent="0.35">
      <c r="B18" s="2" t="s">
        <v>4480</v>
      </c>
      <c r="C18" s="1"/>
      <c r="D18" s="1">
        <v>1</v>
      </c>
      <c r="E18" s="1">
        <v>0.85257400000000005</v>
      </c>
    </row>
    <row r="19" spans="2:5" x14ac:dyDescent="0.35">
      <c r="B19" s="2" t="s">
        <v>4481</v>
      </c>
      <c r="C19" s="1"/>
      <c r="D19" s="1">
        <v>1</v>
      </c>
      <c r="E19" s="1">
        <v>0.95343900000000004</v>
      </c>
    </row>
    <row r="20" spans="2:5" x14ac:dyDescent="0.35">
      <c r="B20" s="2" t="s">
        <v>4482</v>
      </c>
      <c r="C20" s="1"/>
      <c r="D20" s="1">
        <v>1</v>
      </c>
      <c r="E20" s="1">
        <v>1.0192650000000001</v>
      </c>
    </row>
    <row r="21" spans="2:5" x14ac:dyDescent="0.35">
      <c r="B21" s="2" t="s">
        <v>4483</v>
      </c>
      <c r="C21" s="1"/>
      <c r="D21" s="1">
        <v>1</v>
      </c>
      <c r="E21" s="1">
        <v>1.0764689999999999</v>
      </c>
    </row>
    <row r="22" spans="2:5" x14ac:dyDescent="0.35">
      <c r="B22" s="2" t="s">
        <v>4484</v>
      </c>
      <c r="C22" s="1"/>
      <c r="D22" s="1">
        <v>1</v>
      </c>
      <c r="E22" s="1">
        <v>0.93959199999999998</v>
      </c>
    </row>
    <row r="23" spans="2:5" x14ac:dyDescent="0.35">
      <c r="B23" s="2" t="s">
        <v>4485</v>
      </c>
      <c r="C23" s="1"/>
      <c r="D23" s="1">
        <v>1</v>
      </c>
      <c r="E23" s="1">
        <v>1.030532</v>
      </c>
    </row>
    <row r="24" spans="2:5" x14ac:dyDescent="0.35">
      <c r="B24" s="2" t="s">
        <v>4486</v>
      </c>
      <c r="C24" s="1"/>
      <c r="D24" s="1">
        <v>1</v>
      </c>
      <c r="E24" s="1">
        <v>1.078163</v>
      </c>
    </row>
    <row r="25" spans="2:5" x14ac:dyDescent="0.35">
      <c r="B25" s="2" t="s">
        <v>4487</v>
      </c>
      <c r="C25" s="1"/>
      <c r="D25" s="1">
        <v>1</v>
      </c>
      <c r="E25" s="1">
        <v>0.79325199999999996</v>
      </c>
    </row>
    <row r="26" spans="2:5" x14ac:dyDescent="0.35">
      <c r="B26" s="2" t="s">
        <v>4488</v>
      </c>
      <c r="C26" s="1"/>
      <c r="D26" s="1">
        <v>1</v>
      </c>
      <c r="E26" s="1">
        <v>1.07037</v>
      </c>
    </row>
    <row r="27" spans="2:5" x14ac:dyDescent="0.35">
      <c r="B27" s="2" t="s">
        <v>4489</v>
      </c>
      <c r="C27" s="1"/>
      <c r="D27" s="1">
        <v>1</v>
      </c>
      <c r="E27" s="1">
        <v>0.85468999999999995</v>
      </c>
    </row>
    <row r="28" spans="2:5" x14ac:dyDescent="0.35">
      <c r="B28" s="2" t="s">
        <v>4490</v>
      </c>
      <c r="C28" s="1"/>
      <c r="D28" s="1">
        <v>1</v>
      </c>
      <c r="E28" s="1">
        <v>0.87323700000000004</v>
      </c>
    </row>
    <row r="29" spans="2:5" x14ac:dyDescent="0.35">
      <c r="B29" s="2" t="s">
        <v>4491</v>
      </c>
      <c r="C29" s="1"/>
      <c r="D29" s="1">
        <v>1</v>
      </c>
      <c r="E29" s="1">
        <v>0.86049500000000001</v>
      </c>
    </row>
    <row r="30" spans="2:5" x14ac:dyDescent="0.35">
      <c r="B30" s="2" t="s">
        <v>4492</v>
      </c>
      <c r="C30" s="1"/>
      <c r="D30" s="1">
        <v>1</v>
      </c>
      <c r="E30" s="1">
        <v>1.0161340000000001</v>
      </c>
    </row>
    <row r="31" spans="2:5" x14ac:dyDescent="0.35">
      <c r="B31" s="2" t="s">
        <v>4493</v>
      </c>
      <c r="C31" s="1"/>
      <c r="D31" s="1">
        <v>1</v>
      </c>
      <c r="E31" s="1">
        <v>1.035479</v>
      </c>
    </row>
    <row r="32" spans="2:5" x14ac:dyDescent="0.35">
      <c r="B32" s="2" t="s">
        <v>4494</v>
      </c>
      <c r="C32" s="1"/>
      <c r="D32" s="1">
        <v>1</v>
      </c>
      <c r="E32" s="1">
        <v>1.1490359999999999</v>
      </c>
    </row>
    <row r="33" spans="2:5" x14ac:dyDescent="0.35">
      <c r="B33" s="2" t="s">
        <v>4495</v>
      </c>
      <c r="C33" s="1"/>
      <c r="D33" s="1">
        <v>1</v>
      </c>
      <c r="E33" s="1">
        <v>1.7862990000000001</v>
      </c>
    </row>
    <row r="34" spans="2:5" x14ac:dyDescent="0.35">
      <c r="B34" s="2" t="s">
        <v>4496</v>
      </c>
      <c r="C34" s="1"/>
      <c r="D34" s="1">
        <v>1</v>
      </c>
      <c r="E34" s="1">
        <v>0.93068399999999996</v>
      </c>
    </row>
    <row r="35" spans="2:5" x14ac:dyDescent="0.35">
      <c r="B35" s="2" t="s">
        <v>4497</v>
      </c>
      <c r="C35" s="1"/>
      <c r="D35" s="1">
        <v>1</v>
      </c>
      <c r="E35" s="1">
        <v>1.0316160000000001</v>
      </c>
    </row>
    <row r="36" spans="2:5" x14ac:dyDescent="0.35">
      <c r="B36" s="2" t="s">
        <v>4498</v>
      </c>
      <c r="C36" s="1"/>
      <c r="D36" s="1">
        <v>1</v>
      </c>
      <c r="E36" s="1">
        <v>0.96687199999999995</v>
      </c>
    </row>
    <row r="37" spans="2:5" x14ac:dyDescent="0.35">
      <c r="B37" s="2" t="s">
        <v>4499</v>
      </c>
      <c r="C37" s="1"/>
      <c r="D37" s="1">
        <v>1</v>
      </c>
      <c r="E37" s="1">
        <v>1.9114679999999999</v>
      </c>
    </row>
    <row r="38" spans="2:5" x14ac:dyDescent="0.35">
      <c r="B38" s="2" t="s">
        <v>4500</v>
      </c>
      <c r="C38" s="1"/>
      <c r="D38" s="1">
        <v>1</v>
      </c>
      <c r="E38" s="1">
        <v>0.77177300000000004</v>
      </c>
    </row>
    <row r="39" spans="2:5" x14ac:dyDescent="0.35">
      <c r="B39" s="2" t="s">
        <v>4501</v>
      </c>
      <c r="C39" s="1"/>
      <c r="D39" s="1">
        <v>1</v>
      </c>
      <c r="E39" s="1">
        <v>0.86166900000000002</v>
      </c>
    </row>
    <row r="40" spans="2:5" x14ac:dyDescent="0.35">
      <c r="B40" s="2" t="s">
        <v>4502</v>
      </c>
      <c r="C40" s="1"/>
      <c r="D40" s="1">
        <v>1</v>
      </c>
      <c r="E40" s="1">
        <v>1.007077</v>
      </c>
    </row>
    <row r="41" spans="2:5" x14ac:dyDescent="0.35">
      <c r="B41" s="2" t="s">
        <v>4503</v>
      </c>
      <c r="C41" s="1"/>
      <c r="D41" s="1">
        <v>1</v>
      </c>
      <c r="E41" s="1">
        <v>1.122115</v>
      </c>
    </row>
    <row r="42" spans="2:5" x14ac:dyDescent="0.35">
      <c r="B42" s="2" t="s">
        <v>4504</v>
      </c>
      <c r="C42" s="1"/>
      <c r="D42" s="1">
        <v>1</v>
      </c>
      <c r="E42" s="1">
        <v>1.174647</v>
      </c>
    </row>
    <row r="43" spans="2:5" x14ac:dyDescent="0.35">
      <c r="B43" s="2" t="s">
        <v>4505</v>
      </c>
      <c r="C43" s="1"/>
      <c r="D43" s="1">
        <v>1</v>
      </c>
      <c r="E43" s="1">
        <v>0.82685200000000003</v>
      </c>
    </row>
    <row r="44" spans="2:5" x14ac:dyDescent="0.35">
      <c r="B44" s="2" t="s">
        <v>4506</v>
      </c>
      <c r="C44" s="1"/>
      <c r="D44" s="1">
        <v>1</v>
      </c>
      <c r="E44" s="1">
        <v>1.025884</v>
      </c>
    </row>
    <row r="45" spans="2:5" x14ac:dyDescent="0.35">
      <c r="B45" s="2" t="s">
        <v>4507</v>
      </c>
      <c r="C45" s="1"/>
      <c r="D45" s="1">
        <v>1</v>
      </c>
      <c r="E45" s="1">
        <v>1.0693649999999999</v>
      </c>
    </row>
    <row r="46" spans="2:5" x14ac:dyDescent="0.35">
      <c r="B46" s="2" t="s">
        <v>4508</v>
      </c>
      <c r="C46" s="1"/>
      <c r="D46" s="1">
        <v>1</v>
      </c>
      <c r="E46" s="1">
        <v>0.96992900000000004</v>
      </c>
    </row>
    <row r="47" spans="2:5" x14ac:dyDescent="0.35">
      <c r="B47" s="2" t="s">
        <v>4509</v>
      </c>
      <c r="C47" s="1"/>
      <c r="D47" s="1">
        <v>1</v>
      </c>
      <c r="E47" s="1">
        <v>0.85420099999999999</v>
      </c>
    </row>
    <row r="48" spans="2:5" x14ac:dyDescent="0.35">
      <c r="B48" s="2" t="s">
        <v>4510</v>
      </c>
      <c r="C48" s="1"/>
      <c r="D48" s="1">
        <v>1</v>
      </c>
      <c r="E48" s="1">
        <v>1.16151</v>
      </c>
    </row>
    <row r="49" spans="2:5" x14ac:dyDescent="0.35">
      <c r="B49" s="2" t="s">
        <v>4511</v>
      </c>
      <c r="C49" s="1"/>
      <c r="D49" s="1">
        <v>1</v>
      </c>
      <c r="E49" s="1">
        <v>1.054087</v>
      </c>
    </row>
    <row r="50" spans="2:5" x14ac:dyDescent="0.35">
      <c r="B50" s="2" t="s">
        <v>4512</v>
      </c>
      <c r="C50" s="1"/>
      <c r="D50" s="1">
        <v>1</v>
      </c>
      <c r="E50" s="1">
        <v>1.1052200000000001</v>
      </c>
    </row>
    <row r="51" spans="2:5" x14ac:dyDescent="0.35">
      <c r="B51" s="2" t="s">
        <v>4513</v>
      </c>
      <c r="C51" s="1"/>
      <c r="D51" s="1">
        <v>1</v>
      </c>
      <c r="E51" s="1">
        <v>1.064794</v>
      </c>
    </row>
    <row r="52" spans="2:5" x14ac:dyDescent="0.35">
      <c r="B52" s="2" t="s">
        <v>4514</v>
      </c>
      <c r="C52" s="1"/>
      <c r="D52" s="1">
        <v>1</v>
      </c>
      <c r="E52" s="1">
        <v>0.90530900000000003</v>
      </c>
    </row>
    <row r="53" spans="2:5" x14ac:dyDescent="0.35">
      <c r="B53" s="2" t="s">
        <v>4515</v>
      </c>
      <c r="C53" s="1"/>
      <c r="D53" s="1">
        <v>1</v>
      </c>
      <c r="E53" s="1">
        <v>0.93399299999999996</v>
      </c>
    </row>
    <row r="54" spans="2:5" x14ac:dyDescent="0.35">
      <c r="B54" s="2" t="s">
        <v>4516</v>
      </c>
      <c r="C54" s="1"/>
      <c r="D54" s="1">
        <v>1</v>
      </c>
      <c r="E54" s="1">
        <v>1.2581549999999999</v>
      </c>
    </row>
    <row r="55" spans="2:5" x14ac:dyDescent="0.35">
      <c r="B55" s="2" t="s">
        <v>4517</v>
      </c>
      <c r="C55" s="1"/>
      <c r="D55" s="1">
        <v>1</v>
      </c>
      <c r="E55" s="1">
        <v>0.86024299999999998</v>
      </c>
    </row>
    <row r="56" spans="2:5" x14ac:dyDescent="0.35">
      <c r="B56" s="2" t="s">
        <v>4518</v>
      </c>
      <c r="C56" s="1"/>
      <c r="D56" s="1">
        <v>1</v>
      </c>
      <c r="E56" s="1">
        <v>0.97477000000000003</v>
      </c>
    </row>
    <row r="57" spans="2:5" x14ac:dyDescent="0.35">
      <c r="B57" s="2" t="s">
        <v>4519</v>
      </c>
      <c r="C57" s="1"/>
      <c r="D57" s="1">
        <v>1</v>
      </c>
      <c r="E57" s="1">
        <v>0.94521200000000005</v>
      </c>
    </row>
    <row r="58" spans="2:5" x14ac:dyDescent="0.35">
      <c r="B58" s="2" t="s">
        <v>4520</v>
      </c>
      <c r="C58" s="1"/>
      <c r="D58" s="1">
        <v>1</v>
      </c>
      <c r="E58" s="1">
        <v>1.134887</v>
      </c>
    </row>
    <row r="59" spans="2:5" x14ac:dyDescent="0.35">
      <c r="B59" s="2" t="s">
        <v>4521</v>
      </c>
      <c r="C59" s="1"/>
      <c r="D59" s="1">
        <v>1</v>
      </c>
      <c r="E59" s="1">
        <v>0.83101999999999998</v>
      </c>
    </row>
    <row r="60" spans="2:5" x14ac:dyDescent="0.35">
      <c r="B60" s="2" t="s">
        <v>4522</v>
      </c>
      <c r="C60" s="1"/>
      <c r="D60" s="1">
        <v>1</v>
      </c>
      <c r="E60" s="1">
        <v>0.92172799999999999</v>
      </c>
    </row>
    <row r="61" spans="2:5" x14ac:dyDescent="0.35">
      <c r="B61" s="2" t="s">
        <v>4523</v>
      </c>
      <c r="C61" s="1"/>
      <c r="D61" s="1">
        <v>1</v>
      </c>
      <c r="E61" s="1">
        <v>1.0589</v>
      </c>
    </row>
    <row r="62" spans="2:5" x14ac:dyDescent="0.35">
      <c r="B62" s="2" t="s">
        <v>4524</v>
      </c>
      <c r="C62" s="1"/>
      <c r="D62" s="1">
        <v>1</v>
      </c>
      <c r="E62" s="1">
        <v>0.98325700000000005</v>
      </c>
    </row>
    <row r="63" spans="2:5" x14ac:dyDescent="0.35">
      <c r="B63" s="2" t="s">
        <v>4525</v>
      </c>
      <c r="C63" s="1"/>
      <c r="D63" s="1">
        <v>1</v>
      </c>
      <c r="E63" s="1">
        <v>1.1358900000000001</v>
      </c>
    </row>
    <row r="64" spans="2:5" x14ac:dyDescent="0.35">
      <c r="B64" s="2" t="s">
        <v>4526</v>
      </c>
      <c r="C64" s="1"/>
      <c r="D64" s="1">
        <v>1</v>
      </c>
      <c r="E64" s="1">
        <v>0.59340099999999996</v>
      </c>
    </row>
    <row r="65" spans="2:5" x14ac:dyDescent="0.35">
      <c r="B65" s="2" t="s">
        <v>4527</v>
      </c>
      <c r="C65" s="1"/>
      <c r="D65" s="1">
        <v>1</v>
      </c>
      <c r="E65" s="1">
        <v>1.423929</v>
      </c>
    </row>
    <row r="66" spans="2:5" x14ac:dyDescent="0.35">
      <c r="B66" s="2" t="s">
        <v>4528</v>
      </c>
      <c r="C66" s="1"/>
      <c r="D66" s="1">
        <v>1</v>
      </c>
      <c r="E66" s="1">
        <v>0.82464400000000004</v>
      </c>
    </row>
    <row r="67" spans="2:5" x14ac:dyDescent="0.35">
      <c r="B67" s="2" t="s">
        <v>4529</v>
      </c>
      <c r="C67" s="1"/>
      <c r="D67" s="1">
        <v>1</v>
      </c>
      <c r="E67" s="1">
        <v>1.011261</v>
      </c>
    </row>
    <row r="68" spans="2:5" x14ac:dyDescent="0.35">
      <c r="B68" s="2" t="s">
        <v>4530</v>
      </c>
      <c r="C68" s="1"/>
      <c r="D68" s="1">
        <v>1</v>
      </c>
      <c r="E68" s="1">
        <v>1.041666</v>
      </c>
    </row>
    <row r="69" spans="2:5" x14ac:dyDescent="0.35">
      <c r="B69" s="2" t="s">
        <v>4531</v>
      </c>
      <c r="C69" s="1"/>
      <c r="D69" s="1">
        <v>1</v>
      </c>
      <c r="E69" s="1">
        <v>1.0936360000000001</v>
      </c>
    </row>
    <row r="70" spans="2:5" x14ac:dyDescent="0.35">
      <c r="B70" s="2" t="s">
        <v>4532</v>
      </c>
      <c r="C70" s="1"/>
      <c r="D70" s="1">
        <v>1</v>
      </c>
      <c r="E70" s="1">
        <v>0.98484799999999995</v>
      </c>
    </row>
    <row r="71" spans="2:5" x14ac:dyDescent="0.35">
      <c r="B71" s="2" t="s">
        <v>4533</v>
      </c>
      <c r="C71" s="1"/>
      <c r="D71" s="1">
        <v>1</v>
      </c>
      <c r="E71" s="1">
        <v>1.036923</v>
      </c>
    </row>
    <row r="72" spans="2:5" x14ac:dyDescent="0.35">
      <c r="B72" s="2" t="s">
        <v>4534</v>
      </c>
      <c r="C72" s="1"/>
      <c r="D72" s="1">
        <v>1</v>
      </c>
      <c r="E72" s="1">
        <v>1.056808</v>
      </c>
    </row>
    <row r="73" spans="2:5" x14ac:dyDescent="0.35">
      <c r="B73" s="2" t="s">
        <v>4535</v>
      </c>
      <c r="C73" s="1"/>
      <c r="D73" s="1">
        <v>1</v>
      </c>
      <c r="E73" s="1">
        <v>1.008294</v>
      </c>
    </row>
    <row r="74" spans="2:5" x14ac:dyDescent="0.35">
      <c r="B74" s="2" t="s">
        <v>4536</v>
      </c>
      <c r="C74" s="1"/>
      <c r="D74" s="1">
        <v>1</v>
      </c>
      <c r="E74" s="1">
        <v>0.988398</v>
      </c>
    </row>
    <row r="75" spans="2:5" x14ac:dyDescent="0.35">
      <c r="B75" s="2" t="s">
        <v>4537</v>
      </c>
      <c r="C75" s="1"/>
      <c r="D75" s="1">
        <v>1</v>
      </c>
      <c r="E75" s="1">
        <v>0.82377800000000001</v>
      </c>
    </row>
    <row r="76" spans="2:5" x14ac:dyDescent="0.35">
      <c r="B76" s="2" t="s">
        <v>4538</v>
      </c>
      <c r="C76" s="1"/>
      <c r="D76" s="1">
        <v>1</v>
      </c>
      <c r="E76" s="1">
        <v>1.053796</v>
      </c>
    </row>
    <row r="77" spans="2:5" x14ac:dyDescent="0.35">
      <c r="B77" s="2" t="s">
        <v>4539</v>
      </c>
      <c r="C77" s="1"/>
      <c r="D77" s="1">
        <v>1</v>
      </c>
      <c r="E77" s="1">
        <v>1.392628</v>
      </c>
    </row>
    <row r="78" spans="2:5" x14ac:dyDescent="0.35">
      <c r="B78" s="2" t="s">
        <v>4540</v>
      </c>
      <c r="C78" s="1"/>
      <c r="D78" s="1">
        <v>1</v>
      </c>
      <c r="E78" s="1">
        <v>0.97962199999999999</v>
      </c>
    </row>
    <row r="79" spans="2:5" x14ac:dyDescent="0.35">
      <c r="B79" s="2" t="s">
        <v>4541</v>
      </c>
      <c r="C79" s="1"/>
      <c r="D79" s="1">
        <v>1</v>
      </c>
      <c r="E79" s="1">
        <v>1.059801</v>
      </c>
    </row>
    <row r="80" spans="2:5" x14ac:dyDescent="0.35">
      <c r="B80" s="2" t="s">
        <v>4542</v>
      </c>
      <c r="C80" s="1"/>
      <c r="D80" s="1">
        <v>1</v>
      </c>
      <c r="E80" s="1">
        <v>1.098597</v>
      </c>
    </row>
    <row r="81" spans="2:5" x14ac:dyDescent="0.35">
      <c r="B81" s="2" t="s">
        <v>4543</v>
      </c>
      <c r="C81" s="1"/>
      <c r="D81" s="1">
        <v>1</v>
      </c>
      <c r="E81" s="1">
        <v>0.99281299999999995</v>
      </c>
    </row>
    <row r="82" spans="2:5" x14ac:dyDescent="0.35">
      <c r="B82" s="2" t="s">
        <v>4544</v>
      </c>
      <c r="C82" s="1"/>
      <c r="D82" s="1">
        <v>1</v>
      </c>
      <c r="E82" s="1">
        <v>1.083161</v>
      </c>
    </row>
    <row r="83" spans="2:5" x14ac:dyDescent="0.35">
      <c r="B83" s="2" t="s">
        <v>4545</v>
      </c>
      <c r="C83" s="1"/>
      <c r="D83" s="1">
        <v>1</v>
      </c>
      <c r="E83" s="1">
        <v>1.0868930000000001</v>
      </c>
    </row>
    <row r="84" spans="2:5" x14ac:dyDescent="0.35">
      <c r="B84" s="2" t="s">
        <v>4546</v>
      </c>
      <c r="C84" s="1"/>
      <c r="D84" s="1">
        <v>1</v>
      </c>
      <c r="E84" s="1">
        <v>1.1603600000000001</v>
      </c>
    </row>
    <row r="85" spans="2:5" x14ac:dyDescent="0.35">
      <c r="B85" s="2" t="s">
        <v>4547</v>
      </c>
      <c r="C85" s="1"/>
      <c r="D85" s="1">
        <v>1</v>
      </c>
      <c r="E85" s="1">
        <v>0.87588900000000003</v>
      </c>
    </row>
    <row r="86" spans="2:5" x14ac:dyDescent="0.35">
      <c r="B86" s="2" t="s">
        <v>4548</v>
      </c>
      <c r="C86" s="1"/>
      <c r="D86" s="1">
        <v>1</v>
      </c>
      <c r="E86" s="1">
        <v>0.84814599999999996</v>
      </c>
    </row>
    <row r="87" spans="2:5" x14ac:dyDescent="0.35">
      <c r="B87" s="2" t="s">
        <v>4549</v>
      </c>
      <c r="C87" s="1"/>
      <c r="D87" s="1">
        <v>1</v>
      </c>
      <c r="E87" s="1">
        <v>1.1146309999999999</v>
      </c>
    </row>
    <row r="88" spans="2:5" x14ac:dyDescent="0.35">
      <c r="B88" s="2" t="s">
        <v>4550</v>
      </c>
      <c r="C88" s="1"/>
      <c r="D88" s="1">
        <v>1</v>
      </c>
      <c r="E88" s="1">
        <v>1.108212</v>
      </c>
    </row>
    <row r="89" spans="2:5" x14ac:dyDescent="0.35">
      <c r="B89" s="2" t="s">
        <v>4551</v>
      </c>
      <c r="C89" s="1"/>
      <c r="D89" s="1">
        <v>1</v>
      </c>
      <c r="E89" s="1">
        <v>1.0413889999999999</v>
      </c>
    </row>
    <row r="90" spans="2:5" x14ac:dyDescent="0.35">
      <c r="B90" s="2" t="s">
        <v>4552</v>
      </c>
      <c r="C90" s="1"/>
      <c r="D90" s="1">
        <v>1</v>
      </c>
      <c r="E90" s="1">
        <v>1.1404289999999999</v>
      </c>
    </row>
    <row r="91" spans="2:5" x14ac:dyDescent="0.35">
      <c r="B91" s="2" t="s">
        <v>4553</v>
      </c>
      <c r="C91" s="1"/>
      <c r="D91" s="1">
        <v>1</v>
      </c>
      <c r="E91" s="1">
        <v>1.034338</v>
      </c>
    </row>
    <row r="92" spans="2:5" x14ac:dyDescent="0.35">
      <c r="B92" s="2" t="s">
        <v>4554</v>
      </c>
      <c r="C92" s="1"/>
      <c r="D92" s="1">
        <v>1</v>
      </c>
      <c r="E92" s="1">
        <v>0.93849700000000003</v>
      </c>
    </row>
    <row r="93" spans="2:5" x14ac:dyDescent="0.35">
      <c r="B93" s="2" t="s">
        <v>4555</v>
      </c>
      <c r="C93" s="1"/>
      <c r="D93" s="1">
        <v>1</v>
      </c>
      <c r="E93" s="1">
        <v>0.890015</v>
      </c>
    </row>
    <row r="94" spans="2:5" x14ac:dyDescent="0.35">
      <c r="B94" s="2" t="s">
        <v>4556</v>
      </c>
      <c r="C94" s="1"/>
      <c r="D94" s="1">
        <v>1</v>
      </c>
      <c r="E94" s="1">
        <v>1.0284070000000001</v>
      </c>
    </row>
    <row r="95" spans="2:5" x14ac:dyDescent="0.35">
      <c r="B95" s="2" t="s">
        <v>4557</v>
      </c>
      <c r="C95" s="1"/>
      <c r="D95" s="1">
        <v>1</v>
      </c>
      <c r="E95" s="1">
        <v>1.083577</v>
      </c>
    </row>
  </sheetData>
  <pageMargins left="0.7" right="0.7" top="0.75" bottom="0.75" header="0.3" footer="0.3"/>
  <pageSetup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78130-FDB3-4269-BAD3-FC4A302636D1}">
  <dimension ref="A1:S15"/>
  <sheetViews>
    <sheetView workbookViewId="0">
      <selection activeCell="F40" sqref="F40"/>
    </sheetView>
  </sheetViews>
  <sheetFormatPr defaultRowHeight="14.5" x14ac:dyDescent="0.35"/>
  <sheetData>
    <row r="1" spans="1:19" x14ac:dyDescent="0.35">
      <c r="A1" t="s">
        <v>4780</v>
      </c>
    </row>
    <row r="2" spans="1:19" ht="16.5" x14ac:dyDescent="0.35">
      <c r="A2" s="19" t="s">
        <v>175</v>
      </c>
      <c r="B2" s="19" t="s">
        <v>4614</v>
      </c>
      <c r="C2" s="19" t="s">
        <v>4708</v>
      </c>
      <c r="D2" s="19" t="s">
        <v>4709</v>
      </c>
      <c r="E2" s="19" t="s">
        <v>4710</v>
      </c>
      <c r="F2" s="19" t="s">
        <v>4711</v>
      </c>
      <c r="G2" s="19" t="s">
        <v>4712</v>
      </c>
      <c r="H2" s="19" t="s">
        <v>4713</v>
      </c>
      <c r="I2" s="19" t="s">
        <v>4714</v>
      </c>
      <c r="J2" s="19" t="s">
        <v>1</v>
      </c>
      <c r="K2" s="19" t="s">
        <v>2</v>
      </c>
      <c r="L2" s="19" t="s">
        <v>3</v>
      </c>
      <c r="M2" s="19" t="s">
        <v>4</v>
      </c>
      <c r="N2" s="19" t="s">
        <v>5</v>
      </c>
      <c r="O2" s="19" t="s">
        <v>6</v>
      </c>
      <c r="P2" s="19" t="s">
        <v>7</v>
      </c>
      <c r="Q2" s="19" t="s">
        <v>8</v>
      </c>
      <c r="R2" s="19" t="s">
        <v>9</v>
      </c>
      <c r="S2" s="60" t="s">
        <v>4811</v>
      </c>
    </row>
    <row r="3" spans="1:19" x14ac:dyDescent="0.35">
      <c r="A3" s="19">
        <v>8</v>
      </c>
      <c r="B3" s="17">
        <v>23.9</v>
      </c>
      <c r="C3" s="17">
        <v>23.6</v>
      </c>
      <c r="D3" s="17">
        <v>21.4</v>
      </c>
      <c r="E3" s="17">
        <v>22</v>
      </c>
      <c r="F3" s="17">
        <v>21.4</v>
      </c>
      <c r="G3" s="17">
        <v>22.1</v>
      </c>
      <c r="H3" s="17">
        <v>17.3</v>
      </c>
      <c r="I3" s="17">
        <v>19.600000000000001</v>
      </c>
      <c r="J3" s="17">
        <v>20.8</v>
      </c>
      <c r="K3" s="17">
        <v>22.4</v>
      </c>
      <c r="L3" s="17">
        <v>23.8</v>
      </c>
      <c r="M3" s="17">
        <v>20.6</v>
      </c>
      <c r="N3" s="17">
        <v>24.3</v>
      </c>
      <c r="O3" s="17">
        <v>24.2</v>
      </c>
      <c r="P3" s="17">
        <v>20.100000000000001</v>
      </c>
      <c r="Q3" s="17">
        <v>21.6</v>
      </c>
      <c r="R3" s="17">
        <v>19.8</v>
      </c>
      <c r="S3">
        <f>_xlfn.T.TEST(B3:I3,J3:R3,2,2)</f>
        <v>0.57661127311230975</v>
      </c>
    </row>
    <row r="4" spans="1:19" x14ac:dyDescent="0.35">
      <c r="A4" s="19">
        <v>9</v>
      </c>
      <c r="B4" s="17">
        <v>25</v>
      </c>
      <c r="C4" s="17">
        <v>24.7</v>
      </c>
      <c r="D4" s="17">
        <v>22.6</v>
      </c>
      <c r="E4" s="17">
        <v>22.6</v>
      </c>
      <c r="F4" s="17">
        <v>21.5</v>
      </c>
      <c r="G4" s="17">
        <v>22.9</v>
      </c>
      <c r="H4" s="17">
        <v>18.100000000000001</v>
      </c>
      <c r="I4" s="17">
        <v>21.5</v>
      </c>
      <c r="J4" s="17">
        <v>21.4</v>
      </c>
      <c r="K4" s="17">
        <v>22.6</v>
      </c>
      <c r="L4" s="17">
        <v>23.6</v>
      </c>
      <c r="M4" s="17">
        <v>21.3</v>
      </c>
      <c r="N4" s="17">
        <v>24.4</v>
      </c>
      <c r="O4" s="17">
        <v>24.7</v>
      </c>
      <c r="P4" s="17">
        <v>21</v>
      </c>
      <c r="Q4" s="17">
        <v>22.8</v>
      </c>
      <c r="R4" s="17">
        <v>20.7</v>
      </c>
      <c r="S4" s="48">
        <f t="shared" ref="S4:S15" si="0">_xlfn.T.TEST(B4:I4,J4:R4,2,2)</f>
        <v>0.87934736341225617</v>
      </c>
    </row>
    <row r="5" spans="1:19" x14ac:dyDescent="0.35">
      <c r="A5" s="19">
        <v>10</v>
      </c>
      <c r="B5" s="17">
        <v>25.4</v>
      </c>
      <c r="C5" s="17">
        <v>25.9</v>
      </c>
      <c r="D5" s="17">
        <v>23.5</v>
      </c>
      <c r="E5" s="17">
        <v>23.7</v>
      </c>
      <c r="F5" s="17">
        <v>22.3</v>
      </c>
      <c r="G5" s="17">
        <v>23.4</v>
      </c>
      <c r="H5" s="17">
        <v>19.3</v>
      </c>
      <c r="I5" s="17">
        <v>22.4</v>
      </c>
      <c r="J5" s="17">
        <v>22.3</v>
      </c>
      <c r="K5" s="17">
        <v>23.1</v>
      </c>
      <c r="L5" s="17">
        <v>24.8</v>
      </c>
      <c r="M5" s="17">
        <v>21.9</v>
      </c>
      <c r="N5" s="17">
        <v>26.2</v>
      </c>
      <c r="O5" s="17">
        <v>26.3</v>
      </c>
      <c r="P5" s="17">
        <v>22.1</v>
      </c>
      <c r="Q5" s="17">
        <v>23.7</v>
      </c>
      <c r="R5" s="17">
        <v>21.5</v>
      </c>
      <c r="S5" s="48">
        <f t="shared" si="0"/>
        <v>0.74850073122615268</v>
      </c>
    </row>
    <row r="6" spans="1:19" x14ac:dyDescent="0.35">
      <c r="A6" s="19">
        <v>11</v>
      </c>
      <c r="B6" s="17">
        <v>27</v>
      </c>
      <c r="C6" s="17">
        <v>27.9</v>
      </c>
      <c r="D6" s="17">
        <v>24.1</v>
      </c>
      <c r="E6" s="17">
        <v>24.1</v>
      </c>
      <c r="F6" s="17">
        <v>23</v>
      </c>
      <c r="G6" s="17">
        <v>24.3</v>
      </c>
      <c r="H6" s="17">
        <v>19.899999999999999</v>
      </c>
      <c r="I6" s="17">
        <v>23.1</v>
      </c>
      <c r="J6" s="17">
        <v>23.3</v>
      </c>
      <c r="K6" s="17">
        <v>23.6</v>
      </c>
      <c r="L6" s="17">
        <v>24.9</v>
      </c>
      <c r="M6" s="17">
        <v>23.3</v>
      </c>
      <c r="N6" s="17">
        <v>27.1</v>
      </c>
      <c r="O6" s="17">
        <v>27.5</v>
      </c>
      <c r="P6" s="17">
        <v>22.8</v>
      </c>
      <c r="Q6" s="17">
        <v>25.1</v>
      </c>
      <c r="R6" s="17">
        <v>22</v>
      </c>
      <c r="S6" s="48">
        <f t="shared" si="0"/>
        <v>0.83513682059487027</v>
      </c>
    </row>
    <row r="7" spans="1:19" x14ac:dyDescent="0.35">
      <c r="A7" s="19">
        <v>12</v>
      </c>
      <c r="B7" s="17">
        <v>27</v>
      </c>
      <c r="C7" s="17">
        <v>28.1</v>
      </c>
      <c r="D7" s="17">
        <v>24.7</v>
      </c>
      <c r="E7" s="17">
        <v>24.4</v>
      </c>
      <c r="F7" s="17">
        <v>23.5</v>
      </c>
      <c r="G7" s="17">
        <v>25.4</v>
      </c>
      <c r="H7" s="17">
        <v>20.3</v>
      </c>
      <c r="I7" s="17">
        <v>24</v>
      </c>
      <c r="J7" s="17">
        <v>23.4</v>
      </c>
      <c r="K7" s="17">
        <v>24.1</v>
      </c>
      <c r="L7" s="17">
        <v>25.7</v>
      </c>
      <c r="M7" s="17">
        <v>24.2</v>
      </c>
      <c r="N7" s="17">
        <v>27.6</v>
      </c>
      <c r="O7" s="17">
        <v>28</v>
      </c>
      <c r="P7" s="17">
        <v>23.8</v>
      </c>
      <c r="Q7" s="17">
        <v>26</v>
      </c>
      <c r="R7" s="17">
        <v>23.2</v>
      </c>
      <c r="S7" s="48">
        <f t="shared" si="0"/>
        <v>0.67141061549580106</v>
      </c>
    </row>
    <row r="8" spans="1:19" x14ac:dyDescent="0.35">
      <c r="A8" s="19">
        <v>13</v>
      </c>
      <c r="B8" s="17">
        <v>27.1</v>
      </c>
      <c r="C8" s="17">
        <v>28.8</v>
      </c>
      <c r="D8" s="17">
        <v>24.8</v>
      </c>
      <c r="E8" s="17">
        <v>24.8</v>
      </c>
      <c r="F8" s="17">
        <v>24.1</v>
      </c>
      <c r="G8" s="17">
        <v>26.3</v>
      </c>
      <c r="H8" s="17">
        <v>20.6</v>
      </c>
      <c r="I8" s="17">
        <v>24.4</v>
      </c>
      <c r="J8" s="17">
        <v>24</v>
      </c>
      <c r="K8" s="17">
        <v>25</v>
      </c>
      <c r="L8" s="17">
        <v>27</v>
      </c>
      <c r="M8" s="17">
        <v>25.1</v>
      </c>
      <c r="N8" s="17">
        <v>28.7</v>
      </c>
      <c r="O8" s="17">
        <v>28.3</v>
      </c>
      <c r="P8" s="17">
        <v>24.6</v>
      </c>
      <c r="Q8" s="17">
        <v>27.9</v>
      </c>
      <c r="R8" s="17">
        <v>23.6</v>
      </c>
      <c r="S8" s="48">
        <f t="shared" si="0"/>
        <v>0.40549833828428183</v>
      </c>
    </row>
    <row r="9" spans="1:19" x14ac:dyDescent="0.35">
      <c r="A9" s="19">
        <v>14</v>
      </c>
      <c r="B9" s="17">
        <v>27.3</v>
      </c>
      <c r="C9" s="17">
        <v>29.1</v>
      </c>
      <c r="D9" s="17">
        <v>24.9</v>
      </c>
      <c r="E9" s="17">
        <v>25.3</v>
      </c>
      <c r="F9" s="17">
        <v>24.8</v>
      </c>
      <c r="G9" s="17">
        <v>26.6</v>
      </c>
      <c r="H9" s="17">
        <v>21</v>
      </c>
      <c r="I9" s="17">
        <v>24.8</v>
      </c>
      <c r="J9" s="17">
        <v>24.2</v>
      </c>
      <c r="K9" s="17">
        <v>25.5</v>
      </c>
      <c r="L9" s="17">
        <v>27.4</v>
      </c>
      <c r="M9" s="17">
        <v>24.1</v>
      </c>
      <c r="N9" s="17">
        <v>29.9</v>
      </c>
      <c r="O9" s="17">
        <v>28.7</v>
      </c>
      <c r="P9" s="17">
        <v>26.4</v>
      </c>
      <c r="Q9" s="17">
        <v>28.4</v>
      </c>
      <c r="R9" s="17">
        <v>24.4</v>
      </c>
      <c r="S9" s="48">
        <f t="shared" si="0"/>
        <v>0.33976805137980859</v>
      </c>
    </row>
    <row r="10" spans="1:19" x14ac:dyDescent="0.35">
      <c r="A10" s="19">
        <v>15</v>
      </c>
      <c r="B10" s="17">
        <v>27.7</v>
      </c>
      <c r="C10" s="17">
        <v>30.8</v>
      </c>
      <c r="D10" s="17">
        <v>25.6</v>
      </c>
      <c r="E10" s="17">
        <v>26.3</v>
      </c>
      <c r="F10" s="17">
        <v>25.3</v>
      </c>
      <c r="G10" s="17">
        <v>26.7</v>
      </c>
      <c r="H10" s="17">
        <v>21.2</v>
      </c>
      <c r="I10" s="17">
        <v>25.3</v>
      </c>
      <c r="J10" s="17">
        <v>24.6</v>
      </c>
      <c r="K10" s="17">
        <v>25.1</v>
      </c>
      <c r="L10" s="17">
        <v>26.8</v>
      </c>
      <c r="M10" s="17">
        <v>24.9</v>
      </c>
      <c r="N10" s="17">
        <v>30.7</v>
      </c>
      <c r="O10" s="17">
        <v>28.2</v>
      </c>
      <c r="P10" s="17">
        <v>27.4</v>
      </c>
      <c r="Q10" s="17">
        <v>29.7</v>
      </c>
      <c r="R10" s="17">
        <v>24.5</v>
      </c>
      <c r="S10" s="48">
        <f t="shared" si="0"/>
        <v>0.53680445739407157</v>
      </c>
    </row>
    <row r="11" spans="1:19" x14ac:dyDescent="0.35">
      <c r="A11" s="19">
        <v>16</v>
      </c>
      <c r="B11" s="17">
        <v>28.2</v>
      </c>
      <c r="C11" s="17">
        <v>30.7</v>
      </c>
      <c r="D11" s="17">
        <v>25.9</v>
      </c>
      <c r="E11" s="17">
        <v>26.6</v>
      </c>
      <c r="F11" s="17">
        <v>25.9</v>
      </c>
      <c r="G11" s="17">
        <v>27.9</v>
      </c>
      <c r="H11" s="17">
        <v>21.5</v>
      </c>
      <c r="I11" s="17">
        <v>26</v>
      </c>
      <c r="J11" s="17">
        <v>25.5</v>
      </c>
      <c r="K11" s="17">
        <v>25.8</v>
      </c>
      <c r="L11" s="17">
        <v>27.7</v>
      </c>
      <c r="M11" s="17">
        <v>24.6</v>
      </c>
      <c r="N11" s="17">
        <v>30.5</v>
      </c>
      <c r="O11" s="17">
        <v>29.5</v>
      </c>
      <c r="P11" s="17">
        <v>28</v>
      </c>
      <c r="Q11" s="17">
        <v>29.7</v>
      </c>
      <c r="R11" s="17">
        <v>26.3</v>
      </c>
      <c r="S11" s="48">
        <f t="shared" si="0"/>
        <v>0.43244422041858721</v>
      </c>
    </row>
    <row r="12" spans="1:19" x14ac:dyDescent="0.35">
      <c r="A12" s="19">
        <v>17</v>
      </c>
      <c r="B12" s="17">
        <v>28.4</v>
      </c>
      <c r="C12" s="17">
        <v>31.9</v>
      </c>
      <c r="D12" s="17">
        <v>27</v>
      </c>
      <c r="E12" s="17">
        <v>27.1</v>
      </c>
      <c r="F12" s="17">
        <v>27</v>
      </c>
      <c r="G12" s="17">
        <v>28.4</v>
      </c>
      <c r="H12" s="17">
        <v>21.6</v>
      </c>
      <c r="I12" s="17">
        <v>26.4</v>
      </c>
      <c r="J12" s="17">
        <v>25.8</v>
      </c>
      <c r="K12" s="17">
        <v>25.8</v>
      </c>
      <c r="L12" s="17">
        <v>27.8</v>
      </c>
      <c r="M12" s="17">
        <v>25.3</v>
      </c>
      <c r="N12" s="17">
        <v>33.700000000000003</v>
      </c>
      <c r="O12" s="17">
        <v>29.9</v>
      </c>
      <c r="P12" s="17">
        <v>29.3</v>
      </c>
      <c r="Q12" s="17">
        <v>30.7</v>
      </c>
      <c r="R12" s="17">
        <v>27.1</v>
      </c>
      <c r="S12" s="48">
        <f t="shared" si="0"/>
        <v>0.41222347251608749</v>
      </c>
    </row>
    <row r="13" spans="1:19" x14ac:dyDescent="0.35">
      <c r="A13" s="19">
        <v>18</v>
      </c>
      <c r="B13" s="17">
        <v>28.9</v>
      </c>
      <c r="C13" s="17">
        <v>31.6</v>
      </c>
      <c r="D13" s="17">
        <v>26.9</v>
      </c>
      <c r="E13" s="17">
        <v>28</v>
      </c>
      <c r="F13" s="17">
        <v>26.8</v>
      </c>
      <c r="G13" s="17">
        <v>28.8</v>
      </c>
      <c r="H13" s="17">
        <v>21.7</v>
      </c>
      <c r="I13" s="17">
        <v>26.2</v>
      </c>
      <c r="J13" s="17">
        <v>26.1</v>
      </c>
      <c r="K13" s="17">
        <v>26</v>
      </c>
      <c r="L13" s="17">
        <v>29.1</v>
      </c>
      <c r="M13" s="17">
        <v>28.1</v>
      </c>
      <c r="N13" s="17">
        <v>34.4</v>
      </c>
      <c r="O13" s="17">
        <v>30.1</v>
      </c>
      <c r="P13" s="17">
        <v>30.2</v>
      </c>
      <c r="Q13" s="17">
        <v>31</v>
      </c>
      <c r="R13" s="17">
        <v>27.9</v>
      </c>
      <c r="S13" s="48">
        <f t="shared" si="0"/>
        <v>0.18337667554553824</v>
      </c>
    </row>
    <row r="14" spans="1:19" x14ac:dyDescent="0.35">
      <c r="A14" s="19">
        <v>19</v>
      </c>
      <c r="B14" s="17">
        <v>29.3</v>
      </c>
      <c r="C14" s="17">
        <v>32.1</v>
      </c>
      <c r="D14" s="17">
        <v>27.1</v>
      </c>
      <c r="E14" s="17">
        <v>27.6</v>
      </c>
      <c r="F14" s="17">
        <v>27.9</v>
      </c>
      <c r="G14" s="17">
        <v>29.6</v>
      </c>
      <c r="H14" s="17">
        <v>22.1</v>
      </c>
      <c r="I14" s="17">
        <v>27.8</v>
      </c>
      <c r="J14" s="17">
        <v>26.6</v>
      </c>
      <c r="K14" s="17">
        <v>26.7</v>
      </c>
      <c r="L14" s="17">
        <v>30.4</v>
      </c>
      <c r="M14" s="17">
        <v>25.4</v>
      </c>
      <c r="N14" s="17">
        <v>34.9</v>
      </c>
      <c r="O14" s="17">
        <v>30.5</v>
      </c>
      <c r="P14" s="17">
        <v>30.7</v>
      </c>
      <c r="Q14" s="17">
        <v>31.9</v>
      </c>
      <c r="R14" s="17">
        <v>28.8</v>
      </c>
      <c r="S14" s="48">
        <f t="shared" si="0"/>
        <v>0.27637619723254986</v>
      </c>
    </row>
    <row r="15" spans="1:19" x14ac:dyDescent="0.35">
      <c r="A15" s="19">
        <v>20</v>
      </c>
      <c r="B15" s="17">
        <v>29.8</v>
      </c>
      <c r="C15" s="17">
        <v>32.700000000000003</v>
      </c>
      <c r="D15" s="17">
        <v>27.4</v>
      </c>
      <c r="E15" s="17">
        <v>28.3</v>
      </c>
      <c r="F15" s="17">
        <v>28</v>
      </c>
      <c r="G15" s="17">
        <v>30.4</v>
      </c>
      <c r="H15" s="17">
        <v>22.8</v>
      </c>
      <c r="I15" s="17">
        <v>27.9</v>
      </c>
      <c r="J15" s="17">
        <v>27</v>
      </c>
      <c r="K15" s="17">
        <v>26.7</v>
      </c>
      <c r="L15" s="17">
        <v>30.6</v>
      </c>
      <c r="M15" s="17">
        <v>25.9</v>
      </c>
      <c r="N15" s="17">
        <v>36</v>
      </c>
      <c r="O15" s="17">
        <v>30.1</v>
      </c>
      <c r="P15" s="17">
        <v>30.2</v>
      </c>
      <c r="Q15" s="17">
        <v>31.2</v>
      </c>
      <c r="R15" s="17">
        <v>28.5</v>
      </c>
      <c r="S15" s="48">
        <f t="shared" si="0"/>
        <v>0.43221521210787761</v>
      </c>
    </row>
  </sheetData>
  <phoneticPr fontId="3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57FD0-A473-4092-B16F-33D0575858AE}">
  <dimension ref="B2:Q18"/>
  <sheetViews>
    <sheetView workbookViewId="0">
      <selection activeCell="G20" sqref="G20"/>
    </sheetView>
  </sheetViews>
  <sheetFormatPr defaultRowHeight="14.5" x14ac:dyDescent="0.35"/>
  <sheetData>
    <row r="2" spans="2:4" x14ac:dyDescent="0.35">
      <c r="B2" t="s">
        <v>4781</v>
      </c>
    </row>
    <row r="3" spans="2:4" x14ac:dyDescent="0.35">
      <c r="C3" t="s">
        <v>4936</v>
      </c>
      <c r="D3" t="s">
        <v>23</v>
      </c>
    </row>
    <row r="4" spans="2:4" x14ac:dyDescent="0.35">
      <c r="B4" t="s">
        <v>4816</v>
      </c>
      <c r="C4">
        <v>7.3</v>
      </c>
      <c r="D4">
        <v>8.8000000000000007</v>
      </c>
    </row>
    <row r="5" spans="2:4" x14ac:dyDescent="0.35">
      <c r="B5" s="48" t="s">
        <v>4817</v>
      </c>
      <c r="C5">
        <v>7.2</v>
      </c>
      <c r="D5">
        <v>6.6</v>
      </c>
    </row>
    <row r="6" spans="2:4" x14ac:dyDescent="0.35">
      <c r="B6" s="48" t="s">
        <v>4818</v>
      </c>
      <c r="C6">
        <v>5.8</v>
      </c>
      <c r="D6">
        <v>6.3</v>
      </c>
    </row>
    <row r="7" spans="2:4" x14ac:dyDescent="0.35">
      <c r="B7" s="48" t="s">
        <v>4819</v>
      </c>
      <c r="C7">
        <v>8.1</v>
      </c>
      <c r="D7">
        <v>5.8</v>
      </c>
    </row>
    <row r="8" spans="2:4" x14ac:dyDescent="0.35">
      <c r="B8" s="48" t="s">
        <v>4820</v>
      </c>
      <c r="C8">
        <v>5.0999999999999996</v>
      </c>
      <c r="D8">
        <v>5</v>
      </c>
    </row>
    <row r="9" spans="2:4" x14ac:dyDescent="0.35">
      <c r="B9" s="48" t="s">
        <v>4821</v>
      </c>
      <c r="C9">
        <v>4.9000000000000004</v>
      </c>
      <c r="D9">
        <v>5.0999999999999996</v>
      </c>
    </row>
    <row r="10" spans="2:4" x14ac:dyDescent="0.35">
      <c r="B10" s="48" t="s">
        <v>4822</v>
      </c>
      <c r="C10">
        <v>5.3</v>
      </c>
      <c r="D10">
        <v>9.1999999999999993</v>
      </c>
    </row>
    <row r="11" spans="2:4" x14ac:dyDescent="0.35">
      <c r="B11" s="48" t="s">
        <v>4842</v>
      </c>
      <c r="C11">
        <v>7.9</v>
      </c>
      <c r="D11">
        <v>6.7</v>
      </c>
    </row>
    <row r="12" spans="2:4" x14ac:dyDescent="0.35">
      <c r="B12" s="48" t="s">
        <v>4843</v>
      </c>
      <c r="C12">
        <v>12.6</v>
      </c>
      <c r="D12">
        <v>7.4</v>
      </c>
    </row>
    <row r="13" spans="2:4" x14ac:dyDescent="0.35">
      <c r="B13" s="48" t="s">
        <v>4844</v>
      </c>
      <c r="C13">
        <v>7.1</v>
      </c>
      <c r="D13">
        <v>6</v>
      </c>
    </row>
    <row r="18" spans="2:17" x14ac:dyDescent="0.35">
      <c r="B18" t="s">
        <v>4811</v>
      </c>
      <c r="C18">
        <f>_xlfn.T.TEST(C4:C13,D4:D13,2,2)</f>
        <v>0.60754661749036232</v>
      </c>
      <c r="G18" s="48"/>
      <c r="L18" s="48"/>
      <c r="Q18" s="48"/>
    </row>
  </sheetData>
  <phoneticPr fontId="3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10629-E238-4C36-90F6-D9A729899506}">
  <dimension ref="A2:C15"/>
  <sheetViews>
    <sheetView workbookViewId="0">
      <selection activeCell="O26" sqref="O25:O26"/>
    </sheetView>
  </sheetViews>
  <sheetFormatPr defaultRowHeight="14.5" x14ac:dyDescent="0.35"/>
  <sheetData>
    <row r="2" spans="1:3" x14ac:dyDescent="0.35">
      <c r="A2" t="s">
        <v>4782</v>
      </c>
    </row>
    <row r="3" spans="1:3" x14ac:dyDescent="0.35">
      <c r="B3" t="s">
        <v>4936</v>
      </c>
      <c r="C3" t="s">
        <v>23</v>
      </c>
    </row>
    <row r="4" spans="1:3" x14ac:dyDescent="0.35">
      <c r="A4" t="s">
        <v>4937</v>
      </c>
      <c r="B4">
        <v>4</v>
      </c>
      <c r="C4">
        <v>4</v>
      </c>
    </row>
    <row r="5" spans="1:3" x14ac:dyDescent="0.35">
      <c r="A5" s="48" t="s">
        <v>4938</v>
      </c>
      <c r="B5">
        <v>3.4</v>
      </c>
      <c r="C5">
        <v>4</v>
      </c>
    </row>
    <row r="6" spans="1:3" x14ac:dyDescent="0.35">
      <c r="A6" s="48" t="s">
        <v>4939</v>
      </c>
      <c r="B6">
        <v>3.9</v>
      </c>
      <c r="C6">
        <v>3.2</v>
      </c>
    </row>
    <row r="7" spans="1:3" x14ac:dyDescent="0.35">
      <c r="A7" s="48" t="s">
        <v>4940</v>
      </c>
      <c r="B7">
        <v>4.5</v>
      </c>
      <c r="C7">
        <v>3.1</v>
      </c>
    </row>
    <row r="8" spans="1:3" x14ac:dyDescent="0.35">
      <c r="A8" s="48" t="s">
        <v>4941</v>
      </c>
      <c r="B8">
        <v>3.5</v>
      </c>
      <c r="C8">
        <v>3.6</v>
      </c>
    </row>
    <row r="9" spans="1:3" x14ac:dyDescent="0.35">
      <c r="A9" s="48" t="s">
        <v>4942</v>
      </c>
      <c r="B9">
        <v>4.3</v>
      </c>
      <c r="C9">
        <v>3.8</v>
      </c>
    </row>
    <row r="10" spans="1:3" x14ac:dyDescent="0.35">
      <c r="A10" s="48" t="s">
        <v>4943</v>
      </c>
      <c r="B10">
        <v>3.6</v>
      </c>
      <c r="C10">
        <v>4.8</v>
      </c>
    </row>
    <row r="11" spans="1:3" x14ac:dyDescent="0.35">
      <c r="A11" s="48" t="s">
        <v>4944</v>
      </c>
      <c r="B11">
        <v>5</v>
      </c>
      <c r="C11">
        <v>4.7</v>
      </c>
    </row>
    <row r="12" spans="1:3" x14ac:dyDescent="0.35">
      <c r="A12" s="48" t="s">
        <v>4945</v>
      </c>
      <c r="B12">
        <v>4.8</v>
      </c>
      <c r="C12">
        <v>4.3</v>
      </c>
    </row>
    <row r="13" spans="1:3" x14ac:dyDescent="0.35">
      <c r="A13" s="48" t="s">
        <v>4946</v>
      </c>
      <c r="B13">
        <v>4.5999999999999996</v>
      </c>
      <c r="C13">
        <v>4.4000000000000004</v>
      </c>
    </row>
    <row r="15" spans="1:3" x14ac:dyDescent="0.35">
      <c r="B15" t="s">
        <v>4811</v>
      </c>
      <c r="C15">
        <f>_xlfn.T.TEST(B4:B13,C4:C13,2,2)</f>
        <v>0.51488273991050448</v>
      </c>
    </row>
  </sheetData>
  <phoneticPr fontId="3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61AD3-177D-4A4A-83C2-DF6D5DE9E2AB}">
  <dimension ref="A3:C16"/>
  <sheetViews>
    <sheetView workbookViewId="0">
      <selection activeCell="F18" sqref="F18"/>
    </sheetView>
  </sheetViews>
  <sheetFormatPr defaultRowHeight="14.5" x14ac:dyDescent="0.35"/>
  <sheetData>
    <row r="3" spans="1:3" x14ac:dyDescent="0.35">
      <c r="A3" t="s">
        <v>4783</v>
      </c>
    </row>
    <row r="4" spans="1:3" x14ac:dyDescent="0.35">
      <c r="B4" t="s">
        <v>4936</v>
      </c>
      <c r="C4" t="s">
        <v>23</v>
      </c>
    </row>
    <row r="5" spans="1:3" x14ac:dyDescent="0.35">
      <c r="A5" t="s">
        <v>4816</v>
      </c>
      <c r="B5">
        <v>18.899999999999999</v>
      </c>
      <c r="C5">
        <v>18.8</v>
      </c>
    </row>
    <row r="6" spans="1:3" x14ac:dyDescent="0.35">
      <c r="A6" s="48" t="s">
        <v>4817</v>
      </c>
      <c r="B6">
        <v>17.3</v>
      </c>
      <c r="C6">
        <v>20.9</v>
      </c>
    </row>
    <row r="7" spans="1:3" x14ac:dyDescent="0.35">
      <c r="A7" s="48" t="s">
        <v>4818</v>
      </c>
      <c r="B7">
        <v>20.9</v>
      </c>
      <c r="C7">
        <v>16.8</v>
      </c>
    </row>
    <row r="8" spans="1:3" x14ac:dyDescent="0.35">
      <c r="A8" s="48" t="s">
        <v>4819</v>
      </c>
      <c r="B8">
        <v>21.6</v>
      </c>
      <c r="C8">
        <v>17</v>
      </c>
    </row>
    <row r="9" spans="1:3" x14ac:dyDescent="0.35">
      <c r="A9" s="48" t="s">
        <v>4820</v>
      </c>
      <c r="B9">
        <v>19.5</v>
      </c>
      <c r="C9">
        <v>21.4</v>
      </c>
    </row>
    <row r="10" spans="1:3" x14ac:dyDescent="0.35">
      <c r="A10" s="48" t="s">
        <v>4821</v>
      </c>
      <c r="B10">
        <v>20.9</v>
      </c>
      <c r="C10">
        <v>20.6</v>
      </c>
    </row>
    <row r="11" spans="1:3" x14ac:dyDescent="0.35">
      <c r="A11" s="48" t="s">
        <v>4822</v>
      </c>
      <c r="B11">
        <v>18</v>
      </c>
      <c r="C11">
        <v>20.100000000000001</v>
      </c>
    </row>
    <row r="12" spans="1:3" x14ac:dyDescent="0.35">
      <c r="A12" s="48" t="s">
        <v>4842</v>
      </c>
      <c r="B12">
        <v>22.9</v>
      </c>
      <c r="C12">
        <v>21.3</v>
      </c>
    </row>
    <row r="13" spans="1:3" x14ac:dyDescent="0.35">
      <c r="A13" s="48" t="s">
        <v>4843</v>
      </c>
      <c r="B13">
        <v>20</v>
      </c>
      <c r="C13">
        <v>19.5</v>
      </c>
    </row>
    <row r="14" spans="1:3" x14ac:dyDescent="0.35">
      <c r="A14" s="48" t="s">
        <v>4844</v>
      </c>
      <c r="B14">
        <v>21.4</v>
      </c>
      <c r="C14">
        <v>22.8</v>
      </c>
    </row>
    <row r="16" spans="1:3" x14ac:dyDescent="0.35">
      <c r="A16" t="s">
        <v>4811</v>
      </c>
      <c r="B16">
        <f>_xlfn.T.TEST(B5:B14,C5:C14,2,2)</f>
        <v>0.79173254887359357</v>
      </c>
    </row>
  </sheetData>
  <phoneticPr fontId="3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E7603-2F14-4CD1-AC2A-7643C2C8D225}">
  <dimension ref="A1:E16"/>
  <sheetViews>
    <sheetView workbookViewId="0">
      <selection activeCell="I46" sqref="I46"/>
    </sheetView>
  </sheetViews>
  <sheetFormatPr defaultRowHeight="14.5" x14ac:dyDescent="0.35"/>
  <sheetData>
    <row r="1" spans="1:5" x14ac:dyDescent="0.35">
      <c r="A1" s="48" t="s">
        <v>4784</v>
      </c>
      <c r="B1" s="48"/>
      <c r="C1" s="48"/>
      <c r="D1" s="48"/>
      <c r="E1" s="48"/>
    </row>
    <row r="2" spans="1:5" x14ac:dyDescent="0.35">
      <c r="A2" s="48"/>
      <c r="B2" s="48" t="s">
        <v>4936</v>
      </c>
      <c r="C2" s="48" t="s">
        <v>23</v>
      </c>
      <c r="D2" s="48"/>
      <c r="E2" s="48"/>
    </row>
    <row r="3" spans="1:5" x14ac:dyDescent="0.35">
      <c r="A3" s="48" t="s">
        <v>4947</v>
      </c>
      <c r="B3" s="48">
        <v>2.2850000000000001</v>
      </c>
      <c r="C3" s="48">
        <v>2.0449999999999999</v>
      </c>
      <c r="D3" s="48"/>
      <c r="E3" s="48"/>
    </row>
    <row r="4" spans="1:5" x14ac:dyDescent="0.35">
      <c r="A4" s="48" t="s">
        <v>4948</v>
      </c>
      <c r="B4" s="48">
        <v>2.7749999999999999</v>
      </c>
      <c r="C4" s="48">
        <v>2.0099999999999998</v>
      </c>
      <c r="D4" s="48"/>
      <c r="E4" s="48"/>
    </row>
    <row r="5" spans="1:5" x14ac:dyDescent="0.35">
      <c r="A5" s="48" t="s">
        <v>4949</v>
      </c>
      <c r="B5" s="48">
        <v>1.48</v>
      </c>
      <c r="C5" s="48">
        <v>3.17</v>
      </c>
      <c r="D5" s="48"/>
      <c r="E5" s="48"/>
    </row>
    <row r="6" spans="1:5" x14ac:dyDescent="0.35">
      <c r="A6" s="48" t="s">
        <v>4950</v>
      </c>
      <c r="B6" s="48">
        <v>3.0329999999999999</v>
      </c>
      <c r="C6" s="48">
        <v>3.44</v>
      </c>
      <c r="D6" s="48"/>
      <c r="E6" s="48"/>
    </row>
    <row r="7" spans="1:5" x14ac:dyDescent="0.35">
      <c r="A7" s="48" t="s">
        <v>4951</v>
      </c>
      <c r="B7" s="48">
        <v>2.923</v>
      </c>
      <c r="C7" s="48">
        <v>2.4700000000000002</v>
      </c>
      <c r="D7" s="48"/>
      <c r="E7" s="48"/>
    </row>
    <row r="8" spans="1:5" x14ac:dyDescent="0.35">
      <c r="A8" s="48" t="s">
        <v>4952</v>
      </c>
      <c r="B8" s="48">
        <v>2</v>
      </c>
      <c r="C8" s="48">
        <v>3.5880000000000001</v>
      </c>
      <c r="D8" s="48"/>
      <c r="E8" s="48"/>
    </row>
    <row r="9" spans="1:5" x14ac:dyDescent="0.35">
      <c r="A9" s="48" t="s">
        <v>4953</v>
      </c>
      <c r="B9" s="48">
        <v>1.6970000000000001</v>
      </c>
      <c r="C9" s="48">
        <v>3.6419999999999999</v>
      </c>
      <c r="D9" s="48"/>
      <c r="E9" s="48"/>
    </row>
    <row r="10" spans="1:5" x14ac:dyDescent="0.35">
      <c r="A10" s="48" t="s">
        <v>4954</v>
      </c>
      <c r="B10" s="48">
        <v>2.21</v>
      </c>
      <c r="C10" s="48">
        <v>3.5150000000000001</v>
      </c>
      <c r="D10" s="48"/>
      <c r="E10" s="48"/>
    </row>
    <row r="11" spans="1:5" x14ac:dyDescent="0.35">
      <c r="A11" s="48" t="s">
        <v>4955</v>
      </c>
      <c r="B11" s="48">
        <v>3.8719999999999999</v>
      </c>
      <c r="C11" s="48">
        <v>3.7730000000000001</v>
      </c>
      <c r="D11" s="48"/>
      <c r="E11" s="48"/>
    </row>
    <row r="12" spans="1:5" x14ac:dyDescent="0.35">
      <c r="A12" s="48" t="s">
        <v>4956</v>
      </c>
      <c r="B12" s="48">
        <v>3.633</v>
      </c>
      <c r="C12" s="48">
        <v>4.0129999999999999</v>
      </c>
      <c r="D12" s="48"/>
      <c r="E12" s="48"/>
    </row>
    <row r="13" spans="1:5" x14ac:dyDescent="0.35">
      <c r="A13" s="48"/>
      <c r="B13" s="48"/>
      <c r="C13" s="48"/>
      <c r="D13" s="48"/>
      <c r="E13" s="48"/>
    </row>
    <row r="14" spans="1:5" x14ac:dyDescent="0.35">
      <c r="A14" s="48" t="s">
        <v>4863</v>
      </c>
      <c r="B14" s="48">
        <f>_xlfn.T.TEST(B3:B12,C3:C12,2,2)</f>
        <v>0.10835246564954362</v>
      </c>
      <c r="C14" s="48"/>
      <c r="D14" s="48"/>
      <c r="E14" s="48"/>
    </row>
    <row r="15" spans="1:5" x14ac:dyDescent="0.35">
      <c r="A15" s="48"/>
      <c r="B15" s="48"/>
      <c r="C15" s="48"/>
      <c r="D15" s="48"/>
      <c r="E15" s="48"/>
    </row>
    <row r="16" spans="1:5" x14ac:dyDescent="0.35">
      <c r="A16" s="48"/>
      <c r="B16" s="48"/>
      <c r="C16" s="48"/>
      <c r="D16" s="48"/>
      <c r="E16" s="48"/>
    </row>
  </sheetData>
  <phoneticPr fontId="3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2528A-A56C-4537-8384-9BD81F89C2EB}">
  <dimension ref="A1:AC88"/>
  <sheetViews>
    <sheetView workbookViewId="0">
      <selection activeCell="AE41" sqref="AE41"/>
    </sheetView>
  </sheetViews>
  <sheetFormatPr defaultRowHeight="14.5" x14ac:dyDescent="0.35"/>
  <cols>
    <col min="1" max="1" width="9.1796875" style="48"/>
  </cols>
  <sheetData>
    <row r="1" spans="1:29" x14ac:dyDescent="0.35">
      <c r="B1" t="s">
        <v>4785</v>
      </c>
      <c r="AC1" t="s">
        <v>4811</v>
      </c>
    </row>
    <row r="2" spans="1:29" ht="16.5" x14ac:dyDescent="0.35">
      <c r="A2" s="23" t="s">
        <v>4585</v>
      </c>
      <c r="B2" s="19" t="s">
        <v>160</v>
      </c>
      <c r="C2" t="s">
        <v>4614</v>
      </c>
      <c r="D2" s="48" t="s">
        <v>4708</v>
      </c>
      <c r="E2" s="48" t="s">
        <v>4709</v>
      </c>
      <c r="F2" s="48" t="s">
        <v>4710</v>
      </c>
      <c r="G2" s="48" t="s">
        <v>4711</v>
      </c>
      <c r="H2" s="48" t="s">
        <v>4712</v>
      </c>
      <c r="I2" s="48" t="s">
        <v>4713</v>
      </c>
      <c r="J2" s="48" t="s">
        <v>4714</v>
      </c>
      <c r="K2" s="48" t="s">
        <v>4716</v>
      </c>
      <c r="L2" s="48" t="s">
        <v>4717</v>
      </c>
      <c r="M2" s="48" t="s">
        <v>4718</v>
      </c>
      <c r="P2" t="s">
        <v>1</v>
      </c>
      <c r="Q2" t="s">
        <v>2</v>
      </c>
      <c r="R2" t="s">
        <v>3</v>
      </c>
      <c r="S2" t="s">
        <v>4</v>
      </c>
      <c r="T2" t="s">
        <v>5</v>
      </c>
      <c r="U2" t="s">
        <v>6</v>
      </c>
      <c r="V2" t="s">
        <v>7</v>
      </c>
      <c r="W2" t="s">
        <v>8</v>
      </c>
      <c r="X2" t="s">
        <v>9</v>
      </c>
      <c r="Y2" t="s">
        <v>11</v>
      </c>
      <c r="Z2" t="s">
        <v>12</v>
      </c>
      <c r="AA2" t="s">
        <v>13</v>
      </c>
      <c r="AB2" t="s">
        <v>14</v>
      </c>
    </row>
    <row r="3" spans="1:29" x14ac:dyDescent="0.35">
      <c r="A3" s="23"/>
      <c r="B3" s="16" t="s">
        <v>158</v>
      </c>
      <c r="C3" s="1">
        <v>51.67</v>
      </c>
      <c r="D3" s="1">
        <v>71.67</v>
      </c>
      <c r="E3" s="1">
        <v>1313</v>
      </c>
      <c r="F3" s="1">
        <v>728</v>
      </c>
      <c r="G3" s="1">
        <v>823.33</v>
      </c>
      <c r="H3" s="1">
        <v>2617</v>
      </c>
      <c r="I3" s="1">
        <v>25.67</v>
      </c>
      <c r="J3" s="1">
        <v>2476.67</v>
      </c>
      <c r="K3" s="1">
        <v>1002.67</v>
      </c>
      <c r="L3" s="1">
        <v>1158</v>
      </c>
      <c r="M3" s="1">
        <v>671</v>
      </c>
      <c r="N3" s="1"/>
      <c r="O3" s="1"/>
      <c r="P3" s="1">
        <v>592</v>
      </c>
      <c r="Q3" s="1">
        <v>267.33</v>
      </c>
      <c r="R3" s="1">
        <v>1191.33</v>
      </c>
      <c r="S3" s="1">
        <v>646</v>
      </c>
      <c r="T3" s="1">
        <v>1584.33</v>
      </c>
      <c r="U3" s="1">
        <v>1506.33</v>
      </c>
      <c r="V3" s="1">
        <v>832</v>
      </c>
      <c r="W3" s="1">
        <v>391.33</v>
      </c>
      <c r="X3" s="1">
        <v>520.33000000000004</v>
      </c>
      <c r="Y3" s="1">
        <v>426.33</v>
      </c>
      <c r="Z3" s="1">
        <v>1003</v>
      </c>
      <c r="AA3" s="1">
        <v>262.67</v>
      </c>
      <c r="AB3" s="1">
        <v>166.33</v>
      </c>
      <c r="AC3">
        <f>_xlfn.T.TEST(P3:AB3,C3:M3,2,2)</f>
        <v>0.34663744005560726</v>
      </c>
    </row>
    <row r="4" spans="1:29" x14ac:dyDescent="0.35">
      <c r="A4" s="23"/>
      <c r="B4" s="16" t="s">
        <v>158</v>
      </c>
      <c r="C4" s="1">
        <v>76.67</v>
      </c>
      <c r="D4" s="1">
        <v>109.33</v>
      </c>
      <c r="E4" s="1">
        <v>1208.67</v>
      </c>
      <c r="F4" s="1">
        <v>1393.33</v>
      </c>
      <c r="G4" s="1">
        <v>1197.67</v>
      </c>
      <c r="H4" s="1">
        <v>3048</v>
      </c>
      <c r="I4" s="1">
        <v>365.33</v>
      </c>
      <c r="J4" s="1">
        <v>3741.67</v>
      </c>
      <c r="K4" s="1">
        <v>1548</v>
      </c>
      <c r="L4" s="1">
        <v>2583</v>
      </c>
      <c r="M4" s="1">
        <v>1244</v>
      </c>
      <c r="N4" s="1"/>
      <c r="O4" s="1"/>
      <c r="P4" s="1">
        <v>2315.33</v>
      </c>
      <c r="Q4" s="1">
        <v>184.33</v>
      </c>
      <c r="R4" s="1">
        <v>1503.67</v>
      </c>
      <c r="S4" s="1">
        <v>1341.33</v>
      </c>
      <c r="T4" s="1">
        <v>1166.33</v>
      </c>
      <c r="U4" s="1">
        <v>2608.67</v>
      </c>
      <c r="V4" s="1">
        <v>789.67</v>
      </c>
      <c r="W4" s="1">
        <v>625.33000000000004</v>
      </c>
      <c r="X4" s="1">
        <v>1502.33</v>
      </c>
      <c r="Y4" s="1">
        <v>717.67</v>
      </c>
      <c r="Z4" s="1">
        <v>1061.33</v>
      </c>
      <c r="AA4" s="1">
        <v>1093</v>
      </c>
      <c r="AB4" s="1">
        <v>273.33</v>
      </c>
      <c r="AC4" s="48">
        <f t="shared" ref="AC4:AC67" si="0">_xlfn.T.TEST(P4:AB4,C4:M4,2,2)</f>
        <v>0.40428994986975308</v>
      </c>
    </row>
    <row r="5" spans="1:29" x14ac:dyDescent="0.35">
      <c r="A5" s="23"/>
      <c r="B5" s="16" t="s">
        <v>158</v>
      </c>
      <c r="C5" s="1">
        <v>719.67</v>
      </c>
      <c r="D5" s="1">
        <v>386.67</v>
      </c>
      <c r="E5" s="1">
        <v>281.67</v>
      </c>
      <c r="F5" s="1">
        <v>2816.33</v>
      </c>
      <c r="G5" s="1">
        <v>359.67</v>
      </c>
      <c r="H5" s="1">
        <v>1593.67</v>
      </c>
      <c r="I5" s="1">
        <v>840.33</v>
      </c>
      <c r="J5" s="1">
        <v>1789.33</v>
      </c>
      <c r="K5" s="1">
        <v>1439.33</v>
      </c>
      <c r="L5" s="1">
        <v>1902</v>
      </c>
      <c r="M5" s="1">
        <v>1649</v>
      </c>
      <c r="N5" s="1"/>
      <c r="O5" s="1"/>
      <c r="P5" s="1">
        <v>1742</v>
      </c>
      <c r="Q5" s="1">
        <v>1277.67</v>
      </c>
      <c r="R5" s="1">
        <v>1319</v>
      </c>
      <c r="S5" s="1">
        <v>768</v>
      </c>
      <c r="T5" s="1">
        <v>974.67</v>
      </c>
      <c r="U5" s="1">
        <v>2212.33</v>
      </c>
      <c r="V5" s="1">
        <v>300</v>
      </c>
      <c r="W5" s="1">
        <v>1141</v>
      </c>
      <c r="X5" s="1">
        <v>1272</v>
      </c>
      <c r="Y5" s="1">
        <v>161.33000000000001</v>
      </c>
      <c r="Z5" s="1">
        <v>312.67</v>
      </c>
      <c r="AA5" s="1">
        <v>1706.33</v>
      </c>
      <c r="AB5" s="1">
        <v>404</v>
      </c>
      <c r="AC5" s="48">
        <f t="shared" si="0"/>
        <v>0.4870828981013493</v>
      </c>
    </row>
    <row r="6" spans="1:29" x14ac:dyDescent="0.35">
      <c r="A6" s="23"/>
      <c r="B6" s="16" t="s">
        <v>158</v>
      </c>
      <c r="C6" s="1">
        <v>183</v>
      </c>
      <c r="D6" s="1">
        <v>772.33</v>
      </c>
      <c r="E6" s="1">
        <v>91.67</v>
      </c>
      <c r="F6" s="1">
        <v>1447.33</v>
      </c>
      <c r="G6" s="1">
        <v>241</v>
      </c>
      <c r="H6" s="1">
        <v>1836</v>
      </c>
      <c r="I6" s="1">
        <v>400.67</v>
      </c>
      <c r="J6" s="1">
        <v>1389</v>
      </c>
      <c r="K6" s="1">
        <v>1364.67</v>
      </c>
      <c r="L6" s="1">
        <v>1256</v>
      </c>
      <c r="M6" s="1">
        <v>2879</v>
      </c>
      <c r="N6" s="1"/>
      <c r="O6" s="1"/>
      <c r="P6" s="1">
        <v>455.67</v>
      </c>
      <c r="Q6" s="1">
        <v>1415</v>
      </c>
      <c r="R6" s="1">
        <v>590.33000000000004</v>
      </c>
      <c r="S6" s="1">
        <v>773.33</v>
      </c>
      <c r="T6" s="1">
        <v>1065</v>
      </c>
      <c r="U6" s="1">
        <v>636.33000000000004</v>
      </c>
      <c r="V6" s="1">
        <v>328.33</v>
      </c>
      <c r="W6" s="1">
        <v>1524.33</v>
      </c>
      <c r="X6" s="1">
        <v>570</v>
      </c>
      <c r="Y6" s="1">
        <v>54</v>
      </c>
      <c r="Z6" s="1">
        <v>342.33</v>
      </c>
      <c r="AA6" s="1">
        <v>412.67</v>
      </c>
      <c r="AB6" s="1">
        <v>377.33</v>
      </c>
      <c r="AC6" s="48">
        <f t="shared" si="0"/>
        <v>0.1313881240813545</v>
      </c>
    </row>
    <row r="7" spans="1:29" x14ac:dyDescent="0.35">
      <c r="A7" s="23"/>
      <c r="B7" s="16" t="s">
        <v>158</v>
      </c>
      <c r="C7" s="1">
        <v>89</v>
      </c>
      <c r="D7" s="1">
        <v>631</v>
      </c>
      <c r="E7" s="1">
        <v>560</v>
      </c>
      <c r="F7" s="1">
        <v>427</v>
      </c>
      <c r="G7" s="1">
        <v>742.33</v>
      </c>
      <c r="H7" s="1">
        <v>808</v>
      </c>
      <c r="I7" s="1">
        <v>131</v>
      </c>
      <c r="J7" s="1">
        <v>2720.33</v>
      </c>
      <c r="K7" s="1">
        <v>1785.67</v>
      </c>
      <c r="L7" s="1">
        <v>339.33</v>
      </c>
      <c r="M7" s="1">
        <v>2063</v>
      </c>
      <c r="N7" s="1"/>
      <c r="O7" s="1"/>
      <c r="P7" s="1">
        <v>281.33</v>
      </c>
      <c r="Q7" s="1">
        <v>838.67</v>
      </c>
      <c r="R7" s="1">
        <v>594.66999999999996</v>
      </c>
      <c r="S7" s="1">
        <v>1189.33</v>
      </c>
      <c r="T7" s="1">
        <v>949.33</v>
      </c>
      <c r="U7" s="1">
        <v>282.33</v>
      </c>
      <c r="V7" s="1">
        <v>104.67</v>
      </c>
      <c r="W7" s="1">
        <v>201.33</v>
      </c>
      <c r="X7" s="1">
        <v>484.33</v>
      </c>
      <c r="Y7" s="1">
        <v>102.33</v>
      </c>
      <c r="Z7" s="1">
        <v>376.67</v>
      </c>
      <c r="AA7" s="1">
        <v>642</v>
      </c>
      <c r="AB7" s="1">
        <v>27.67</v>
      </c>
      <c r="AC7" s="48">
        <f t="shared" si="0"/>
        <v>8.7207753146578956E-2</v>
      </c>
    </row>
    <row r="8" spans="1:29" x14ac:dyDescent="0.35">
      <c r="A8" s="23"/>
      <c r="B8" s="16" t="s">
        <v>158</v>
      </c>
      <c r="C8" s="1">
        <v>369</v>
      </c>
      <c r="D8" s="1">
        <v>90.33</v>
      </c>
      <c r="E8" s="1">
        <v>1647.67</v>
      </c>
      <c r="F8" s="1">
        <v>370.67</v>
      </c>
      <c r="G8" s="1">
        <v>420.33</v>
      </c>
      <c r="H8" s="1">
        <v>366.67</v>
      </c>
      <c r="I8" s="1">
        <v>11.67</v>
      </c>
      <c r="J8" s="1">
        <v>2814.33</v>
      </c>
      <c r="K8" s="1">
        <v>318</v>
      </c>
      <c r="L8" s="1">
        <v>757.33</v>
      </c>
      <c r="M8" s="1">
        <v>418.33</v>
      </c>
      <c r="N8" s="1"/>
      <c r="O8" s="1"/>
      <c r="P8" s="1">
        <v>119</v>
      </c>
      <c r="Q8" s="1">
        <v>432.33</v>
      </c>
      <c r="R8" s="1">
        <v>1638</v>
      </c>
      <c r="S8" s="1">
        <v>583</v>
      </c>
      <c r="T8" s="1">
        <v>306.33</v>
      </c>
      <c r="U8" s="1">
        <v>280.67</v>
      </c>
      <c r="V8" s="1">
        <v>134.66999999999999</v>
      </c>
      <c r="W8" s="1">
        <v>149</v>
      </c>
      <c r="X8" s="1">
        <v>191</v>
      </c>
      <c r="Y8" s="1">
        <v>62.33</v>
      </c>
      <c r="Z8" s="1">
        <v>187</v>
      </c>
      <c r="AA8" s="1">
        <v>284.67</v>
      </c>
      <c r="AB8" s="1">
        <v>27.33</v>
      </c>
      <c r="AC8" s="48">
        <f t="shared" si="0"/>
        <v>0.19256528725647545</v>
      </c>
    </row>
    <row r="9" spans="1:29" x14ac:dyDescent="0.35">
      <c r="A9" s="23" t="s">
        <v>4587</v>
      </c>
      <c r="B9" s="16" t="s">
        <v>158</v>
      </c>
      <c r="C9" s="1">
        <v>479.67</v>
      </c>
      <c r="D9" s="1">
        <v>200.33</v>
      </c>
      <c r="E9" s="1">
        <v>599</v>
      </c>
      <c r="F9" s="1">
        <v>522.66999999999996</v>
      </c>
      <c r="G9" s="1">
        <v>91.33</v>
      </c>
      <c r="H9" s="1">
        <v>37.33</v>
      </c>
      <c r="I9" s="1">
        <v>25.67</v>
      </c>
      <c r="J9" s="1">
        <v>1205</v>
      </c>
      <c r="K9" s="1">
        <v>499</v>
      </c>
      <c r="L9" s="1">
        <v>916</v>
      </c>
      <c r="M9" s="1">
        <v>46.33</v>
      </c>
      <c r="N9" s="1"/>
      <c r="O9" s="1"/>
      <c r="P9" s="1">
        <v>434</v>
      </c>
      <c r="Q9" s="1">
        <v>304.67</v>
      </c>
      <c r="R9" s="1">
        <v>1132.67</v>
      </c>
      <c r="S9" s="1">
        <v>136.33000000000001</v>
      </c>
      <c r="T9" s="1">
        <v>598</v>
      </c>
      <c r="U9" s="1">
        <v>419.67</v>
      </c>
      <c r="V9" s="1">
        <v>838</v>
      </c>
      <c r="W9" s="1">
        <v>969.67</v>
      </c>
      <c r="X9" s="1">
        <v>104</v>
      </c>
      <c r="Y9" s="1">
        <v>286</v>
      </c>
      <c r="Z9" s="1">
        <v>525.66999999999996</v>
      </c>
      <c r="AA9" s="1">
        <v>72.67</v>
      </c>
      <c r="AB9" s="1">
        <v>106</v>
      </c>
      <c r="AC9" s="48">
        <f t="shared" si="0"/>
        <v>0.81404052008140138</v>
      </c>
    </row>
    <row r="10" spans="1:29" x14ac:dyDescent="0.35">
      <c r="A10" s="23"/>
      <c r="B10" s="16" t="s">
        <v>158</v>
      </c>
      <c r="C10" s="1">
        <v>166.67</v>
      </c>
      <c r="D10" s="1">
        <v>107.33</v>
      </c>
      <c r="E10" s="1">
        <v>362.33</v>
      </c>
      <c r="F10" s="1">
        <v>57.33</v>
      </c>
      <c r="G10" s="1">
        <v>60.33</v>
      </c>
      <c r="H10" s="1">
        <v>49.67</v>
      </c>
      <c r="I10" s="1">
        <v>25.67</v>
      </c>
      <c r="J10" s="1">
        <v>499.67</v>
      </c>
      <c r="K10" s="1">
        <v>371.67</v>
      </c>
      <c r="L10" s="1">
        <v>1780.33</v>
      </c>
      <c r="M10" s="1">
        <v>242.33</v>
      </c>
      <c r="N10" s="1"/>
      <c r="O10" s="1"/>
      <c r="P10" s="1">
        <v>142</v>
      </c>
      <c r="Q10" s="1">
        <v>95.33</v>
      </c>
      <c r="R10" s="1">
        <v>430.33</v>
      </c>
      <c r="S10" s="1">
        <v>169.33</v>
      </c>
      <c r="T10" s="1">
        <v>485.67</v>
      </c>
      <c r="U10" s="1">
        <v>160.33000000000001</v>
      </c>
      <c r="V10" s="1">
        <v>231.67</v>
      </c>
      <c r="W10" s="1">
        <v>389.33</v>
      </c>
      <c r="X10" s="1">
        <v>51</v>
      </c>
      <c r="Y10" s="1">
        <v>608.33000000000004</v>
      </c>
      <c r="Z10" s="1">
        <v>244.33</v>
      </c>
      <c r="AA10" s="1">
        <v>117.67</v>
      </c>
      <c r="AB10" s="1">
        <v>192</v>
      </c>
      <c r="AC10" s="48">
        <f t="shared" si="0"/>
        <v>0.57997486813589039</v>
      </c>
    </row>
    <row r="11" spans="1:29" x14ac:dyDescent="0.35">
      <c r="A11" s="23"/>
      <c r="B11" s="16" t="s">
        <v>158</v>
      </c>
      <c r="C11" s="1">
        <v>112.33</v>
      </c>
      <c r="D11" s="1">
        <v>221.67</v>
      </c>
      <c r="E11" s="1">
        <v>148.66999999999999</v>
      </c>
      <c r="F11" s="1">
        <v>235.33</v>
      </c>
      <c r="G11" s="1">
        <v>75.33</v>
      </c>
      <c r="H11" s="1">
        <v>221.33</v>
      </c>
      <c r="I11" s="1">
        <v>211</v>
      </c>
      <c r="J11" s="1">
        <v>688.33</v>
      </c>
      <c r="K11" s="1">
        <v>267.33</v>
      </c>
      <c r="L11" s="1">
        <v>731.67</v>
      </c>
      <c r="M11" s="1">
        <v>105</v>
      </c>
      <c r="N11" s="1"/>
      <c r="O11" s="1"/>
      <c r="P11" s="1">
        <v>183.67</v>
      </c>
      <c r="Q11" s="1">
        <v>189.33</v>
      </c>
      <c r="R11" s="1">
        <v>1035</v>
      </c>
      <c r="S11" s="1">
        <v>221.67</v>
      </c>
      <c r="T11" s="1">
        <v>318</v>
      </c>
      <c r="U11" s="1">
        <v>549.66999999999996</v>
      </c>
      <c r="V11" s="1">
        <v>155</v>
      </c>
      <c r="W11" s="1">
        <v>256.33</v>
      </c>
      <c r="X11" s="1">
        <v>259.33</v>
      </c>
      <c r="Y11" s="1">
        <v>439.33</v>
      </c>
      <c r="Z11" s="1">
        <v>393</v>
      </c>
      <c r="AA11" s="1">
        <v>453</v>
      </c>
      <c r="AB11" s="1">
        <v>84.67</v>
      </c>
      <c r="AC11" s="48">
        <f t="shared" si="0"/>
        <v>0.44835834715293599</v>
      </c>
    </row>
    <row r="12" spans="1:29" x14ac:dyDescent="0.35">
      <c r="A12" s="23"/>
      <c r="B12" s="16" t="s">
        <v>158</v>
      </c>
      <c r="C12" s="1">
        <v>325</v>
      </c>
      <c r="D12" s="1">
        <v>210.33</v>
      </c>
      <c r="E12" s="1">
        <v>249.33</v>
      </c>
      <c r="F12" s="1">
        <v>302.67</v>
      </c>
      <c r="G12" s="1">
        <v>43.33</v>
      </c>
      <c r="H12" s="1">
        <v>465.67</v>
      </c>
      <c r="I12" s="1">
        <v>217</v>
      </c>
      <c r="J12" s="1">
        <v>570.33000000000004</v>
      </c>
      <c r="K12" s="1">
        <v>358</v>
      </c>
      <c r="L12" s="1">
        <v>150.33000000000001</v>
      </c>
      <c r="M12" s="1">
        <v>265.33</v>
      </c>
      <c r="N12" s="1"/>
      <c r="O12" s="1"/>
      <c r="P12" s="1">
        <v>344.33</v>
      </c>
      <c r="Q12" s="1">
        <v>318.67</v>
      </c>
      <c r="R12" s="1">
        <v>875</v>
      </c>
      <c r="S12" s="1">
        <v>334.67</v>
      </c>
      <c r="T12" s="1">
        <v>1018</v>
      </c>
      <c r="U12" s="1">
        <v>251.67</v>
      </c>
      <c r="V12" s="1">
        <v>92.67</v>
      </c>
      <c r="W12" s="1">
        <v>199.67</v>
      </c>
      <c r="X12" s="1">
        <v>785.33</v>
      </c>
      <c r="Y12" s="1">
        <v>183.33</v>
      </c>
      <c r="Z12" s="1">
        <v>648</v>
      </c>
      <c r="AA12" s="1">
        <v>217</v>
      </c>
      <c r="AB12" s="1">
        <v>429.33</v>
      </c>
      <c r="AC12" s="48">
        <f t="shared" si="0"/>
        <v>0.13715542662673047</v>
      </c>
    </row>
    <row r="13" spans="1:29" x14ac:dyDescent="0.35">
      <c r="A13" s="23"/>
      <c r="B13" s="16" t="s">
        <v>158</v>
      </c>
      <c r="C13" s="1">
        <v>383</v>
      </c>
      <c r="D13" s="1">
        <v>122.33</v>
      </c>
      <c r="E13" s="1">
        <v>169.67</v>
      </c>
      <c r="F13" s="1">
        <v>625</v>
      </c>
      <c r="G13" s="1">
        <v>68</v>
      </c>
      <c r="H13" s="1">
        <v>626.66999999999996</v>
      </c>
      <c r="I13" s="1">
        <v>20</v>
      </c>
      <c r="J13" s="1">
        <v>1861.67</v>
      </c>
      <c r="K13" s="1">
        <v>495</v>
      </c>
      <c r="L13" s="1">
        <v>694</v>
      </c>
      <c r="M13" s="1">
        <v>194.67</v>
      </c>
      <c r="N13" s="1"/>
      <c r="O13" s="1"/>
      <c r="P13" s="1">
        <v>399</v>
      </c>
      <c r="Q13" s="1">
        <v>596.66999999999996</v>
      </c>
      <c r="R13" s="1">
        <v>439.33</v>
      </c>
      <c r="S13" s="1">
        <v>464.67</v>
      </c>
      <c r="T13" s="1">
        <v>474.67</v>
      </c>
      <c r="U13" s="1">
        <v>551.66999999999996</v>
      </c>
      <c r="V13" s="1">
        <v>362.33</v>
      </c>
      <c r="W13" s="1">
        <v>341</v>
      </c>
      <c r="X13" s="1">
        <v>216.33</v>
      </c>
      <c r="Y13" s="1">
        <v>233.67</v>
      </c>
      <c r="Z13" s="1">
        <v>314</v>
      </c>
      <c r="AA13" s="1">
        <v>155.66999999999999</v>
      </c>
      <c r="AB13" s="1">
        <v>933</v>
      </c>
      <c r="AC13" s="48">
        <f t="shared" si="0"/>
        <v>0.72022963229920589</v>
      </c>
    </row>
    <row r="14" spans="1:29" x14ac:dyDescent="0.35">
      <c r="A14" s="23"/>
      <c r="B14" s="16" t="s">
        <v>158</v>
      </c>
      <c r="C14" s="1">
        <v>60</v>
      </c>
      <c r="D14" s="1">
        <v>355</v>
      </c>
      <c r="E14" s="1">
        <v>121</v>
      </c>
      <c r="F14" s="1">
        <v>331.67</v>
      </c>
      <c r="G14" s="1">
        <v>251</v>
      </c>
      <c r="H14" s="1">
        <v>359.67</v>
      </c>
      <c r="I14" s="1">
        <v>34.33</v>
      </c>
      <c r="J14" s="1">
        <v>1701.67</v>
      </c>
      <c r="K14" s="1">
        <v>831</v>
      </c>
      <c r="L14" s="1">
        <v>486</v>
      </c>
      <c r="M14" s="1">
        <v>318.67</v>
      </c>
      <c r="N14" s="1"/>
      <c r="O14" s="1"/>
      <c r="P14" s="1">
        <v>92.67</v>
      </c>
      <c r="Q14" s="1">
        <v>223</v>
      </c>
      <c r="R14" s="1">
        <v>653.33000000000004</v>
      </c>
      <c r="S14" s="1">
        <v>361</v>
      </c>
      <c r="T14" s="1">
        <v>272</v>
      </c>
      <c r="U14" s="1">
        <v>336.67</v>
      </c>
      <c r="V14" s="1">
        <v>181.67</v>
      </c>
      <c r="W14" s="1">
        <v>357</v>
      </c>
      <c r="X14" s="1">
        <v>167</v>
      </c>
      <c r="Y14" s="1">
        <v>246</v>
      </c>
      <c r="Z14" s="1">
        <v>40</v>
      </c>
      <c r="AA14" s="1">
        <v>387.67</v>
      </c>
      <c r="AB14" s="1">
        <v>733.33</v>
      </c>
      <c r="AC14" s="48">
        <f t="shared" si="0"/>
        <v>0.3785489967085548</v>
      </c>
    </row>
    <row r="15" spans="1:29" x14ac:dyDescent="0.35">
      <c r="A15" s="23"/>
      <c r="B15" s="16" t="s">
        <v>158</v>
      </c>
      <c r="C15" s="1">
        <v>45.33</v>
      </c>
      <c r="D15" s="1">
        <v>224.33</v>
      </c>
      <c r="E15" s="1">
        <v>580.66999999999996</v>
      </c>
      <c r="F15" s="1">
        <v>311.33</v>
      </c>
      <c r="G15" s="1">
        <v>42.67</v>
      </c>
      <c r="H15" s="1">
        <v>225.67</v>
      </c>
      <c r="I15" s="1">
        <v>31.33</v>
      </c>
      <c r="J15" s="1">
        <v>363.67</v>
      </c>
      <c r="K15" s="1">
        <v>717</v>
      </c>
      <c r="L15" s="1">
        <v>509.33</v>
      </c>
      <c r="M15" s="1">
        <v>612.33000000000004</v>
      </c>
      <c r="N15" s="1"/>
      <c r="O15" s="1"/>
      <c r="P15" s="1">
        <v>200.33</v>
      </c>
      <c r="Q15" s="1">
        <v>127.67</v>
      </c>
      <c r="R15" s="1">
        <v>776.67</v>
      </c>
      <c r="S15" s="1">
        <v>325</v>
      </c>
      <c r="T15" s="1">
        <v>459.67</v>
      </c>
      <c r="U15" s="1">
        <v>69.67</v>
      </c>
      <c r="V15" s="1">
        <v>209.67</v>
      </c>
      <c r="W15" s="1">
        <v>640.66999999999996</v>
      </c>
      <c r="X15" s="1">
        <v>130</v>
      </c>
      <c r="Y15" s="1">
        <v>105.33</v>
      </c>
      <c r="Z15" s="1">
        <v>383</v>
      </c>
      <c r="AA15" s="1">
        <v>420</v>
      </c>
      <c r="AB15" s="1">
        <v>190.67</v>
      </c>
      <c r="AC15" s="48">
        <f t="shared" si="0"/>
        <v>0.81459216584018979</v>
      </c>
    </row>
    <row r="16" spans="1:29" x14ac:dyDescent="0.35">
      <c r="A16" s="23" t="s">
        <v>4589</v>
      </c>
      <c r="B16" s="16" t="s">
        <v>158</v>
      </c>
      <c r="C16" s="1">
        <v>131.33000000000001</v>
      </c>
      <c r="D16" s="1">
        <v>148.33000000000001</v>
      </c>
      <c r="E16" s="1">
        <v>68.67</v>
      </c>
      <c r="F16" s="1">
        <v>65.67</v>
      </c>
      <c r="G16" s="1">
        <v>326.33</v>
      </c>
      <c r="H16" s="1">
        <v>222.67</v>
      </c>
      <c r="I16" s="1">
        <v>122.33</v>
      </c>
      <c r="J16" s="1">
        <v>393.67</v>
      </c>
      <c r="K16" s="1">
        <v>467.33</v>
      </c>
      <c r="L16" s="1">
        <v>778.67</v>
      </c>
      <c r="M16" s="1">
        <v>205.67</v>
      </c>
      <c r="N16" s="1"/>
      <c r="O16" s="1"/>
      <c r="P16" s="1">
        <v>602.33000000000004</v>
      </c>
      <c r="Q16" s="1">
        <v>140</v>
      </c>
      <c r="R16" s="1">
        <v>101.67</v>
      </c>
      <c r="S16" s="1">
        <v>68</v>
      </c>
      <c r="T16" s="1">
        <v>100.33</v>
      </c>
      <c r="U16" s="1">
        <v>165.33</v>
      </c>
      <c r="V16" s="1">
        <v>367.33</v>
      </c>
      <c r="W16" s="1">
        <v>190</v>
      </c>
      <c r="X16" s="1">
        <v>267</v>
      </c>
      <c r="Y16" s="1">
        <v>262.67</v>
      </c>
      <c r="Z16" s="1">
        <v>419.33</v>
      </c>
      <c r="AA16" s="1">
        <v>425.67</v>
      </c>
      <c r="AB16" s="1">
        <v>35.33</v>
      </c>
      <c r="AC16" s="48">
        <f t="shared" si="0"/>
        <v>0.75733703101592842</v>
      </c>
    </row>
    <row r="17" spans="1:29" x14ac:dyDescent="0.35">
      <c r="A17" s="23"/>
      <c r="B17" s="16" t="s">
        <v>158</v>
      </c>
      <c r="C17" s="1">
        <v>181.5</v>
      </c>
      <c r="D17" s="1">
        <v>57.5</v>
      </c>
      <c r="E17" s="1">
        <v>128</v>
      </c>
      <c r="F17" s="1">
        <v>105.67</v>
      </c>
      <c r="G17" s="1">
        <v>446.67</v>
      </c>
      <c r="H17" s="1">
        <v>111.67</v>
      </c>
      <c r="I17" s="1">
        <v>437.67</v>
      </c>
      <c r="J17" s="1">
        <v>600</v>
      </c>
      <c r="K17" s="1">
        <v>332.33</v>
      </c>
      <c r="L17" s="1">
        <v>726.67</v>
      </c>
      <c r="M17" s="1">
        <v>583.66999999999996</v>
      </c>
      <c r="N17" s="1"/>
      <c r="O17" s="1"/>
      <c r="P17" s="1">
        <v>212.33</v>
      </c>
      <c r="Q17" s="1">
        <v>56</v>
      </c>
      <c r="R17" s="1">
        <v>417.33</v>
      </c>
      <c r="S17" s="1">
        <v>315.33</v>
      </c>
      <c r="T17" s="1">
        <v>199</v>
      </c>
      <c r="U17" s="1">
        <v>417</v>
      </c>
      <c r="V17" s="1">
        <v>166.67</v>
      </c>
      <c r="W17" s="1">
        <v>98.33</v>
      </c>
      <c r="X17" s="1">
        <v>228.5</v>
      </c>
      <c r="Y17" s="1">
        <v>190.5</v>
      </c>
      <c r="Z17" s="1">
        <v>216</v>
      </c>
      <c r="AA17" s="1">
        <v>99.5</v>
      </c>
      <c r="AB17" s="1">
        <v>44.5</v>
      </c>
      <c r="AC17" s="48">
        <f t="shared" si="0"/>
        <v>8.9067058266881979E-2</v>
      </c>
    </row>
    <row r="18" spans="1:29" x14ac:dyDescent="0.35">
      <c r="A18" s="23"/>
      <c r="B18" s="16" t="s">
        <v>158</v>
      </c>
      <c r="C18" s="1">
        <v>216.5</v>
      </c>
      <c r="D18" s="1">
        <v>174</v>
      </c>
      <c r="E18" s="1">
        <v>421.5</v>
      </c>
      <c r="F18" s="1">
        <v>88.67</v>
      </c>
      <c r="G18" s="1">
        <v>496.33</v>
      </c>
      <c r="H18" s="1">
        <v>202.33</v>
      </c>
      <c r="I18" s="1">
        <v>382</v>
      </c>
      <c r="J18" s="1">
        <v>407.33</v>
      </c>
      <c r="K18" s="1">
        <v>276.33</v>
      </c>
      <c r="L18" s="1">
        <v>217</v>
      </c>
      <c r="M18" s="1">
        <v>148.33000000000001</v>
      </c>
      <c r="N18" s="1"/>
      <c r="O18" s="1"/>
      <c r="P18" s="1">
        <v>62.67</v>
      </c>
      <c r="Q18" s="1">
        <v>113</v>
      </c>
      <c r="R18" s="1">
        <v>296</v>
      </c>
      <c r="S18" s="1">
        <v>383.33</v>
      </c>
      <c r="T18" s="1">
        <v>349.33</v>
      </c>
      <c r="U18" s="1">
        <v>100.33</v>
      </c>
      <c r="V18" s="1">
        <v>51</v>
      </c>
      <c r="W18" s="1">
        <v>702</v>
      </c>
      <c r="X18" s="1">
        <v>106</v>
      </c>
      <c r="Y18" s="1">
        <v>61.5</v>
      </c>
      <c r="Z18" s="1">
        <v>34.5</v>
      </c>
      <c r="AA18" s="1">
        <v>118.5</v>
      </c>
      <c r="AB18" s="1">
        <v>39</v>
      </c>
      <c r="AC18" s="48">
        <f t="shared" si="0"/>
        <v>0.21109889880496011</v>
      </c>
    </row>
    <row r="19" spans="1:29" x14ac:dyDescent="0.35">
      <c r="A19" s="23"/>
      <c r="B19" s="16" t="s">
        <v>158</v>
      </c>
      <c r="C19" s="1">
        <v>378</v>
      </c>
      <c r="D19" s="1">
        <v>678</v>
      </c>
      <c r="E19" s="1">
        <v>346.5</v>
      </c>
      <c r="F19" s="1">
        <v>428.67</v>
      </c>
      <c r="G19" s="1">
        <v>348.33</v>
      </c>
      <c r="H19" s="1">
        <v>268</v>
      </c>
      <c r="I19" s="1">
        <v>82</v>
      </c>
      <c r="J19" s="1">
        <v>969.67</v>
      </c>
      <c r="K19" s="1">
        <v>350.67</v>
      </c>
      <c r="L19" s="1">
        <v>626.66999999999996</v>
      </c>
      <c r="M19" s="1">
        <v>53.67</v>
      </c>
      <c r="N19" s="1"/>
      <c r="O19" s="1"/>
      <c r="P19" s="1">
        <v>178</v>
      </c>
      <c r="Q19" s="1">
        <v>354.33</v>
      </c>
      <c r="R19" s="1">
        <v>851.67</v>
      </c>
      <c r="S19" s="1">
        <v>380</v>
      </c>
      <c r="T19" s="1">
        <v>616</v>
      </c>
      <c r="U19" s="1">
        <v>123</v>
      </c>
      <c r="V19" s="1">
        <v>281.33</v>
      </c>
      <c r="W19" s="1">
        <v>166.67</v>
      </c>
      <c r="X19" s="1">
        <v>83</v>
      </c>
      <c r="Y19" s="1">
        <v>108</v>
      </c>
      <c r="Z19" s="1">
        <v>79.5</v>
      </c>
      <c r="AA19" s="1">
        <v>903</v>
      </c>
      <c r="AB19" s="1">
        <v>218</v>
      </c>
      <c r="AC19" s="48">
        <f t="shared" si="0"/>
        <v>0.49725536270349513</v>
      </c>
    </row>
    <row r="20" spans="1:29" x14ac:dyDescent="0.35">
      <c r="A20" s="23"/>
      <c r="B20" s="16" t="s">
        <v>158</v>
      </c>
      <c r="C20" s="1">
        <v>146.5</v>
      </c>
      <c r="D20" s="1">
        <v>104.5</v>
      </c>
      <c r="E20" s="1">
        <v>733.5</v>
      </c>
      <c r="F20" s="1">
        <v>842</v>
      </c>
      <c r="G20" s="1">
        <v>77.33</v>
      </c>
      <c r="H20" s="1">
        <v>212.67</v>
      </c>
      <c r="I20" s="1">
        <v>19.329999999999998</v>
      </c>
      <c r="J20" s="1">
        <v>333.33</v>
      </c>
      <c r="K20" s="1">
        <v>264.33</v>
      </c>
      <c r="L20" s="1">
        <v>396.67</v>
      </c>
      <c r="M20" s="1">
        <v>574.33000000000004</v>
      </c>
      <c r="N20" s="1"/>
      <c r="O20" s="1"/>
      <c r="P20" s="1">
        <v>673</v>
      </c>
      <c r="Q20" s="1">
        <v>371.33</v>
      </c>
      <c r="R20" s="1">
        <v>500.33</v>
      </c>
      <c r="S20" s="1">
        <v>120.67</v>
      </c>
      <c r="T20" s="1">
        <v>126.33</v>
      </c>
      <c r="U20" s="1">
        <v>683</v>
      </c>
      <c r="V20" s="1">
        <v>810</v>
      </c>
      <c r="W20" s="1">
        <v>272.67</v>
      </c>
      <c r="X20" s="1">
        <v>884</v>
      </c>
      <c r="Y20" s="1">
        <v>60</v>
      </c>
      <c r="Z20" s="1">
        <v>214</v>
      </c>
      <c r="AA20" s="1">
        <v>126.5</v>
      </c>
      <c r="AB20" s="1">
        <v>454</v>
      </c>
      <c r="AC20" s="48">
        <f t="shared" si="0"/>
        <v>0.54351074078486572</v>
      </c>
    </row>
    <row r="21" spans="1:29" x14ac:dyDescent="0.35">
      <c r="A21" s="23"/>
      <c r="B21" s="16" t="s">
        <v>158</v>
      </c>
      <c r="C21" s="1">
        <v>353.5</v>
      </c>
      <c r="D21" s="1">
        <v>218.5</v>
      </c>
      <c r="E21" s="1">
        <v>274</v>
      </c>
      <c r="F21" s="1">
        <v>1009.33</v>
      </c>
      <c r="G21" s="1">
        <v>264.67</v>
      </c>
      <c r="H21" s="1">
        <v>146</v>
      </c>
      <c r="I21" s="1">
        <v>127</v>
      </c>
      <c r="J21" s="1">
        <v>146</v>
      </c>
      <c r="K21" s="1">
        <v>435</v>
      </c>
      <c r="L21" s="1">
        <v>1086.33</v>
      </c>
      <c r="M21" s="1">
        <v>408.33</v>
      </c>
      <c r="N21" s="1"/>
      <c r="O21" s="1"/>
      <c r="P21" s="1">
        <v>194.67</v>
      </c>
      <c r="Q21" s="1">
        <v>591.33000000000004</v>
      </c>
      <c r="R21" s="1">
        <v>276.33</v>
      </c>
      <c r="S21" s="1">
        <v>271</v>
      </c>
      <c r="T21" s="1">
        <v>116.67</v>
      </c>
      <c r="U21" s="1">
        <v>649.33000000000004</v>
      </c>
      <c r="V21" s="1">
        <v>213.67</v>
      </c>
      <c r="W21" s="1">
        <v>614.66999999999996</v>
      </c>
      <c r="X21" s="1">
        <v>736</v>
      </c>
      <c r="Y21" s="1">
        <v>75</v>
      </c>
      <c r="Z21" s="1">
        <v>469.5</v>
      </c>
      <c r="AA21" s="1">
        <v>58</v>
      </c>
      <c r="AB21" s="1">
        <v>466</v>
      </c>
      <c r="AC21" s="48">
        <f t="shared" si="0"/>
        <v>0.72035882893375192</v>
      </c>
    </row>
    <row r="22" spans="1:29" x14ac:dyDescent="0.35">
      <c r="A22" s="23"/>
      <c r="B22" s="16" t="s">
        <v>158</v>
      </c>
      <c r="C22" s="1">
        <v>53.5</v>
      </c>
      <c r="D22" s="1">
        <v>234.5</v>
      </c>
      <c r="E22" s="1">
        <v>184.5</v>
      </c>
      <c r="F22" s="1">
        <v>627.66999999999996</v>
      </c>
      <c r="G22" s="1">
        <v>376</v>
      </c>
      <c r="H22" s="1">
        <v>26.67</v>
      </c>
      <c r="I22" s="1">
        <v>330</v>
      </c>
      <c r="J22" s="1">
        <v>973.67</v>
      </c>
      <c r="K22" s="1">
        <v>374.33</v>
      </c>
      <c r="L22" s="1">
        <v>527</v>
      </c>
      <c r="M22" s="1">
        <v>328</v>
      </c>
      <c r="N22" s="1"/>
      <c r="O22" s="1"/>
      <c r="P22" s="1">
        <v>98</v>
      </c>
      <c r="Q22" s="1">
        <v>200.67</v>
      </c>
      <c r="R22" s="1">
        <v>253</v>
      </c>
      <c r="S22" s="1">
        <v>149</v>
      </c>
      <c r="T22" s="1">
        <v>754</v>
      </c>
      <c r="U22" s="1">
        <v>149.66999999999999</v>
      </c>
      <c r="V22" s="1">
        <v>404.33</v>
      </c>
      <c r="W22" s="1">
        <v>294</v>
      </c>
      <c r="X22" s="1">
        <v>75.5</v>
      </c>
      <c r="Y22" s="1">
        <v>531.5</v>
      </c>
      <c r="Z22" s="1">
        <v>145.5</v>
      </c>
      <c r="AA22" s="1">
        <v>63.5</v>
      </c>
      <c r="AB22" s="1">
        <v>126.5</v>
      </c>
      <c r="AC22" s="48">
        <f t="shared" si="0"/>
        <v>0.23812803353711132</v>
      </c>
    </row>
    <row r="23" spans="1:29" x14ac:dyDescent="0.35">
      <c r="A23" s="23" t="s">
        <v>4591</v>
      </c>
      <c r="B23" s="16" t="s">
        <v>158</v>
      </c>
      <c r="C23" s="1">
        <v>60.5</v>
      </c>
      <c r="D23" s="1">
        <v>35.5</v>
      </c>
      <c r="E23" s="1">
        <v>573</v>
      </c>
      <c r="F23" s="1">
        <v>324.5</v>
      </c>
      <c r="G23" s="1">
        <v>518</v>
      </c>
      <c r="H23" s="1">
        <v>75</v>
      </c>
      <c r="I23" s="1">
        <v>270.5</v>
      </c>
      <c r="J23" s="1">
        <v>1170</v>
      </c>
      <c r="K23" s="1">
        <v>407.5</v>
      </c>
      <c r="L23" s="1">
        <v>1021</v>
      </c>
      <c r="M23" s="1">
        <v>222</v>
      </c>
      <c r="N23" s="1"/>
      <c r="O23" s="1"/>
      <c r="P23" s="1">
        <v>55.5</v>
      </c>
      <c r="Q23" s="1">
        <v>175.5</v>
      </c>
      <c r="R23" s="1">
        <v>1222</v>
      </c>
      <c r="S23" s="1">
        <v>43.5</v>
      </c>
      <c r="T23" s="1">
        <v>245.5</v>
      </c>
      <c r="U23" s="1">
        <v>92.5</v>
      </c>
      <c r="V23" s="1">
        <v>196</v>
      </c>
      <c r="W23" s="1">
        <v>37.5</v>
      </c>
      <c r="X23" s="1">
        <v>24</v>
      </c>
      <c r="Y23" s="1">
        <v>663</v>
      </c>
      <c r="Z23" s="1">
        <v>833.5</v>
      </c>
      <c r="AA23" s="1">
        <v>515</v>
      </c>
      <c r="AB23" s="1">
        <v>592.5</v>
      </c>
      <c r="AC23" s="48">
        <f t="shared" si="0"/>
        <v>0.68209729273556519</v>
      </c>
    </row>
    <row r="24" spans="1:29" x14ac:dyDescent="0.35">
      <c r="A24" s="23"/>
      <c r="B24" s="16" t="s">
        <v>158</v>
      </c>
      <c r="C24" s="1">
        <v>434</v>
      </c>
      <c r="D24" s="1">
        <v>533.5</v>
      </c>
      <c r="E24" s="1">
        <v>617.5</v>
      </c>
      <c r="F24" s="1">
        <v>120</v>
      </c>
      <c r="G24" s="1">
        <v>355.5</v>
      </c>
      <c r="H24" s="1">
        <v>98.5</v>
      </c>
      <c r="I24" s="1">
        <v>42</v>
      </c>
      <c r="J24" s="1">
        <v>899</v>
      </c>
      <c r="K24" s="1">
        <v>324.5</v>
      </c>
      <c r="L24" s="1">
        <v>330</v>
      </c>
      <c r="M24" s="1">
        <v>35</v>
      </c>
      <c r="N24" s="1"/>
      <c r="O24" s="1"/>
      <c r="P24" s="1">
        <v>324.5</v>
      </c>
      <c r="Q24" s="1">
        <v>328.5</v>
      </c>
      <c r="R24" s="1">
        <v>446.5</v>
      </c>
      <c r="S24" s="1">
        <v>466.5</v>
      </c>
      <c r="T24" s="1">
        <v>199</v>
      </c>
      <c r="U24" s="1">
        <v>413</v>
      </c>
      <c r="V24" s="1">
        <v>202</v>
      </c>
      <c r="W24" s="1">
        <v>854.5</v>
      </c>
      <c r="X24" s="1">
        <v>293</v>
      </c>
      <c r="Y24" s="1">
        <v>282.5</v>
      </c>
      <c r="Z24" s="1">
        <v>633.5</v>
      </c>
      <c r="AA24" s="1">
        <v>470</v>
      </c>
      <c r="AB24" s="1">
        <v>111.5</v>
      </c>
      <c r="AC24" s="48">
        <f t="shared" si="0"/>
        <v>0.66388884948414773</v>
      </c>
    </row>
    <row r="25" spans="1:29" x14ac:dyDescent="0.35">
      <c r="A25" s="23"/>
      <c r="B25" s="16" t="s">
        <v>158</v>
      </c>
      <c r="C25" s="1">
        <v>495.5</v>
      </c>
      <c r="D25" s="1">
        <v>246</v>
      </c>
      <c r="E25" s="1">
        <v>61.5</v>
      </c>
      <c r="F25" s="1">
        <v>67.5</v>
      </c>
      <c r="G25" s="1">
        <v>551.5</v>
      </c>
      <c r="H25" s="1">
        <v>1079</v>
      </c>
      <c r="I25" s="1">
        <v>50</v>
      </c>
      <c r="J25" s="1">
        <v>279</v>
      </c>
      <c r="K25" s="1">
        <v>169.5</v>
      </c>
      <c r="L25" s="1">
        <v>111</v>
      </c>
      <c r="M25" s="1">
        <v>366.5</v>
      </c>
      <c r="N25" s="1"/>
      <c r="O25" s="1"/>
      <c r="P25" s="1">
        <v>165.5</v>
      </c>
      <c r="Q25" s="1">
        <v>86</v>
      </c>
      <c r="R25" s="1">
        <v>173</v>
      </c>
      <c r="S25" s="1">
        <v>628</v>
      </c>
      <c r="T25" s="1">
        <v>158</v>
      </c>
      <c r="U25" s="1">
        <v>319.5</v>
      </c>
      <c r="V25" s="1">
        <v>37.5</v>
      </c>
      <c r="W25" s="1">
        <v>321</v>
      </c>
      <c r="X25" s="1">
        <v>60.5</v>
      </c>
      <c r="Y25" s="1">
        <v>61.5</v>
      </c>
      <c r="Z25" s="1">
        <v>141</v>
      </c>
      <c r="AA25" s="1">
        <v>94.5</v>
      </c>
      <c r="AB25" s="1">
        <v>199</v>
      </c>
      <c r="AC25" s="48">
        <f t="shared" si="0"/>
        <v>0.20271263106798776</v>
      </c>
    </row>
    <row r="26" spans="1:29" x14ac:dyDescent="0.35">
      <c r="A26" s="23"/>
      <c r="B26" s="16" t="s">
        <v>158</v>
      </c>
      <c r="C26" s="1">
        <v>413</v>
      </c>
      <c r="D26" s="1">
        <v>316</v>
      </c>
      <c r="E26" s="1">
        <v>166.5</v>
      </c>
      <c r="F26" s="1">
        <v>147.5</v>
      </c>
      <c r="G26" s="1">
        <v>273.5</v>
      </c>
      <c r="H26" s="1">
        <v>950.5</v>
      </c>
      <c r="I26" s="1">
        <v>368.5</v>
      </c>
      <c r="J26" s="1">
        <v>63.5</v>
      </c>
      <c r="K26" s="1">
        <v>422.5</v>
      </c>
      <c r="L26" s="1">
        <v>634.5</v>
      </c>
      <c r="M26" s="1">
        <v>84</v>
      </c>
      <c r="N26" s="1"/>
      <c r="O26" s="1"/>
      <c r="P26" s="1">
        <v>98.5</v>
      </c>
      <c r="Q26" s="1">
        <v>364.5</v>
      </c>
      <c r="R26" s="1">
        <v>265.5</v>
      </c>
      <c r="S26" s="1">
        <v>53.5</v>
      </c>
      <c r="T26" s="1">
        <v>493.5</v>
      </c>
      <c r="U26" s="1">
        <v>49</v>
      </c>
      <c r="V26" s="1">
        <v>571.5</v>
      </c>
      <c r="W26" s="1">
        <v>32</v>
      </c>
      <c r="X26" s="1">
        <v>579.5</v>
      </c>
      <c r="Y26" s="1">
        <v>81</v>
      </c>
      <c r="Z26" s="1">
        <v>56</v>
      </c>
      <c r="AA26" s="1">
        <v>157</v>
      </c>
      <c r="AB26" s="1">
        <v>347</v>
      </c>
      <c r="AC26" s="48">
        <f t="shared" si="0"/>
        <v>0.27654836092707691</v>
      </c>
    </row>
    <row r="27" spans="1:29" x14ac:dyDescent="0.35">
      <c r="A27" s="23"/>
      <c r="B27" s="16" t="s">
        <v>158</v>
      </c>
      <c r="C27" s="1">
        <v>291</v>
      </c>
      <c r="D27" s="1">
        <v>79</v>
      </c>
      <c r="E27" s="1">
        <v>258.5</v>
      </c>
      <c r="F27" s="1">
        <v>455.5</v>
      </c>
      <c r="G27" s="1">
        <v>327.5</v>
      </c>
      <c r="H27" s="1">
        <v>53</v>
      </c>
      <c r="I27" s="1">
        <v>303.5</v>
      </c>
      <c r="J27" s="1">
        <v>20.5</v>
      </c>
      <c r="K27" s="1">
        <v>792</v>
      </c>
      <c r="L27" s="1">
        <v>994.5</v>
      </c>
      <c r="M27" s="1">
        <v>381</v>
      </c>
      <c r="N27" s="1"/>
      <c r="O27" s="1"/>
      <c r="P27" s="1">
        <v>317.5</v>
      </c>
      <c r="Q27" s="1">
        <v>696.5</v>
      </c>
      <c r="R27" s="1">
        <v>476.5</v>
      </c>
      <c r="S27" s="1">
        <v>121.5</v>
      </c>
      <c r="T27" s="1">
        <v>388</v>
      </c>
      <c r="U27" s="1">
        <v>536</v>
      </c>
      <c r="V27" s="1">
        <v>223.5</v>
      </c>
      <c r="W27" s="1">
        <v>54</v>
      </c>
      <c r="X27" s="1">
        <v>442</v>
      </c>
      <c r="Y27" s="1">
        <v>120.5</v>
      </c>
      <c r="Z27" s="1">
        <v>122.5</v>
      </c>
      <c r="AA27" s="1">
        <v>781.5</v>
      </c>
      <c r="AB27" s="1">
        <v>55.5</v>
      </c>
      <c r="AC27" s="48">
        <f t="shared" si="0"/>
        <v>0.81618069090946754</v>
      </c>
    </row>
    <row r="28" spans="1:29" x14ac:dyDescent="0.35">
      <c r="A28" s="23"/>
      <c r="B28" s="16" t="s">
        <v>158</v>
      </c>
      <c r="C28" s="1">
        <v>179.5</v>
      </c>
      <c r="D28" s="1">
        <v>202.5</v>
      </c>
      <c r="E28" s="1">
        <v>89</v>
      </c>
      <c r="F28" s="1">
        <v>997.5</v>
      </c>
      <c r="G28" s="1">
        <v>53</v>
      </c>
      <c r="H28" s="1">
        <v>38.5</v>
      </c>
      <c r="I28" s="1">
        <v>114.5</v>
      </c>
      <c r="J28" s="1">
        <v>518.5</v>
      </c>
      <c r="K28" s="1">
        <v>146</v>
      </c>
      <c r="L28" s="1">
        <v>980.5</v>
      </c>
      <c r="M28" s="1">
        <v>207</v>
      </c>
      <c r="N28" s="1"/>
      <c r="O28" s="1"/>
      <c r="P28" s="1">
        <v>709</v>
      </c>
      <c r="Q28" s="1">
        <v>193.5</v>
      </c>
      <c r="R28" s="1">
        <v>503.5</v>
      </c>
      <c r="S28" s="1">
        <v>440</v>
      </c>
      <c r="T28" s="1">
        <v>258.5</v>
      </c>
      <c r="U28" s="1">
        <v>681</v>
      </c>
      <c r="V28" s="1">
        <v>110</v>
      </c>
      <c r="W28" s="1">
        <v>358.5</v>
      </c>
      <c r="X28" s="1">
        <v>68</v>
      </c>
      <c r="Y28" s="1">
        <v>54</v>
      </c>
      <c r="Z28" s="1">
        <v>1049.5</v>
      </c>
      <c r="AA28" s="1">
        <v>297</v>
      </c>
      <c r="AB28" s="1">
        <v>137.5</v>
      </c>
      <c r="AC28" s="48">
        <f t="shared" si="0"/>
        <v>0.69248031271956978</v>
      </c>
    </row>
    <row r="29" spans="1:29" x14ac:dyDescent="0.35">
      <c r="A29" s="23"/>
      <c r="B29" s="16" t="s">
        <v>158</v>
      </c>
      <c r="C29" s="1">
        <v>741.5</v>
      </c>
      <c r="D29" s="1">
        <v>489.5</v>
      </c>
      <c r="E29" s="1">
        <v>40</v>
      </c>
      <c r="F29" s="1">
        <v>685.5</v>
      </c>
      <c r="G29" s="1">
        <v>39.5</v>
      </c>
      <c r="H29" s="1">
        <v>52</v>
      </c>
      <c r="I29" s="1">
        <v>42.5</v>
      </c>
      <c r="J29" s="1">
        <v>390</v>
      </c>
      <c r="K29" s="1">
        <v>303.5</v>
      </c>
      <c r="L29" s="1">
        <v>63</v>
      </c>
      <c r="M29" s="1">
        <v>592</v>
      </c>
      <c r="N29" s="1"/>
      <c r="O29" s="1"/>
      <c r="P29" s="1">
        <v>37.5</v>
      </c>
      <c r="Q29" s="1">
        <v>428.5</v>
      </c>
      <c r="R29" s="1">
        <v>191</v>
      </c>
      <c r="S29" s="1">
        <v>500</v>
      </c>
      <c r="T29" s="1">
        <v>62</v>
      </c>
      <c r="U29" s="1">
        <v>457.5</v>
      </c>
      <c r="V29" s="1">
        <v>58</v>
      </c>
      <c r="W29" s="1">
        <v>512</v>
      </c>
      <c r="X29" s="1">
        <v>566</v>
      </c>
      <c r="Y29" s="1">
        <v>654</v>
      </c>
      <c r="Z29" s="1">
        <v>445.5</v>
      </c>
      <c r="AA29" s="1">
        <v>37.5</v>
      </c>
      <c r="AB29" s="1">
        <v>25</v>
      </c>
      <c r="AC29" s="48">
        <f t="shared" si="0"/>
        <v>0.9486670515833675</v>
      </c>
    </row>
    <row r="30" spans="1:29" x14ac:dyDescent="0.35">
      <c r="A30" s="23" t="s">
        <v>4593</v>
      </c>
      <c r="B30" s="16" t="s">
        <v>158</v>
      </c>
      <c r="C30" s="1">
        <v>469.5</v>
      </c>
      <c r="D30" s="1">
        <v>427.5</v>
      </c>
      <c r="E30" s="1">
        <v>316.5</v>
      </c>
      <c r="F30" s="1">
        <v>20.5</v>
      </c>
      <c r="G30" s="1">
        <v>85</v>
      </c>
      <c r="H30" s="1">
        <v>38</v>
      </c>
      <c r="I30" s="1">
        <v>34.5</v>
      </c>
      <c r="J30" s="1">
        <v>101</v>
      </c>
      <c r="K30" s="1">
        <v>433.5</v>
      </c>
      <c r="L30" s="1">
        <v>55.5</v>
      </c>
      <c r="M30" s="1">
        <v>679</v>
      </c>
      <c r="N30" s="1"/>
      <c r="O30" s="1"/>
      <c r="P30" s="1">
        <v>191</v>
      </c>
      <c r="Q30" s="1">
        <v>546.5</v>
      </c>
      <c r="R30" s="1">
        <v>419.5</v>
      </c>
      <c r="S30" s="1">
        <v>42.5</v>
      </c>
      <c r="T30" s="1">
        <v>505.5</v>
      </c>
      <c r="U30" s="1">
        <v>67</v>
      </c>
      <c r="V30" s="1">
        <v>168</v>
      </c>
      <c r="W30" s="1">
        <v>103.5</v>
      </c>
      <c r="X30" s="1">
        <v>638.5</v>
      </c>
      <c r="Y30" s="1">
        <v>793</v>
      </c>
      <c r="Z30" s="1">
        <v>65.5</v>
      </c>
      <c r="AA30" s="1">
        <v>157</v>
      </c>
      <c r="AB30" s="1">
        <v>37</v>
      </c>
      <c r="AC30" s="48">
        <f t="shared" si="0"/>
        <v>0.65756160080891957</v>
      </c>
    </row>
    <row r="31" spans="1:29" x14ac:dyDescent="0.35">
      <c r="A31" s="23"/>
      <c r="B31" s="16" t="s">
        <v>158</v>
      </c>
      <c r="C31" s="1">
        <v>106</v>
      </c>
      <c r="D31" s="1">
        <v>76</v>
      </c>
      <c r="E31" s="1">
        <v>1395.5</v>
      </c>
      <c r="F31" s="1">
        <v>91.5</v>
      </c>
      <c r="G31" s="1">
        <v>375</v>
      </c>
      <c r="H31" s="1">
        <v>186</v>
      </c>
      <c r="I31" s="1">
        <v>36</v>
      </c>
      <c r="J31" s="1">
        <v>64.5</v>
      </c>
      <c r="K31" s="1">
        <v>703.5</v>
      </c>
      <c r="L31" s="1">
        <v>536</v>
      </c>
      <c r="M31" s="1">
        <v>162</v>
      </c>
      <c r="N31" s="1"/>
      <c r="O31" s="1"/>
      <c r="P31" s="1">
        <v>285</v>
      </c>
      <c r="Q31" s="1">
        <v>325</v>
      </c>
      <c r="R31" s="1">
        <v>119</v>
      </c>
      <c r="S31" s="1">
        <v>96</v>
      </c>
      <c r="T31" s="1">
        <v>535.5</v>
      </c>
      <c r="U31" s="1">
        <v>244.5</v>
      </c>
      <c r="V31" s="1">
        <v>181.5</v>
      </c>
      <c r="W31" s="1">
        <v>29</v>
      </c>
      <c r="X31" s="1">
        <v>209</v>
      </c>
      <c r="Y31" s="1">
        <v>192</v>
      </c>
      <c r="Z31" s="1">
        <v>367</v>
      </c>
      <c r="AA31" s="1">
        <v>275.5</v>
      </c>
      <c r="AB31" s="1">
        <v>232</v>
      </c>
      <c r="AC31" s="48">
        <f t="shared" si="0"/>
        <v>0.40780133348145087</v>
      </c>
    </row>
    <row r="32" spans="1:29" x14ac:dyDescent="0.35">
      <c r="A32" s="23"/>
      <c r="B32" s="16" t="s">
        <v>158</v>
      </c>
      <c r="C32" s="1">
        <v>87</v>
      </c>
      <c r="D32" s="1">
        <v>113</v>
      </c>
      <c r="E32" s="1">
        <v>436.5</v>
      </c>
      <c r="F32" s="1">
        <v>355</v>
      </c>
      <c r="G32" s="1">
        <v>643.5</v>
      </c>
      <c r="H32" s="1">
        <v>761.5</v>
      </c>
      <c r="I32" s="1">
        <v>265.5</v>
      </c>
      <c r="J32" s="1">
        <v>301</v>
      </c>
      <c r="K32" s="1">
        <v>381.5</v>
      </c>
      <c r="L32" s="1">
        <v>130.5</v>
      </c>
      <c r="M32" s="1">
        <v>38</v>
      </c>
      <c r="N32" s="1"/>
      <c r="O32" s="1"/>
      <c r="P32" s="1">
        <v>284</v>
      </c>
      <c r="Q32" s="1">
        <v>24.5</v>
      </c>
      <c r="R32" s="1">
        <v>790</v>
      </c>
      <c r="S32" s="1">
        <v>426</v>
      </c>
      <c r="T32" s="1">
        <v>312</v>
      </c>
      <c r="U32" s="1">
        <v>802</v>
      </c>
      <c r="V32" s="1">
        <v>416.5</v>
      </c>
      <c r="W32" s="1">
        <v>385.5</v>
      </c>
      <c r="X32" s="1">
        <v>408.5</v>
      </c>
      <c r="Y32" s="1">
        <v>59.5</v>
      </c>
      <c r="Z32" s="1">
        <v>568.5</v>
      </c>
      <c r="AA32" s="1">
        <v>446.5</v>
      </c>
      <c r="AB32" s="1">
        <v>219</v>
      </c>
      <c r="AC32" s="48">
        <f t="shared" si="0"/>
        <v>0.43236268728876359</v>
      </c>
    </row>
    <row r="33" spans="1:29" x14ac:dyDescent="0.35">
      <c r="A33" s="23"/>
      <c r="B33" s="16" t="s">
        <v>158</v>
      </c>
      <c r="C33" s="1">
        <v>61</v>
      </c>
      <c r="D33" s="1">
        <v>327.5</v>
      </c>
      <c r="E33" s="1">
        <v>805</v>
      </c>
      <c r="F33" s="1">
        <v>706.5</v>
      </c>
      <c r="G33" s="1">
        <v>800.5</v>
      </c>
      <c r="H33" s="1">
        <v>640.5</v>
      </c>
      <c r="I33" s="1">
        <v>291.5</v>
      </c>
      <c r="J33" s="1">
        <v>211</v>
      </c>
      <c r="K33" s="1">
        <v>154.5</v>
      </c>
      <c r="L33" s="1">
        <v>697.5</v>
      </c>
      <c r="M33" s="1">
        <v>49.5</v>
      </c>
      <c r="N33" s="1"/>
      <c r="O33" s="1"/>
      <c r="P33" s="1">
        <v>279</v>
      </c>
      <c r="Q33" s="1">
        <v>176.5</v>
      </c>
      <c r="R33" s="1">
        <v>373</v>
      </c>
      <c r="S33" s="1">
        <v>100.5</v>
      </c>
      <c r="T33" s="1">
        <v>209.5</v>
      </c>
      <c r="U33" s="1">
        <v>298.5</v>
      </c>
      <c r="V33" s="1">
        <v>157</v>
      </c>
      <c r="W33" s="1">
        <v>444</v>
      </c>
      <c r="X33" s="1">
        <v>134.5</v>
      </c>
      <c r="Y33" s="1">
        <v>142</v>
      </c>
      <c r="Z33" s="1">
        <v>231.5</v>
      </c>
      <c r="AA33" s="1">
        <v>480.5</v>
      </c>
      <c r="AB33" s="1">
        <v>114</v>
      </c>
      <c r="AC33" s="48">
        <f t="shared" si="0"/>
        <v>4.9709203674736364E-2</v>
      </c>
    </row>
    <row r="34" spans="1:29" x14ac:dyDescent="0.35">
      <c r="A34" s="23"/>
      <c r="B34" s="16" t="s">
        <v>158</v>
      </c>
      <c r="C34" s="1">
        <v>36.5</v>
      </c>
      <c r="D34" s="1">
        <v>55.5</v>
      </c>
      <c r="E34" s="1">
        <v>70.5</v>
      </c>
      <c r="F34" s="1">
        <v>645</v>
      </c>
      <c r="G34" s="1">
        <v>786.5</v>
      </c>
      <c r="H34" s="1">
        <v>331</v>
      </c>
      <c r="I34" s="1">
        <v>22.5</v>
      </c>
      <c r="J34" s="1">
        <v>48.5</v>
      </c>
      <c r="K34" s="1">
        <v>267.5</v>
      </c>
      <c r="L34" s="1">
        <v>566.5</v>
      </c>
      <c r="M34" s="1">
        <v>314</v>
      </c>
      <c r="N34" s="1"/>
      <c r="O34" s="1"/>
      <c r="P34" s="1">
        <v>98.5</v>
      </c>
      <c r="Q34" s="1">
        <v>66.5</v>
      </c>
      <c r="R34" s="1">
        <v>852</v>
      </c>
      <c r="S34" s="1">
        <v>693</v>
      </c>
      <c r="T34" s="1">
        <v>273.5</v>
      </c>
      <c r="U34" s="1">
        <v>91</v>
      </c>
      <c r="V34" s="1">
        <v>41</v>
      </c>
      <c r="W34" s="1">
        <v>789</v>
      </c>
      <c r="X34" s="1">
        <v>107.5</v>
      </c>
      <c r="Y34" s="1">
        <v>73.5</v>
      </c>
      <c r="Z34" s="1">
        <v>40.5</v>
      </c>
      <c r="AA34" s="1">
        <v>518</v>
      </c>
      <c r="AB34" s="1">
        <v>263</v>
      </c>
      <c r="AC34" s="48">
        <f t="shared" si="0"/>
        <v>0.90272960001918001</v>
      </c>
    </row>
    <row r="35" spans="1:29" x14ac:dyDescent="0.35">
      <c r="A35" s="23"/>
      <c r="B35" s="16" t="s">
        <v>158</v>
      </c>
      <c r="C35" s="1">
        <v>1139.5</v>
      </c>
      <c r="D35" s="1">
        <v>441</v>
      </c>
      <c r="E35" s="1">
        <v>62.5</v>
      </c>
      <c r="F35" s="1">
        <v>35.5</v>
      </c>
      <c r="G35" s="1">
        <v>548.5</v>
      </c>
      <c r="H35" s="1">
        <v>57</v>
      </c>
      <c r="I35" s="1">
        <v>249.5</v>
      </c>
      <c r="J35" s="1">
        <v>64</v>
      </c>
      <c r="K35" s="1">
        <v>551.5</v>
      </c>
      <c r="L35" s="1">
        <v>985.5</v>
      </c>
      <c r="M35" s="1">
        <v>618</v>
      </c>
      <c r="N35" s="1"/>
      <c r="O35" s="1"/>
      <c r="P35" s="1">
        <v>128</v>
      </c>
      <c r="Q35" s="1">
        <v>702.5</v>
      </c>
      <c r="R35" s="1">
        <v>707</v>
      </c>
      <c r="S35" s="1">
        <v>117.5</v>
      </c>
      <c r="T35" s="1">
        <v>173.5</v>
      </c>
      <c r="U35" s="1">
        <v>420.5</v>
      </c>
      <c r="V35" s="1">
        <v>424.5</v>
      </c>
      <c r="W35" s="1">
        <v>322</v>
      </c>
      <c r="X35" s="1">
        <v>139.5</v>
      </c>
      <c r="Y35" s="1">
        <v>167</v>
      </c>
      <c r="Z35" s="1">
        <v>105.5</v>
      </c>
      <c r="AA35" s="1">
        <v>242.5</v>
      </c>
      <c r="AB35" s="1">
        <v>131.5</v>
      </c>
      <c r="AC35" s="48">
        <f t="shared" si="0"/>
        <v>0.26788799265599783</v>
      </c>
    </row>
    <row r="36" spans="1:29" x14ac:dyDescent="0.35">
      <c r="A36" s="23"/>
      <c r="B36" s="16" t="s">
        <v>158</v>
      </c>
      <c r="C36" s="1">
        <v>469</v>
      </c>
      <c r="D36" s="1">
        <v>709</v>
      </c>
      <c r="E36" s="1">
        <v>105.5</v>
      </c>
      <c r="F36" s="1">
        <v>94.5</v>
      </c>
      <c r="G36" s="1">
        <v>339</v>
      </c>
      <c r="H36" s="1">
        <v>18.5</v>
      </c>
      <c r="I36" s="1">
        <v>272</v>
      </c>
      <c r="J36" s="1">
        <v>1081</v>
      </c>
      <c r="K36" s="1">
        <v>153.5</v>
      </c>
      <c r="L36" s="1">
        <v>886</v>
      </c>
      <c r="M36" s="1">
        <v>72</v>
      </c>
      <c r="N36" s="1"/>
      <c r="O36" s="1"/>
      <c r="P36" s="1">
        <v>234</v>
      </c>
      <c r="Q36" s="1">
        <v>140.5</v>
      </c>
      <c r="R36" s="1">
        <v>702.5</v>
      </c>
      <c r="S36" s="1">
        <v>103</v>
      </c>
      <c r="T36" s="1">
        <v>580</v>
      </c>
      <c r="U36" s="1">
        <v>503</v>
      </c>
      <c r="V36" s="1">
        <v>35</v>
      </c>
      <c r="W36" s="1">
        <v>234</v>
      </c>
      <c r="X36" s="1">
        <v>870</v>
      </c>
      <c r="Y36" s="1">
        <v>592</v>
      </c>
      <c r="Z36" s="1">
        <v>570</v>
      </c>
      <c r="AA36" s="1">
        <v>283.5</v>
      </c>
      <c r="AB36" s="1">
        <v>731</v>
      </c>
      <c r="AC36" s="48">
        <f t="shared" si="0"/>
        <v>0.71778365707636449</v>
      </c>
    </row>
    <row r="37" spans="1:29" x14ac:dyDescent="0.35">
      <c r="A37" s="23" t="s">
        <v>4595</v>
      </c>
      <c r="B37" s="16" t="s">
        <v>158</v>
      </c>
      <c r="C37" s="1">
        <v>42</v>
      </c>
      <c r="D37" s="1">
        <v>387</v>
      </c>
      <c r="E37" s="1">
        <v>612</v>
      </c>
      <c r="F37" s="1">
        <v>334</v>
      </c>
      <c r="G37" s="1">
        <v>328.5</v>
      </c>
      <c r="H37" s="1">
        <v>12</v>
      </c>
      <c r="I37" s="1">
        <v>77.5</v>
      </c>
      <c r="J37" s="1">
        <v>2925</v>
      </c>
      <c r="K37" s="1">
        <v>411.5</v>
      </c>
      <c r="L37" s="1">
        <v>792.5</v>
      </c>
      <c r="M37" s="1">
        <v>114</v>
      </c>
      <c r="N37" s="1"/>
      <c r="O37" s="1"/>
      <c r="P37" s="1">
        <v>295.5</v>
      </c>
      <c r="Q37" s="1">
        <v>190.5</v>
      </c>
      <c r="R37" s="1">
        <v>334</v>
      </c>
      <c r="S37" s="1">
        <v>537</v>
      </c>
      <c r="T37" s="1">
        <v>767.5</v>
      </c>
      <c r="U37" s="1">
        <v>92</v>
      </c>
      <c r="V37" s="1">
        <v>129</v>
      </c>
      <c r="W37" s="1">
        <v>596.5</v>
      </c>
      <c r="X37" s="1">
        <v>91</v>
      </c>
      <c r="Y37" s="1">
        <v>295</v>
      </c>
      <c r="Z37" s="1">
        <v>524</v>
      </c>
      <c r="AA37" s="1">
        <v>178</v>
      </c>
      <c r="AB37" s="1">
        <v>314</v>
      </c>
      <c r="AC37" s="48">
        <f t="shared" si="0"/>
        <v>0.37459451442269154</v>
      </c>
    </row>
    <row r="38" spans="1:29" x14ac:dyDescent="0.35">
      <c r="A38" s="23"/>
      <c r="B38" s="16" t="s">
        <v>158</v>
      </c>
      <c r="C38" s="1">
        <v>51.5</v>
      </c>
      <c r="D38" s="1">
        <v>197</v>
      </c>
      <c r="E38" s="1">
        <v>139.5</v>
      </c>
      <c r="F38" s="1">
        <v>594</v>
      </c>
      <c r="G38" s="1">
        <v>33</v>
      </c>
      <c r="H38" s="1">
        <v>13</v>
      </c>
      <c r="I38" s="1">
        <v>19.5</v>
      </c>
      <c r="J38" s="1">
        <v>643</v>
      </c>
      <c r="K38" s="1">
        <v>385</v>
      </c>
      <c r="L38" s="1">
        <v>442.5</v>
      </c>
      <c r="M38" s="1">
        <v>1008.5</v>
      </c>
      <c r="N38" s="1"/>
      <c r="O38" s="1"/>
      <c r="P38" s="1">
        <v>214</v>
      </c>
      <c r="Q38" s="1">
        <v>385</v>
      </c>
      <c r="R38" s="1">
        <v>319.5</v>
      </c>
      <c r="S38" s="1">
        <v>451</v>
      </c>
      <c r="T38" s="1">
        <v>139</v>
      </c>
      <c r="U38" s="1">
        <v>134.5</v>
      </c>
      <c r="V38" s="1">
        <v>48</v>
      </c>
      <c r="W38" s="1">
        <v>764</v>
      </c>
      <c r="X38" s="1">
        <v>205.5</v>
      </c>
      <c r="Y38" s="1">
        <v>255</v>
      </c>
      <c r="Z38" s="1">
        <v>307</v>
      </c>
      <c r="AA38" s="1">
        <v>238.5</v>
      </c>
      <c r="AB38" s="1">
        <v>693</v>
      </c>
      <c r="AC38" s="48">
        <f t="shared" si="0"/>
        <v>0.99247011682145858</v>
      </c>
    </row>
    <row r="39" spans="1:29" x14ac:dyDescent="0.35">
      <c r="A39" s="23"/>
      <c r="B39" s="16" t="s">
        <v>158</v>
      </c>
      <c r="C39" s="1">
        <v>300</v>
      </c>
      <c r="D39" s="1">
        <v>958</v>
      </c>
      <c r="E39" s="1">
        <v>285.5</v>
      </c>
      <c r="F39" s="1">
        <v>72</v>
      </c>
      <c r="G39" s="1">
        <v>284.5</v>
      </c>
      <c r="H39" s="1">
        <v>128.5</v>
      </c>
      <c r="I39" s="1">
        <v>87</v>
      </c>
      <c r="J39" s="1">
        <v>885.5</v>
      </c>
      <c r="K39" s="1">
        <v>162</v>
      </c>
      <c r="L39" s="1">
        <v>576</v>
      </c>
      <c r="M39" s="1">
        <v>823.5</v>
      </c>
      <c r="N39" s="1"/>
      <c r="O39" s="1"/>
      <c r="P39" s="1">
        <v>295</v>
      </c>
      <c r="Q39" s="1">
        <v>54.5</v>
      </c>
      <c r="R39" s="1">
        <v>564</v>
      </c>
      <c r="S39" s="1">
        <v>296</v>
      </c>
      <c r="T39" s="1">
        <v>521</v>
      </c>
      <c r="U39" s="1">
        <v>306</v>
      </c>
      <c r="V39" s="1">
        <v>295</v>
      </c>
      <c r="W39" s="1">
        <v>48.5</v>
      </c>
      <c r="X39" s="1">
        <v>256</v>
      </c>
      <c r="Y39" s="1">
        <v>357.5</v>
      </c>
      <c r="Z39" s="1">
        <v>1441.5</v>
      </c>
      <c r="AA39" s="1">
        <v>538</v>
      </c>
      <c r="AB39" s="1">
        <v>1074.5</v>
      </c>
      <c r="AC39" s="48">
        <f t="shared" si="0"/>
        <v>0.74122598983727062</v>
      </c>
    </row>
    <row r="40" spans="1:29" x14ac:dyDescent="0.35">
      <c r="A40" s="23"/>
      <c r="B40" s="16" t="s">
        <v>158</v>
      </c>
      <c r="C40" s="1">
        <v>1080</v>
      </c>
      <c r="D40" s="1">
        <v>311.5</v>
      </c>
      <c r="E40" s="1">
        <v>1607.5</v>
      </c>
      <c r="F40" s="1">
        <v>421</v>
      </c>
      <c r="G40" s="1">
        <v>486.5</v>
      </c>
      <c r="H40" s="1">
        <v>575</v>
      </c>
      <c r="I40" s="1">
        <v>272</v>
      </c>
      <c r="J40" s="1">
        <v>983.5</v>
      </c>
      <c r="K40" s="1">
        <v>419</v>
      </c>
      <c r="L40" s="1">
        <v>504.5</v>
      </c>
      <c r="M40" s="1">
        <v>139</v>
      </c>
      <c r="N40" s="1"/>
      <c r="O40" s="1"/>
      <c r="P40" s="1">
        <v>413</v>
      </c>
      <c r="Q40" s="1">
        <v>270.5</v>
      </c>
      <c r="R40" s="1">
        <v>539.5</v>
      </c>
      <c r="S40" s="1">
        <v>207.5</v>
      </c>
      <c r="T40" s="1">
        <v>1064</v>
      </c>
      <c r="U40" s="1">
        <v>27.5</v>
      </c>
      <c r="V40" s="1">
        <v>533</v>
      </c>
      <c r="W40" s="1">
        <v>191</v>
      </c>
      <c r="X40" s="1">
        <v>1446</v>
      </c>
      <c r="Y40" s="1">
        <v>55</v>
      </c>
      <c r="Z40" s="1">
        <v>645</v>
      </c>
      <c r="AA40" s="1">
        <v>477.5</v>
      </c>
      <c r="AB40" s="1">
        <v>357</v>
      </c>
      <c r="AC40" s="48">
        <f t="shared" si="0"/>
        <v>0.42210208880913758</v>
      </c>
    </row>
    <row r="41" spans="1:29" x14ac:dyDescent="0.35">
      <c r="A41" s="23"/>
      <c r="B41" s="16" t="s">
        <v>158</v>
      </c>
      <c r="C41" s="1">
        <v>37.5</v>
      </c>
      <c r="D41" s="1">
        <v>127.5</v>
      </c>
      <c r="E41" s="1">
        <v>1409.5</v>
      </c>
      <c r="F41" s="1">
        <v>1255.5</v>
      </c>
      <c r="G41" s="1">
        <v>780.5</v>
      </c>
      <c r="H41" s="1">
        <v>576.5</v>
      </c>
      <c r="I41" s="1">
        <v>54.5</v>
      </c>
      <c r="J41" s="1">
        <v>500.5</v>
      </c>
      <c r="K41" s="1">
        <v>313</v>
      </c>
      <c r="L41" s="1">
        <v>695.5</v>
      </c>
      <c r="M41" s="1">
        <v>56</v>
      </c>
      <c r="N41" s="1"/>
      <c r="O41" s="1"/>
      <c r="P41" s="1">
        <v>440</v>
      </c>
      <c r="Q41" s="1">
        <v>608.5</v>
      </c>
      <c r="R41" s="1">
        <v>431</v>
      </c>
      <c r="S41" s="1">
        <v>363</v>
      </c>
      <c r="T41" s="1">
        <v>743.5</v>
      </c>
      <c r="U41" s="1">
        <v>304.5</v>
      </c>
      <c r="V41" s="1">
        <v>332.5</v>
      </c>
      <c r="W41" s="1">
        <v>684</v>
      </c>
      <c r="X41" s="1">
        <v>462</v>
      </c>
      <c r="Y41" s="1">
        <v>185</v>
      </c>
      <c r="Z41" s="1">
        <v>148</v>
      </c>
      <c r="AA41" s="1">
        <v>294</v>
      </c>
      <c r="AB41" s="1">
        <v>67.5</v>
      </c>
      <c r="AC41" s="48">
        <f t="shared" si="0"/>
        <v>0.35314821495406801</v>
      </c>
    </row>
    <row r="42" spans="1:29" x14ac:dyDescent="0.35">
      <c r="A42" s="23"/>
      <c r="B42" s="16" t="s">
        <v>158</v>
      </c>
      <c r="C42" s="1">
        <v>626</v>
      </c>
      <c r="D42" s="1">
        <v>557.5</v>
      </c>
      <c r="E42" s="1">
        <v>923.5</v>
      </c>
      <c r="F42" s="1">
        <v>279.5</v>
      </c>
      <c r="G42" s="1">
        <v>703</v>
      </c>
      <c r="H42" s="1">
        <v>70.5</v>
      </c>
      <c r="I42" s="1">
        <v>164</v>
      </c>
      <c r="J42" s="1">
        <v>456</v>
      </c>
      <c r="K42" s="1">
        <v>745.5</v>
      </c>
      <c r="L42" s="1">
        <v>726.5</v>
      </c>
      <c r="M42" s="1">
        <v>452</v>
      </c>
      <c r="N42" s="1"/>
      <c r="O42" s="1"/>
      <c r="P42" s="1">
        <v>178.5</v>
      </c>
      <c r="Q42" s="1">
        <v>526</v>
      </c>
      <c r="R42" s="1">
        <v>62</v>
      </c>
      <c r="S42" s="1">
        <v>423</v>
      </c>
      <c r="T42" s="1">
        <v>325.5</v>
      </c>
      <c r="U42" s="1">
        <v>791</v>
      </c>
      <c r="V42" s="1">
        <v>119</v>
      </c>
      <c r="W42" s="1">
        <v>796.5</v>
      </c>
      <c r="X42" s="1">
        <v>333.5</v>
      </c>
      <c r="Y42" s="1">
        <v>407.5</v>
      </c>
      <c r="Z42" s="1">
        <v>561</v>
      </c>
      <c r="AA42" s="1">
        <v>473</v>
      </c>
      <c r="AB42" s="1">
        <v>454.5</v>
      </c>
      <c r="AC42" s="48">
        <f t="shared" si="0"/>
        <v>0.3309165159237597</v>
      </c>
    </row>
    <row r="43" spans="1:29" x14ac:dyDescent="0.35">
      <c r="A43" s="23"/>
      <c r="B43" s="16" t="s">
        <v>158</v>
      </c>
      <c r="C43" s="1">
        <v>274</v>
      </c>
      <c r="D43" s="1">
        <v>536.5</v>
      </c>
      <c r="E43" s="1">
        <v>1059</v>
      </c>
      <c r="F43" s="1">
        <v>40.5</v>
      </c>
      <c r="G43" s="1">
        <v>821</v>
      </c>
      <c r="H43" s="1">
        <v>57</v>
      </c>
      <c r="I43" s="1">
        <v>293</v>
      </c>
      <c r="J43" s="1">
        <v>548</v>
      </c>
      <c r="K43" s="1">
        <v>482</v>
      </c>
      <c r="L43" s="1">
        <v>576.5</v>
      </c>
      <c r="M43" s="1">
        <v>108</v>
      </c>
      <c r="N43" s="1"/>
      <c r="O43" s="1"/>
      <c r="P43" s="1">
        <v>222</v>
      </c>
      <c r="Q43" s="1">
        <v>146.5</v>
      </c>
      <c r="R43" s="1">
        <v>327.5</v>
      </c>
      <c r="S43" s="1">
        <v>290</v>
      </c>
      <c r="T43" s="1">
        <v>349.5</v>
      </c>
      <c r="U43" s="1">
        <v>387.5</v>
      </c>
      <c r="V43" s="1">
        <v>311</v>
      </c>
      <c r="W43" s="1">
        <v>521</v>
      </c>
      <c r="X43" s="1">
        <v>712.5</v>
      </c>
      <c r="Y43" s="1">
        <v>358</v>
      </c>
      <c r="Z43" s="1">
        <v>673</v>
      </c>
      <c r="AA43" s="1">
        <v>425.5</v>
      </c>
      <c r="AB43" s="1">
        <v>652</v>
      </c>
      <c r="AC43" s="48">
        <f t="shared" si="0"/>
        <v>0.83084400545507264</v>
      </c>
    </row>
    <row r="44" spans="1:29" x14ac:dyDescent="0.35">
      <c r="A44" s="23" t="s">
        <v>4597</v>
      </c>
      <c r="B44" s="16" t="s">
        <v>158</v>
      </c>
      <c r="C44" s="1">
        <v>1029</v>
      </c>
      <c r="D44" s="1">
        <v>313.5</v>
      </c>
      <c r="E44" s="1">
        <v>1500</v>
      </c>
      <c r="F44" s="1">
        <v>229.5</v>
      </c>
      <c r="G44" s="1">
        <v>481.5</v>
      </c>
      <c r="H44" s="1">
        <v>24.5</v>
      </c>
      <c r="I44" s="1">
        <v>34</v>
      </c>
      <c r="J44" s="1">
        <v>578.5</v>
      </c>
      <c r="K44" s="1">
        <v>251</v>
      </c>
      <c r="L44" s="1">
        <v>190</v>
      </c>
      <c r="M44" s="1">
        <v>733</v>
      </c>
      <c r="N44" s="1"/>
      <c r="O44" s="1"/>
      <c r="P44" s="1">
        <v>376</v>
      </c>
      <c r="Q44" s="1">
        <v>251.5</v>
      </c>
      <c r="R44" s="1">
        <v>632.5</v>
      </c>
      <c r="S44" s="1">
        <v>180.5</v>
      </c>
      <c r="T44" s="1">
        <v>514</v>
      </c>
      <c r="U44" s="1">
        <v>572</v>
      </c>
      <c r="V44" s="1">
        <v>118.5</v>
      </c>
      <c r="W44" s="1">
        <v>478.5</v>
      </c>
      <c r="X44" s="1">
        <v>386.5</v>
      </c>
      <c r="Y44" s="1">
        <v>231.5</v>
      </c>
      <c r="Z44" s="1">
        <v>966.5</v>
      </c>
      <c r="AA44" s="1">
        <v>1152</v>
      </c>
      <c r="AB44" s="1">
        <v>2209</v>
      </c>
      <c r="AC44" s="48">
        <f t="shared" si="0"/>
        <v>0.53561287923303402</v>
      </c>
    </row>
    <row r="45" spans="1:29" x14ac:dyDescent="0.35">
      <c r="A45" s="23"/>
      <c r="B45" s="16" t="s">
        <v>158</v>
      </c>
      <c r="C45" s="1">
        <v>793</v>
      </c>
      <c r="D45" s="1">
        <v>1711.5</v>
      </c>
      <c r="E45" s="1">
        <v>905</v>
      </c>
      <c r="F45" s="1">
        <v>279</v>
      </c>
      <c r="G45" s="1">
        <v>64</v>
      </c>
      <c r="H45" s="1">
        <v>77.5</v>
      </c>
      <c r="I45" s="1">
        <v>197.5</v>
      </c>
      <c r="J45" s="1">
        <v>631</v>
      </c>
      <c r="K45" s="1">
        <v>165.5</v>
      </c>
      <c r="L45" s="1">
        <v>460.5</v>
      </c>
      <c r="M45" s="1">
        <v>1978</v>
      </c>
      <c r="N45" s="1"/>
      <c r="O45" s="1"/>
      <c r="P45" s="1">
        <v>283</v>
      </c>
      <c r="Q45" s="1">
        <v>436.5</v>
      </c>
      <c r="R45" s="1">
        <v>914</v>
      </c>
      <c r="S45" s="1">
        <v>212.5</v>
      </c>
      <c r="T45" s="1">
        <v>385.5</v>
      </c>
      <c r="U45" s="1">
        <v>485.5</v>
      </c>
      <c r="V45" s="1">
        <v>262.5</v>
      </c>
      <c r="W45" s="1">
        <v>434.5</v>
      </c>
      <c r="X45" s="1">
        <v>314.5</v>
      </c>
      <c r="Y45" s="1">
        <v>1428.5</v>
      </c>
      <c r="Z45" s="1">
        <v>3069.5</v>
      </c>
      <c r="AA45" s="1">
        <v>2773.5</v>
      </c>
      <c r="AB45" s="1">
        <v>342</v>
      </c>
      <c r="AC45" s="48">
        <f t="shared" si="0"/>
        <v>0.54379631867724165</v>
      </c>
    </row>
    <row r="46" spans="1:29" x14ac:dyDescent="0.35">
      <c r="A46" s="23"/>
      <c r="B46" s="32" t="s">
        <v>159</v>
      </c>
      <c r="C46" s="1">
        <v>791.5</v>
      </c>
      <c r="D46" s="1">
        <v>2732</v>
      </c>
      <c r="E46" s="1">
        <v>1843.5</v>
      </c>
      <c r="F46" s="1">
        <v>229</v>
      </c>
      <c r="G46" s="1">
        <v>567.5</v>
      </c>
      <c r="H46" s="1">
        <v>611.5</v>
      </c>
      <c r="I46" s="1">
        <v>1638.5</v>
      </c>
      <c r="J46" s="1">
        <v>1404</v>
      </c>
      <c r="K46" s="1">
        <v>573.5</v>
      </c>
      <c r="L46" s="1">
        <v>521</v>
      </c>
      <c r="M46" s="1">
        <v>2996</v>
      </c>
      <c r="N46" s="1"/>
      <c r="O46" s="1"/>
      <c r="P46" s="1">
        <v>695.5</v>
      </c>
      <c r="Q46" s="1">
        <v>669</v>
      </c>
      <c r="R46" s="1">
        <v>457</v>
      </c>
      <c r="S46" s="1">
        <v>584</v>
      </c>
      <c r="T46" s="1">
        <v>291.5</v>
      </c>
      <c r="U46" s="1">
        <v>121.5</v>
      </c>
      <c r="V46" s="1">
        <v>833</v>
      </c>
      <c r="W46" s="1">
        <v>688.5</v>
      </c>
      <c r="X46" s="1">
        <v>1478.5</v>
      </c>
      <c r="Y46" s="1">
        <v>3530.5</v>
      </c>
      <c r="Z46" s="1">
        <v>4349.5</v>
      </c>
      <c r="AA46" s="1">
        <v>3805</v>
      </c>
      <c r="AB46" s="1">
        <v>1816</v>
      </c>
      <c r="AC46" s="48">
        <f t="shared" si="0"/>
        <v>0.66871981062089025</v>
      </c>
    </row>
    <row r="47" spans="1:29" x14ac:dyDescent="0.35">
      <c r="A47" s="23"/>
      <c r="B47" s="32" t="s">
        <v>159</v>
      </c>
      <c r="C47" s="1">
        <v>799.5</v>
      </c>
      <c r="D47" s="1">
        <v>1930</v>
      </c>
      <c r="E47" s="1">
        <v>2655.5</v>
      </c>
      <c r="F47" s="1">
        <v>175</v>
      </c>
      <c r="G47" s="1">
        <v>1106.5</v>
      </c>
      <c r="H47" s="1">
        <v>1507</v>
      </c>
      <c r="I47" s="1">
        <v>1942</v>
      </c>
      <c r="J47" s="1">
        <v>1213.5</v>
      </c>
      <c r="K47" s="1">
        <v>134</v>
      </c>
      <c r="L47" s="1">
        <v>1231</v>
      </c>
      <c r="M47" s="1">
        <v>393.5</v>
      </c>
      <c r="N47" s="1"/>
      <c r="O47" s="1"/>
      <c r="P47" s="1">
        <v>380.5</v>
      </c>
      <c r="Q47" s="1">
        <v>1086</v>
      </c>
      <c r="R47" s="1">
        <v>277.5</v>
      </c>
      <c r="S47" s="1">
        <v>766.5</v>
      </c>
      <c r="T47" s="1">
        <v>703.5</v>
      </c>
      <c r="U47" s="1">
        <v>736.5</v>
      </c>
      <c r="V47" s="1">
        <v>266.5</v>
      </c>
      <c r="W47" s="1">
        <v>813.5</v>
      </c>
      <c r="X47" s="1">
        <v>1654.5</v>
      </c>
      <c r="Y47" s="1">
        <v>3102</v>
      </c>
      <c r="Z47" s="1">
        <v>3887.5</v>
      </c>
      <c r="AA47" s="1">
        <v>4340.5</v>
      </c>
      <c r="AB47" s="1">
        <v>2262</v>
      </c>
      <c r="AC47" s="48">
        <f t="shared" si="0"/>
        <v>0.44648522901252385</v>
      </c>
    </row>
    <row r="48" spans="1:29" x14ac:dyDescent="0.35">
      <c r="A48" s="23"/>
      <c r="B48" s="32" t="s">
        <v>159</v>
      </c>
      <c r="C48" s="1">
        <v>3092.5</v>
      </c>
      <c r="D48" s="1">
        <v>2141.5</v>
      </c>
      <c r="E48" s="1">
        <v>2302</v>
      </c>
      <c r="F48" s="1">
        <v>353</v>
      </c>
      <c r="G48" s="1">
        <v>580</v>
      </c>
      <c r="H48" s="1">
        <v>1143.5</v>
      </c>
      <c r="I48" s="1">
        <v>744.5</v>
      </c>
      <c r="J48" s="1">
        <v>1250.5</v>
      </c>
      <c r="K48" s="1">
        <v>372.5</v>
      </c>
      <c r="L48" s="1">
        <v>837.5</v>
      </c>
      <c r="M48" s="1">
        <v>308.5</v>
      </c>
      <c r="N48" s="1"/>
      <c r="O48" s="1"/>
      <c r="P48" s="1">
        <v>179</v>
      </c>
      <c r="Q48" s="1">
        <v>643</v>
      </c>
      <c r="R48" s="1">
        <v>653.5</v>
      </c>
      <c r="S48" s="1">
        <v>289.5</v>
      </c>
      <c r="T48" s="1">
        <v>850.5</v>
      </c>
      <c r="U48" s="1">
        <v>362.5</v>
      </c>
      <c r="V48" s="1">
        <v>510.5</v>
      </c>
      <c r="W48" s="1">
        <v>730</v>
      </c>
      <c r="X48" s="1">
        <v>1637.5</v>
      </c>
      <c r="Y48" s="1">
        <v>2681</v>
      </c>
      <c r="Z48" s="1">
        <v>3914</v>
      </c>
      <c r="AA48" s="1">
        <v>3435</v>
      </c>
      <c r="AB48" s="1">
        <v>3959.5</v>
      </c>
      <c r="AC48" s="48">
        <f t="shared" si="0"/>
        <v>0.51704590281137297</v>
      </c>
    </row>
    <row r="49" spans="1:29" x14ac:dyDescent="0.35">
      <c r="A49" s="23"/>
      <c r="B49" s="32" t="s">
        <v>159</v>
      </c>
      <c r="C49" s="1">
        <v>1023</v>
      </c>
      <c r="D49" s="1">
        <v>1505</v>
      </c>
      <c r="E49" s="1">
        <v>1627.5</v>
      </c>
      <c r="F49" s="1">
        <v>1301</v>
      </c>
      <c r="G49" s="1">
        <v>546.5</v>
      </c>
      <c r="H49" s="1">
        <v>2778.5</v>
      </c>
      <c r="I49" s="1">
        <v>271</v>
      </c>
      <c r="J49" s="1">
        <v>1986.5</v>
      </c>
      <c r="K49" s="1">
        <v>1127.5</v>
      </c>
      <c r="L49" s="1">
        <v>582</v>
      </c>
      <c r="M49" s="1">
        <v>1204</v>
      </c>
      <c r="N49" s="1"/>
      <c r="O49" s="1"/>
      <c r="P49" s="1">
        <v>560.5</v>
      </c>
      <c r="Q49" s="1">
        <v>882.5</v>
      </c>
      <c r="R49" s="1">
        <v>896.5</v>
      </c>
      <c r="S49" s="1">
        <v>627.5</v>
      </c>
      <c r="T49" s="1">
        <v>666</v>
      </c>
      <c r="U49" s="1">
        <v>1380.5</v>
      </c>
      <c r="V49" s="1">
        <v>964.5</v>
      </c>
      <c r="W49" s="1">
        <v>858.5</v>
      </c>
      <c r="X49" s="1">
        <v>1461.5</v>
      </c>
      <c r="Y49" s="1">
        <v>2901.5</v>
      </c>
      <c r="Z49" s="1">
        <v>3332.5</v>
      </c>
      <c r="AA49" s="1">
        <v>2951</v>
      </c>
      <c r="AB49" s="1">
        <v>3705.5</v>
      </c>
      <c r="AC49" s="48">
        <f t="shared" si="0"/>
        <v>0.37540889930191312</v>
      </c>
    </row>
    <row r="50" spans="1:29" x14ac:dyDescent="0.35">
      <c r="A50" s="23"/>
      <c r="B50" s="32" t="s">
        <v>159</v>
      </c>
      <c r="C50" s="1">
        <v>455</v>
      </c>
      <c r="D50" s="1">
        <v>787.5</v>
      </c>
      <c r="E50" s="1">
        <v>1766.5</v>
      </c>
      <c r="F50" s="1">
        <v>1562.5</v>
      </c>
      <c r="G50" s="1">
        <v>1116</v>
      </c>
      <c r="H50" s="1">
        <v>2292</v>
      </c>
      <c r="I50" s="1">
        <v>298.5</v>
      </c>
      <c r="J50" s="1">
        <v>1613.5</v>
      </c>
      <c r="K50" s="1">
        <v>480</v>
      </c>
      <c r="L50" s="1">
        <v>2275.5</v>
      </c>
      <c r="M50" s="1">
        <v>2182</v>
      </c>
      <c r="N50" s="1"/>
      <c r="O50" s="1"/>
      <c r="P50" s="1">
        <v>2046.5</v>
      </c>
      <c r="Q50" s="1">
        <v>355</v>
      </c>
      <c r="R50" s="1">
        <v>540.5</v>
      </c>
      <c r="S50" s="1">
        <v>972.5</v>
      </c>
      <c r="T50" s="1">
        <v>1198</v>
      </c>
      <c r="U50" s="1">
        <v>1922</v>
      </c>
      <c r="V50" s="1">
        <v>438.5</v>
      </c>
      <c r="W50" s="1">
        <v>696.5</v>
      </c>
      <c r="X50" s="1">
        <v>744</v>
      </c>
      <c r="Y50" s="1">
        <v>3171</v>
      </c>
      <c r="Z50" s="1">
        <v>2109.5</v>
      </c>
      <c r="AA50" s="1">
        <v>2836</v>
      </c>
      <c r="AB50" s="1">
        <v>3349</v>
      </c>
      <c r="AC50" s="48">
        <f t="shared" si="0"/>
        <v>0.57489863694564169</v>
      </c>
    </row>
    <row r="51" spans="1:29" x14ac:dyDescent="0.35">
      <c r="A51" s="23"/>
      <c r="B51" s="32" t="s">
        <v>159</v>
      </c>
      <c r="C51" s="1">
        <v>1361</v>
      </c>
      <c r="D51" s="1">
        <v>510</v>
      </c>
      <c r="E51" s="1">
        <v>869.5</v>
      </c>
      <c r="F51" s="1">
        <v>2320</v>
      </c>
      <c r="G51" s="1">
        <v>2100.5</v>
      </c>
      <c r="H51" s="1">
        <v>1044</v>
      </c>
      <c r="I51" s="1">
        <v>1702</v>
      </c>
      <c r="J51" s="1">
        <v>879.5</v>
      </c>
      <c r="K51" s="1">
        <v>2726.5</v>
      </c>
      <c r="L51" s="1">
        <v>3086.5</v>
      </c>
      <c r="M51" s="1">
        <v>1794.5</v>
      </c>
      <c r="N51" s="1"/>
      <c r="O51" s="1"/>
      <c r="P51" s="1">
        <v>3034.5</v>
      </c>
      <c r="Q51" s="1">
        <v>466</v>
      </c>
      <c r="R51" s="1">
        <v>2553.5</v>
      </c>
      <c r="S51" s="1">
        <v>1973</v>
      </c>
      <c r="T51" s="1">
        <v>3935.5</v>
      </c>
      <c r="U51" s="1">
        <v>674</v>
      </c>
      <c r="V51" s="1">
        <v>1178.5</v>
      </c>
      <c r="W51" s="1">
        <v>1260.5</v>
      </c>
      <c r="X51" s="1">
        <v>1491.5</v>
      </c>
      <c r="Y51" s="1">
        <v>2999</v>
      </c>
      <c r="Z51" s="1">
        <v>2332.5</v>
      </c>
      <c r="AA51" s="1">
        <v>3232</v>
      </c>
      <c r="AB51" s="1">
        <v>1355</v>
      </c>
      <c r="AC51" s="48">
        <f t="shared" si="0"/>
        <v>0.36679509004648814</v>
      </c>
    </row>
    <row r="52" spans="1:29" x14ac:dyDescent="0.35">
      <c r="A52" s="23" t="s">
        <v>4599</v>
      </c>
      <c r="B52" s="32" t="s">
        <v>159</v>
      </c>
      <c r="C52" s="1">
        <v>1012</v>
      </c>
      <c r="D52" s="1">
        <v>337</v>
      </c>
      <c r="E52" s="1">
        <v>2803</v>
      </c>
      <c r="F52" s="1">
        <v>818.5</v>
      </c>
      <c r="G52" s="1">
        <v>2093.5</v>
      </c>
      <c r="H52" s="1">
        <v>875</v>
      </c>
      <c r="I52" s="1">
        <v>1849.5</v>
      </c>
      <c r="J52" s="1">
        <v>3080</v>
      </c>
      <c r="K52" s="1">
        <v>3610.5</v>
      </c>
      <c r="L52" s="1">
        <v>2763.5</v>
      </c>
      <c r="M52" s="1">
        <v>3015.5</v>
      </c>
      <c r="N52" s="1"/>
      <c r="O52" s="1"/>
      <c r="P52" s="1">
        <v>2942</v>
      </c>
      <c r="Q52" s="1">
        <v>1074</v>
      </c>
      <c r="R52" s="1">
        <v>4404.5</v>
      </c>
      <c r="S52" s="1">
        <v>3498</v>
      </c>
      <c r="T52" s="1">
        <v>4608.5</v>
      </c>
      <c r="U52" s="1">
        <v>1245.5</v>
      </c>
      <c r="V52" s="1">
        <v>519</v>
      </c>
      <c r="W52" s="1">
        <v>4612.5</v>
      </c>
      <c r="X52" s="1">
        <v>3266</v>
      </c>
      <c r="Y52" s="1">
        <v>1924</v>
      </c>
      <c r="Z52" s="1">
        <v>880.5</v>
      </c>
      <c r="AA52" s="1">
        <v>1575</v>
      </c>
      <c r="AB52" s="1">
        <v>1746.5</v>
      </c>
      <c r="AC52" s="48">
        <f t="shared" si="0"/>
        <v>0.40528681412516776</v>
      </c>
    </row>
    <row r="53" spans="1:29" x14ac:dyDescent="0.35">
      <c r="A53" s="23"/>
      <c r="B53" s="32" t="s">
        <v>159</v>
      </c>
      <c r="C53" s="1">
        <v>657.5</v>
      </c>
      <c r="D53" s="1">
        <v>982.5</v>
      </c>
      <c r="E53" s="1">
        <v>1798.5</v>
      </c>
      <c r="F53" s="1">
        <v>640.5</v>
      </c>
      <c r="G53" s="1">
        <v>876.5</v>
      </c>
      <c r="H53" s="1">
        <v>1062</v>
      </c>
      <c r="I53" s="1">
        <v>1619.5</v>
      </c>
      <c r="J53" s="1">
        <v>5234</v>
      </c>
      <c r="K53" s="1">
        <v>3106.5</v>
      </c>
      <c r="L53" s="1">
        <v>1749.5</v>
      </c>
      <c r="M53" s="1">
        <v>2030.5</v>
      </c>
      <c r="N53" s="1"/>
      <c r="O53" s="1"/>
      <c r="P53" s="1">
        <v>3159.5</v>
      </c>
      <c r="Q53" s="1">
        <v>2270</v>
      </c>
      <c r="R53" s="1">
        <v>2766</v>
      </c>
      <c r="S53" s="1">
        <v>4006.5</v>
      </c>
      <c r="T53" s="1">
        <v>2297.5</v>
      </c>
      <c r="U53" s="1">
        <v>3193.5</v>
      </c>
      <c r="V53" s="1">
        <v>320</v>
      </c>
      <c r="W53" s="1">
        <v>3537.5</v>
      </c>
      <c r="X53" s="1">
        <v>1737.5</v>
      </c>
      <c r="Y53" s="1">
        <v>2231.5</v>
      </c>
      <c r="Z53" s="1">
        <v>928</v>
      </c>
      <c r="AA53" s="1">
        <v>1752.5</v>
      </c>
      <c r="AB53" s="1">
        <v>2720.5</v>
      </c>
      <c r="AC53" s="48">
        <f t="shared" si="0"/>
        <v>0.24400525801154499</v>
      </c>
    </row>
    <row r="54" spans="1:29" x14ac:dyDescent="0.35">
      <c r="A54" s="23"/>
      <c r="B54" s="32" t="s">
        <v>159</v>
      </c>
      <c r="C54" s="1">
        <v>1412.5</v>
      </c>
      <c r="D54" s="1">
        <v>648.5</v>
      </c>
      <c r="E54" s="1">
        <v>2173</v>
      </c>
      <c r="F54" s="1">
        <v>2807.5</v>
      </c>
      <c r="G54" s="1">
        <v>2316.5</v>
      </c>
      <c r="H54" s="1">
        <v>2298.5</v>
      </c>
      <c r="I54" s="1">
        <v>1363</v>
      </c>
      <c r="J54" s="1">
        <v>5057.5</v>
      </c>
      <c r="K54" s="1">
        <v>2651.5</v>
      </c>
      <c r="L54" s="1">
        <v>1215</v>
      </c>
      <c r="M54" s="1">
        <v>1389.5</v>
      </c>
      <c r="N54" s="1"/>
      <c r="O54" s="1"/>
      <c r="P54" s="1">
        <v>2038</v>
      </c>
      <c r="Q54" s="1">
        <v>2188</v>
      </c>
      <c r="R54" s="1">
        <v>2841</v>
      </c>
      <c r="S54" s="1">
        <v>2061</v>
      </c>
      <c r="T54" s="1">
        <v>940.5</v>
      </c>
      <c r="U54" s="1">
        <v>4043</v>
      </c>
      <c r="V54" s="1">
        <v>437.5</v>
      </c>
      <c r="W54" s="1">
        <v>1907.5</v>
      </c>
      <c r="X54" s="1">
        <v>1473.5</v>
      </c>
      <c r="Y54" s="1">
        <v>2640</v>
      </c>
      <c r="Z54" s="1">
        <v>3127</v>
      </c>
      <c r="AA54" s="1">
        <v>507</v>
      </c>
      <c r="AB54" s="1">
        <v>3114</v>
      </c>
      <c r="AC54" s="48">
        <f t="shared" si="0"/>
        <v>0.9661204155463381</v>
      </c>
    </row>
    <row r="55" spans="1:29" x14ac:dyDescent="0.35">
      <c r="A55" s="23"/>
      <c r="B55" s="32" t="s">
        <v>159</v>
      </c>
      <c r="C55" s="1">
        <v>1875</v>
      </c>
      <c r="D55" s="1">
        <v>1009</v>
      </c>
      <c r="E55" s="1">
        <v>1086.5</v>
      </c>
      <c r="F55" s="1">
        <v>3647.5</v>
      </c>
      <c r="G55" s="1">
        <v>2299.5</v>
      </c>
      <c r="H55" s="1">
        <v>2269.5</v>
      </c>
      <c r="I55" s="1">
        <v>1781.5</v>
      </c>
      <c r="J55" s="1">
        <v>3135.5</v>
      </c>
      <c r="K55" s="1">
        <v>976</v>
      </c>
      <c r="L55" s="1">
        <v>1688</v>
      </c>
      <c r="M55" s="1">
        <v>319.5</v>
      </c>
      <c r="N55" s="1"/>
      <c r="O55" s="1"/>
      <c r="P55" s="1">
        <v>1433.5</v>
      </c>
      <c r="Q55" s="1">
        <v>1824.5</v>
      </c>
      <c r="R55" s="1">
        <v>3625.5</v>
      </c>
      <c r="S55" s="1">
        <v>1452.5</v>
      </c>
      <c r="T55" s="1">
        <v>2978</v>
      </c>
      <c r="U55" s="1">
        <v>5184.5</v>
      </c>
      <c r="V55" s="1">
        <v>1177</v>
      </c>
      <c r="W55" s="1">
        <v>2070.5</v>
      </c>
      <c r="X55" s="1">
        <v>1685.5</v>
      </c>
      <c r="Y55" s="1">
        <v>1889</v>
      </c>
      <c r="Z55" s="1">
        <v>1882</v>
      </c>
      <c r="AA55" s="1">
        <v>840</v>
      </c>
      <c r="AB55" s="1">
        <v>604</v>
      </c>
      <c r="AC55" s="48">
        <f t="shared" si="0"/>
        <v>0.63418442693705868</v>
      </c>
    </row>
    <row r="56" spans="1:29" x14ac:dyDescent="0.35">
      <c r="A56" s="23"/>
      <c r="B56" s="32" t="s">
        <v>159</v>
      </c>
      <c r="C56" s="1">
        <v>1848.5</v>
      </c>
      <c r="D56" s="1">
        <v>1300.5</v>
      </c>
      <c r="E56" s="1">
        <v>1415.5</v>
      </c>
      <c r="F56" s="1">
        <v>3228</v>
      </c>
      <c r="G56" s="1">
        <v>937</v>
      </c>
      <c r="H56" s="1">
        <v>3846.5</v>
      </c>
      <c r="I56" s="1">
        <v>1907.5</v>
      </c>
      <c r="J56" s="1">
        <v>4767.5</v>
      </c>
      <c r="K56" s="1">
        <v>1431</v>
      </c>
      <c r="L56" s="1">
        <v>2765</v>
      </c>
      <c r="M56" s="1">
        <v>2057</v>
      </c>
      <c r="N56" s="1"/>
      <c r="O56" s="1"/>
      <c r="P56" s="1">
        <v>637.5</v>
      </c>
      <c r="Q56" s="1">
        <v>839.5</v>
      </c>
      <c r="R56" s="1">
        <v>2700</v>
      </c>
      <c r="S56" s="1">
        <v>621.5</v>
      </c>
      <c r="T56" s="1">
        <v>3565.5</v>
      </c>
      <c r="U56" s="1">
        <v>4516</v>
      </c>
      <c r="V56" s="1">
        <v>1366.5</v>
      </c>
      <c r="W56" s="1">
        <v>996.5</v>
      </c>
      <c r="X56" s="1">
        <v>2287.5</v>
      </c>
      <c r="Y56" s="1">
        <v>2112.5</v>
      </c>
      <c r="Z56" s="1">
        <v>600.5</v>
      </c>
      <c r="AA56" s="1">
        <v>1759.5</v>
      </c>
      <c r="AB56" s="1">
        <v>1956.5</v>
      </c>
      <c r="AC56" s="48">
        <f t="shared" si="0"/>
        <v>0.34587416192825005</v>
      </c>
    </row>
    <row r="57" spans="1:29" x14ac:dyDescent="0.35">
      <c r="A57" s="23"/>
      <c r="B57" s="32" t="s">
        <v>159</v>
      </c>
      <c r="C57" s="1">
        <v>646.5</v>
      </c>
      <c r="D57" s="1">
        <v>1333</v>
      </c>
      <c r="E57" s="1">
        <v>1471.5</v>
      </c>
      <c r="F57" s="1">
        <v>2225.5</v>
      </c>
      <c r="G57" s="1">
        <v>2296.5</v>
      </c>
      <c r="H57" s="1">
        <v>3423</v>
      </c>
      <c r="I57" s="1">
        <v>702.5</v>
      </c>
      <c r="J57" s="1">
        <v>4957.5</v>
      </c>
      <c r="K57" s="1">
        <v>3372</v>
      </c>
      <c r="L57" s="1">
        <v>1665</v>
      </c>
      <c r="M57" s="1">
        <v>3536.5</v>
      </c>
      <c r="N57" s="1"/>
      <c r="O57" s="1"/>
      <c r="P57" s="1">
        <v>488</v>
      </c>
      <c r="Q57" s="1">
        <v>970</v>
      </c>
      <c r="R57" s="1">
        <v>2994.5</v>
      </c>
      <c r="S57" s="1">
        <v>672</v>
      </c>
      <c r="T57" s="1">
        <v>2798</v>
      </c>
      <c r="U57" s="1">
        <v>3863.5</v>
      </c>
      <c r="V57" s="1">
        <v>246.5</v>
      </c>
      <c r="W57" s="1">
        <v>1598.5</v>
      </c>
      <c r="X57" s="1">
        <v>2547</v>
      </c>
      <c r="Y57" s="1">
        <v>1909</v>
      </c>
      <c r="Z57" s="1">
        <v>2256.5</v>
      </c>
      <c r="AA57" s="1">
        <v>2923</v>
      </c>
      <c r="AB57" s="1">
        <v>1963</v>
      </c>
      <c r="AC57" s="48">
        <f t="shared" si="0"/>
        <v>0.44571296340084576</v>
      </c>
    </row>
    <row r="58" spans="1:29" x14ac:dyDescent="0.35">
      <c r="A58" s="23"/>
      <c r="B58" s="32" t="s">
        <v>159</v>
      </c>
      <c r="C58" s="1">
        <v>299</v>
      </c>
      <c r="D58" s="1">
        <v>1248.5</v>
      </c>
      <c r="E58" s="1">
        <v>1009</v>
      </c>
      <c r="F58" s="1">
        <v>3088.5</v>
      </c>
      <c r="G58" s="1">
        <v>2249</v>
      </c>
      <c r="H58" s="1">
        <v>3036</v>
      </c>
      <c r="I58" s="1">
        <v>200</v>
      </c>
      <c r="J58" s="1">
        <v>4749.5</v>
      </c>
      <c r="K58" s="1">
        <v>3251</v>
      </c>
      <c r="L58" s="1">
        <v>2793</v>
      </c>
      <c r="M58" s="1">
        <v>4511</v>
      </c>
      <c r="N58" s="1"/>
      <c r="O58" s="1"/>
      <c r="P58" s="1">
        <v>688</v>
      </c>
      <c r="Q58" s="1">
        <v>2060.5</v>
      </c>
      <c r="R58" s="1">
        <v>4032</v>
      </c>
      <c r="S58" s="1">
        <v>257</v>
      </c>
      <c r="T58" s="1">
        <v>2467.5</v>
      </c>
      <c r="U58" s="1">
        <v>3701.5</v>
      </c>
      <c r="V58" s="1">
        <v>513</v>
      </c>
      <c r="W58" s="1">
        <v>2293</v>
      </c>
      <c r="X58" s="1">
        <v>1324.5</v>
      </c>
      <c r="Y58" s="1">
        <v>373.5</v>
      </c>
      <c r="Z58" s="1">
        <v>1688</v>
      </c>
      <c r="AA58" s="1">
        <v>1718.5</v>
      </c>
      <c r="AB58" s="1">
        <v>2133</v>
      </c>
      <c r="AC58" s="48">
        <f t="shared" si="0"/>
        <v>0.28526237566618795</v>
      </c>
    </row>
    <row r="59" spans="1:29" x14ac:dyDescent="0.35">
      <c r="A59" s="23" t="s">
        <v>4601</v>
      </c>
      <c r="B59" s="32" t="s">
        <v>159</v>
      </c>
      <c r="C59" s="1">
        <v>1096</v>
      </c>
      <c r="D59" s="1">
        <v>661.5</v>
      </c>
      <c r="E59" s="1">
        <v>801</v>
      </c>
      <c r="F59" s="1">
        <v>2840</v>
      </c>
      <c r="G59" s="1">
        <v>1668.5</v>
      </c>
      <c r="H59" s="1">
        <v>2980.5</v>
      </c>
      <c r="I59" s="1">
        <v>168.5</v>
      </c>
      <c r="J59" s="1">
        <v>3519.5</v>
      </c>
      <c r="K59" s="1">
        <v>4313.5</v>
      </c>
      <c r="L59" s="1">
        <v>1525.5</v>
      </c>
      <c r="M59" s="1">
        <v>3087</v>
      </c>
      <c r="N59" s="1"/>
      <c r="O59" s="1"/>
      <c r="P59" s="1">
        <v>2520</v>
      </c>
      <c r="Q59" s="1">
        <v>1473</v>
      </c>
      <c r="R59" s="1">
        <v>2827</v>
      </c>
      <c r="S59" s="1">
        <v>590</v>
      </c>
      <c r="T59" s="1">
        <v>2315</v>
      </c>
      <c r="U59" s="1">
        <v>4198.5</v>
      </c>
      <c r="V59" s="1">
        <v>330</v>
      </c>
      <c r="W59" s="1">
        <v>1624.5</v>
      </c>
      <c r="X59" s="1">
        <v>906</v>
      </c>
      <c r="Y59" s="1">
        <v>325</v>
      </c>
      <c r="Z59" s="1">
        <v>1358.5</v>
      </c>
      <c r="AA59" s="1">
        <v>1365</v>
      </c>
      <c r="AB59" s="1">
        <v>524</v>
      </c>
      <c r="AC59" s="48">
        <f t="shared" si="0"/>
        <v>0.34120652758757386</v>
      </c>
    </row>
    <row r="60" spans="1:29" x14ac:dyDescent="0.35">
      <c r="A60" s="23"/>
      <c r="B60" s="32" t="s">
        <v>159</v>
      </c>
      <c r="C60" s="1">
        <v>630</v>
      </c>
      <c r="D60" s="1">
        <v>265</v>
      </c>
      <c r="E60" s="1">
        <v>1049</v>
      </c>
      <c r="F60" s="1">
        <v>2396.5</v>
      </c>
      <c r="G60" s="1">
        <v>2049.5</v>
      </c>
      <c r="H60" s="1">
        <v>3034</v>
      </c>
      <c r="I60" s="1">
        <v>981</v>
      </c>
      <c r="J60" s="1">
        <v>3565</v>
      </c>
      <c r="K60" s="1">
        <v>3241</v>
      </c>
      <c r="L60" s="1">
        <v>2287</v>
      </c>
      <c r="M60" s="1">
        <v>2070.5</v>
      </c>
      <c r="N60" s="1"/>
      <c r="O60" s="1"/>
      <c r="P60" s="1">
        <v>2737.5</v>
      </c>
      <c r="Q60" s="1">
        <v>1454</v>
      </c>
      <c r="R60" s="1">
        <v>2678.5</v>
      </c>
      <c r="S60" s="1">
        <v>683</v>
      </c>
      <c r="T60" s="1">
        <v>2639.5</v>
      </c>
      <c r="U60" s="1">
        <v>2021.5</v>
      </c>
      <c r="V60" s="1">
        <v>238.5</v>
      </c>
      <c r="W60" s="1">
        <v>671</v>
      </c>
      <c r="X60" s="1">
        <v>1962.5</v>
      </c>
      <c r="Y60" s="1">
        <v>113.5</v>
      </c>
      <c r="Z60" s="1">
        <v>486</v>
      </c>
      <c r="AA60" s="1">
        <v>679</v>
      </c>
      <c r="AB60" s="1">
        <v>638</v>
      </c>
      <c r="AC60" s="48">
        <f t="shared" si="0"/>
        <v>0.13860447196853851</v>
      </c>
    </row>
    <row r="61" spans="1:29" x14ac:dyDescent="0.35">
      <c r="A61" s="23"/>
      <c r="B61" s="32" t="s">
        <v>159</v>
      </c>
      <c r="C61" s="1">
        <v>1793</v>
      </c>
      <c r="D61" s="1">
        <v>465.5</v>
      </c>
      <c r="E61" s="1">
        <v>863</v>
      </c>
      <c r="F61" s="1">
        <v>2963.5</v>
      </c>
      <c r="G61" s="1">
        <v>2153</v>
      </c>
      <c r="H61" s="1">
        <v>3454.5</v>
      </c>
      <c r="I61" s="1">
        <v>3042.5</v>
      </c>
      <c r="J61" s="1">
        <v>2785</v>
      </c>
      <c r="K61" s="1">
        <v>2697</v>
      </c>
      <c r="L61" s="1">
        <v>696</v>
      </c>
      <c r="M61" s="1">
        <v>2350</v>
      </c>
      <c r="N61" s="1"/>
      <c r="O61" s="1"/>
      <c r="P61" s="1">
        <v>1374.5</v>
      </c>
      <c r="Q61" s="1">
        <v>1431.5</v>
      </c>
      <c r="R61" s="1">
        <v>3352.5</v>
      </c>
      <c r="S61" s="1">
        <v>428.5</v>
      </c>
      <c r="T61" s="1">
        <v>1459.5</v>
      </c>
      <c r="U61" s="1">
        <v>2402</v>
      </c>
      <c r="V61" s="1">
        <v>524.5</v>
      </c>
      <c r="W61" s="1">
        <v>1015</v>
      </c>
      <c r="X61" s="1">
        <v>639.5</v>
      </c>
      <c r="Y61" s="1">
        <v>542</v>
      </c>
      <c r="Z61" s="1">
        <v>1475</v>
      </c>
      <c r="AA61" s="1">
        <v>966</v>
      </c>
      <c r="AB61" s="1">
        <v>799</v>
      </c>
      <c r="AC61" s="48">
        <f t="shared" si="0"/>
        <v>3.5252063418793021E-2</v>
      </c>
    </row>
    <row r="62" spans="1:29" x14ac:dyDescent="0.35">
      <c r="A62" s="23"/>
      <c r="B62" s="32" t="s">
        <v>159</v>
      </c>
      <c r="C62" s="1">
        <v>1668.5</v>
      </c>
      <c r="D62" s="1">
        <v>365.5</v>
      </c>
      <c r="E62" s="1">
        <v>709</v>
      </c>
      <c r="F62" s="1">
        <v>2068.5</v>
      </c>
      <c r="G62" s="1">
        <v>2309</v>
      </c>
      <c r="H62" s="1">
        <v>2738.5</v>
      </c>
      <c r="I62" s="1">
        <v>2894.5</v>
      </c>
      <c r="J62" s="1">
        <v>2316.5</v>
      </c>
      <c r="K62" s="1">
        <v>3163.5</v>
      </c>
      <c r="L62" s="1">
        <v>997</v>
      </c>
      <c r="M62" s="1">
        <v>2195.5</v>
      </c>
      <c r="N62" s="1"/>
      <c r="O62" s="1"/>
      <c r="P62" s="1">
        <v>936</v>
      </c>
      <c r="Q62" s="1">
        <v>1723</v>
      </c>
      <c r="R62" s="1">
        <v>3445</v>
      </c>
      <c r="S62" s="1">
        <v>432</v>
      </c>
      <c r="T62" s="1">
        <v>1237.5</v>
      </c>
      <c r="U62" s="1">
        <v>2103</v>
      </c>
      <c r="V62" s="1">
        <v>1359</v>
      </c>
      <c r="W62" s="1">
        <v>535.5</v>
      </c>
      <c r="X62" s="1">
        <v>2589.5</v>
      </c>
      <c r="Y62" s="1">
        <v>1820</v>
      </c>
      <c r="Z62" s="1">
        <v>707</v>
      </c>
      <c r="AA62" s="1">
        <v>788.5</v>
      </c>
      <c r="AB62" s="1">
        <v>659</v>
      </c>
      <c r="AC62" s="48">
        <f t="shared" si="0"/>
        <v>0.16178527729494308</v>
      </c>
    </row>
    <row r="63" spans="1:29" x14ac:dyDescent="0.35">
      <c r="A63" s="23"/>
      <c r="B63" s="32" t="s">
        <v>159</v>
      </c>
      <c r="C63" s="1">
        <v>771.5</v>
      </c>
      <c r="D63" s="1">
        <v>1033</v>
      </c>
      <c r="E63" s="1">
        <v>277.5</v>
      </c>
      <c r="F63" s="1">
        <v>1551</v>
      </c>
      <c r="G63" s="1">
        <v>2407.5</v>
      </c>
      <c r="H63" s="1">
        <v>2905.5</v>
      </c>
      <c r="I63" s="1">
        <v>1847.5</v>
      </c>
      <c r="J63" s="1">
        <v>2117</v>
      </c>
      <c r="K63" s="1">
        <v>2756.5</v>
      </c>
      <c r="L63" s="1">
        <v>2969</v>
      </c>
      <c r="M63" s="1">
        <v>2465.5</v>
      </c>
      <c r="N63" s="1"/>
      <c r="O63" s="1"/>
      <c r="P63" s="1">
        <v>396</v>
      </c>
      <c r="Q63" s="1">
        <v>213</v>
      </c>
      <c r="R63" s="1">
        <v>2422.5</v>
      </c>
      <c r="S63" s="1">
        <v>411.5</v>
      </c>
      <c r="T63" s="1">
        <v>757</v>
      </c>
      <c r="U63" s="1">
        <v>663.5</v>
      </c>
      <c r="V63" s="1">
        <v>402</v>
      </c>
      <c r="W63" s="1">
        <v>371.5</v>
      </c>
      <c r="X63" s="1">
        <v>3087</v>
      </c>
      <c r="Y63" s="1">
        <v>2871.5</v>
      </c>
      <c r="Z63" s="1">
        <v>419</v>
      </c>
      <c r="AA63" s="1">
        <v>1434</v>
      </c>
      <c r="AB63" s="1">
        <v>125.5</v>
      </c>
      <c r="AC63" s="48">
        <f t="shared" si="0"/>
        <v>4.2907455411731611E-2</v>
      </c>
    </row>
    <row r="64" spans="1:29" x14ac:dyDescent="0.35">
      <c r="A64" s="23"/>
      <c r="B64" s="32" t="s">
        <v>159</v>
      </c>
      <c r="C64" s="1">
        <v>1197</v>
      </c>
      <c r="D64" s="1">
        <v>1126</v>
      </c>
      <c r="E64" s="1">
        <v>1587.5</v>
      </c>
      <c r="F64" s="1">
        <v>1568</v>
      </c>
      <c r="G64" s="1">
        <v>1829</v>
      </c>
      <c r="H64" s="1">
        <v>2645.5</v>
      </c>
      <c r="I64" s="1">
        <v>214</v>
      </c>
      <c r="J64" s="1">
        <v>2159.5</v>
      </c>
      <c r="K64" s="1">
        <v>4492.5</v>
      </c>
      <c r="L64" s="1">
        <v>1368</v>
      </c>
      <c r="M64" s="1">
        <v>1904.5</v>
      </c>
      <c r="N64" s="1"/>
      <c r="O64" s="1"/>
      <c r="P64" s="1">
        <v>549.5</v>
      </c>
      <c r="Q64" s="1">
        <v>560</v>
      </c>
      <c r="R64" s="1">
        <v>2645</v>
      </c>
      <c r="S64" s="1">
        <v>834</v>
      </c>
      <c r="T64" s="1">
        <v>988</v>
      </c>
      <c r="U64" s="1">
        <v>641.5</v>
      </c>
      <c r="V64" s="1">
        <v>881.5</v>
      </c>
      <c r="W64" s="1">
        <v>906</v>
      </c>
      <c r="X64" s="1">
        <v>2250</v>
      </c>
      <c r="Y64" s="1">
        <v>1835.5</v>
      </c>
      <c r="Z64" s="1">
        <v>415.5</v>
      </c>
      <c r="AA64" s="1">
        <v>1641</v>
      </c>
      <c r="AB64" s="1">
        <v>1143</v>
      </c>
      <c r="AC64" s="48">
        <f t="shared" si="0"/>
        <v>9.0020695525006744E-2</v>
      </c>
    </row>
    <row r="65" spans="1:29" x14ac:dyDescent="0.35">
      <c r="A65" s="23"/>
      <c r="B65" s="32" t="s">
        <v>159</v>
      </c>
      <c r="C65" s="1">
        <v>1085.5</v>
      </c>
      <c r="D65" s="1">
        <v>1548.5</v>
      </c>
      <c r="E65" s="1">
        <v>2113</v>
      </c>
      <c r="F65" s="1">
        <v>2153.5</v>
      </c>
      <c r="G65" s="1">
        <v>2338.5</v>
      </c>
      <c r="H65" s="1">
        <v>3007</v>
      </c>
      <c r="I65" s="1">
        <v>341.5</v>
      </c>
      <c r="J65" s="1">
        <v>957</v>
      </c>
      <c r="K65" s="1">
        <v>4866</v>
      </c>
      <c r="L65" s="1">
        <v>683.5</v>
      </c>
      <c r="M65" s="1">
        <v>1397</v>
      </c>
      <c r="N65" s="1"/>
      <c r="O65" s="1"/>
      <c r="P65" s="1">
        <v>563</v>
      </c>
      <c r="Q65" s="1">
        <v>414</v>
      </c>
      <c r="R65" s="1">
        <v>1779.5</v>
      </c>
      <c r="S65" s="1">
        <v>2319.5</v>
      </c>
      <c r="T65" s="1">
        <v>1107</v>
      </c>
      <c r="U65" s="1">
        <v>439.5</v>
      </c>
      <c r="V65" s="1">
        <v>1572.5</v>
      </c>
      <c r="W65" s="1">
        <v>366</v>
      </c>
      <c r="X65" s="1">
        <v>2012.5</v>
      </c>
      <c r="Y65" s="1">
        <v>453.5</v>
      </c>
      <c r="Z65" s="1">
        <v>1339</v>
      </c>
      <c r="AA65" s="1">
        <v>2119</v>
      </c>
      <c r="AB65" s="1">
        <v>3509</v>
      </c>
      <c r="AC65" s="48">
        <f t="shared" si="0"/>
        <v>0.30435023494875796</v>
      </c>
    </row>
    <row r="66" spans="1:29" x14ac:dyDescent="0.35">
      <c r="A66" s="23" t="s">
        <v>4603</v>
      </c>
      <c r="B66" s="32" t="s">
        <v>159</v>
      </c>
      <c r="C66" s="1">
        <v>1242.5</v>
      </c>
      <c r="D66" s="1">
        <v>1063</v>
      </c>
      <c r="E66" s="1">
        <v>2148</v>
      </c>
      <c r="F66" s="1">
        <v>3098</v>
      </c>
      <c r="G66" s="1">
        <v>1794.5</v>
      </c>
      <c r="H66" s="1">
        <v>2298.5</v>
      </c>
      <c r="I66" s="1">
        <v>282</v>
      </c>
      <c r="J66" s="1">
        <v>3771</v>
      </c>
      <c r="K66" s="1">
        <v>4916.5</v>
      </c>
      <c r="L66" s="1">
        <v>1165</v>
      </c>
      <c r="M66" s="1">
        <v>1620.5</v>
      </c>
      <c r="N66" s="1"/>
      <c r="O66" s="1"/>
      <c r="P66" s="1">
        <v>306.5</v>
      </c>
      <c r="Q66" s="1">
        <v>384</v>
      </c>
      <c r="R66" s="1">
        <v>3296.5</v>
      </c>
      <c r="S66" s="1">
        <v>1815.5</v>
      </c>
      <c r="T66" s="1">
        <v>719.5</v>
      </c>
      <c r="U66" s="1">
        <v>530.5</v>
      </c>
      <c r="V66" s="1">
        <v>1424</v>
      </c>
      <c r="W66" s="1">
        <v>2544.5</v>
      </c>
      <c r="X66" s="1">
        <v>311.5</v>
      </c>
      <c r="Y66" s="1">
        <v>629.5</v>
      </c>
      <c r="Z66" s="1">
        <v>3216</v>
      </c>
      <c r="AA66" s="1">
        <v>965.5</v>
      </c>
      <c r="AB66" s="1">
        <v>2260</v>
      </c>
      <c r="AC66" s="48">
        <f t="shared" si="0"/>
        <v>0.16763283410677604</v>
      </c>
    </row>
    <row r="67" spans="1:29" x14ac:dyDescent="0.35">
      <c r="A67" s="23"/>
      <c r="B67" s="32" t="s">
        <v>159</v>
      </c>
      <c r="C67" s="1">
        <v>2246</v>
      </c>
      <c r="D67" s="1">
        <v>767</v>
      </c>
      <c r="E67" s="1">
        <v>708.5</v>
      </c>
      <c r="F67" s="1">
        <v>806</v>
      </c>
      <c r="G67" s="1">
        <v>1260</v>
      </c>
      <c r="H67" s="1">
        <v>2846.5</v>
      </c>
      <c r="I67" s="1">
        <v>808</v>
      </c>
      <c r="J67" s="1">
        <v>1489</v>
      </c>
      <c r="K67" s="1">
        <v>3737</v>
      </c>
      <c r="L67" s="1">
        <v>2364</v>
      </c>
      <c r="M67" s="1">
        <v>1924.5</v>
      </c>
      <c r="N67" s="1"/>
      <c r="O67" s="1"/>
      <c r="P67" s="1">
        <v>1200</v>
      </c>
      <c r="Q67" s="1">
        <v>2421.5</v>
      </c>
      <c r="R67" s="1">
        <v>3081.5</v>
      </c>
      <c r="S67" s="1">
        <v>1043</v>
      </c>
      <c r="T67" s="1">
        <v>333.5</v>
      </c>
      <c r="U67" s="1">
        <v>3234.5</v>
      </c>
      <c r="V67" s="1">
        <v>173</v>
      </c>
      <c r="W67" s="1">
        <v>565</v>
      </c>
      <c r="X67" s="1">
        <v>1021</v>
      </c>
      <c r="Y67" s="1">
        <v>704.5</v>
      </c>
      <c r="Z67" s="1">
        <v>1785</v>
      </c>
      <c r="AA67" s="1">
        <v>500</v>
      </c>
      <c r="AB67" s="1">
        <v>1802</v>
      </c>
      <c r="AC67" s="48">
        <f t="shared" si="0"/>
        <v>0.40761392361759907</v>
      </c>
    </row>
    <row r="68" spans="1:29" x14ac:dyDescent="0.35">
      <c r="A68" s="23"/>
      <c r="B68" s="32" t="s">
        <v>159</v>
      </c>
      <c r="C68" s="1">
        <v>735</v>
      </c>
      <c r="D68" s="1">
        <v>341</v>
      </c>
      <c r="E68" s="1">
        <v>1606</v>
      </c>
      <c r="F68" s="1">
        <v>1099</v>
      </c>
      <c r="G68" s="1">
        <v>1823.5</v>
      </c>
      <c r="H68" s="1">
        <v>3144.5</v>
      </c>
      <c r="I68" s="1">
        <v>2108</v>
      </c>
      <c r="J68" s="1">
        <v>910.5</v>
      </c>
      <c r="K68" s="1">
        <v>1475.5</v>
      </c>
      <c r="L68" s="1">
        <v>619</v>
      </c>
      <c r="M68" s="1">
        <v>1313.5</v>
      </c>
      <c r="N68" s="1"/>
      <c r="O68" s="1"/>
      <c r="P68" s="1">
        <v>1280.5</v>
      </c>
      <c r="Q68" s="1">
        <v>2083.5</v>
      </c>
      <c r="R68" s="1">
        <v>2020.5</v>
      </c>
      <c r="S68" s="1">
        <v>638.5</v>
      </c>
      <c r="T68" s="1">
        <v>821</v>
      </c>
      <c r="U68" s="1">
        <v>3154.5</v>
      </c>
      <c r="V68" s="1">
        <v>625</v>
      </c>
      <c r="W68" s="1">
        <v>718.5</v>
      </c>
      <c r="X68" s="1">
        <v>2248.5</v>
      </c>
      <c r="Y68" s="1">
        <v>1260.5</v>
      </c>
      <c r="Z68" s="1">
        <v>1463.5</v>
      </c>
      <c r="AA68" s="1">
        <v>354</v>
      </c>
      <c r="AB68" s="1">
        <v>1019.5</v>
      </c>
      <c r="AC68" s="48">
        <f t="shared" ref="AC68:AC88" si="1">_xlfn.T.TEST(P68:AB68,C68:M68,2,2)</f>
        <v>0.954490753064695</v>
      </c>
    </row>
    <row r="69" spans="1:29" x14ac:dyDescent="0.35">
      <c r="A69" s="23"/>
      <c r="B69" s="32" t="s">
        <v>159</v>
      </c>
      <c r="C69" s="1">
        <v>555.5</v>
      </c>
      <c r="D69" s="1">
        <v>1721.5</v>
      </c>
      <c r="E69" s="1">
        <v>941</v>
      </c>
      <c r="F69" s="1">
        <v>482.5</v>
      </c>
      <c r="G69" s="1">
        <v>706.5</v>
      </c>
      <c r="H69" s="1">
        <v>2557.5</v>
      </c>
      <c r="I69" s="1">
        <v>2544</v>
      </c>
      <c r="J69" s="1">
        <v>487</v>
      </c>
      <c r="K69" s="1">
        <v>2858.5</v>
      </c>
      <c r="L69" s="1">
        <v>2510.5</v>
      </c>
      <c r="M69" s="1">
        <v>1370.5</v>
      </c>
      <c r="N69" s="1"/>
      <c r="O69" s="1"/>
      <c r="P69" s="1">
        <v>418.5</v>
      </c>
      <c r="Q69" s="1">
        <v>1019</v>
      </c>
      <c r="R69" s="1">
        <v>1446</v>
      </c>
      <c r="S69" s="1">
        <v>2327</v>
      </c>
      <c r="T69" s="1">
        <v>1289</v>
      </c>
      <c r="U69" s="1">
        <v>840.5</v>
      </c>
      <c r="V69" s="1">
        <v>395</v>
      </c>
      <c r="W69" s="1">
        <v>1933.5</v>
      </c>
      <c r="X69" s="1">
        <v>1402.5</v>
      </c>
      <c r="Y69" s="1">
        <v>1326.5</v>
      </c>
      <c r="Z69" s="1">
        <v>1730.5</v>
      </c>
      <c r="AA69" s="1">
        <v>185.5</v>
      </c>
      <c r="AB69" s="1">
        <v>1575.5</v>
      </c>
      <c r="AC69" s="48">
        <f t="shared" si="1"/>
        <v>0.3670919261534743</v>
      </c>
    </row>
    <row r="70" spans="1:29" x14ac:dyDescent="0.35">
      <c r="A70" s="23"/>
      <c r="B70" s="32" t="s">
        <v>159</v>
      </c>
      <c r="C70" s="1">
        <v>411.5</v>
      </c>
      <c r="D70" s="1">
        <v>967.5</v>
      </c>
      <c r="E70" s="1">
        <v>397</v>
      </c>
      <c r="F70" s="1">
        <v>650</v>
      </c>
      <c r="G70" s="1">
        <v>587.5</v>
      </c>
      <c r="H70" s="1">
        <v>2748.5</v>
      </c>
      <c r="I70" s="1">
        <v>657</v>
      </c>
      <c r="J70" s="1">
        <v>883</v>
      </c>
      <c r="K70" s="1">
        <v>2056</v>
      </c>
      <c r="L70" s="1">
        <v>2014.5</v>
      </c>
      <c r="M70" s="1">
        <v>530</v>
      </c>
      <c r="N70" s="1"/>
      <c r="O70" s="1"/>
      <c r="P70" s="1">
        <v>1684.5</v>
      </c>
      <c r="Q70" s="1">
        <v>834.5</v>
      </c>
      <c r="R70" s="1">
        <v>531.5</v>
      </c>
      <c r="S70" s="1">
        <v>1509</v>
      </c>
      <c r="T70" s="1">
        <v>2432</v>
      </c>
      <c r="U70" s="1">
        <v>797</v>
      </c>
      <c r="V70" s="1">
        <v>328.5</v>
      </c>
      <c r="W70" s="1">
        <v>2295</v>
      </c>
      <c r="X70" s="1">
        <v>1888.5</v>
      </c>
      <c r="Y70" s="1">
        <v>2880</v>
      </c>
      <c r="Z70" s="1">
        <v>2171.5</v>
      </c>
      <c r="AA70" s="1">
        <v>590</v>
      </c>
      <c r="AB70" s="1">
        <v>873</v>
      </c>
      <c r="AC70" s="48">
        <f t="shared" si="1"/>
        <v>0.29126526584862822</v>
      </c>
    </row>
    <row r="71" spans="1:29" x14ac:dyDescent="0.35">
      <c r="A71" s="23"/>
      <c r="B71" s="32" t="s">
        <v>159</v>
      </c>
      <c r="C71" s="1">
        <v>391.5</v>
      </c>
      <c r="D71" s="1">
        <v>487.5</v>
      </c>
      <c r="E71" s="1">
        <v>868</v>
      </c>
      <c r="F71" s="1">
        <v>406</v>
      </c>
      <c r="G71" s="1">
        <v>810</v>
      </c>
      <c r="H71" s="1">
        <v>2705.5</v>
      </c>
      <c r="I71" s="1">
        <v>138.5</v>
      </c>
      <c r="J71" s="1">
        <v>689.5</v>
      </c>
      <c r="K71" s="1">
        <v>1995.5</v>
      </c>
      <c r="L71" s="1">
        <v>1807</v>
      </c>
      <c r="M71" s="1">
        <v>543</v>
      </c>
      <c r="N71" s="1"/>
      <c r="O71" s="1"/>
      <c r="P71" s="1">
        <v>1335</v>
      </c>
      <c r="Q71" s="1">
        <v>1158.5</v>
      </c>
      <c r="R71" s="1">
        <v>604</v>
      </c>
      <c r="S71" s="1">
        <v>1448</v>
      </c>
      <c r="T71" s="1">
        <v>501.5</v>
      </c>
      <c r="U71" s="1">
        <v>911</v>
      </c>
      <c r="V71" s="1">
        <v>526</v>
      </c>
      <c r="W71" s="1">
        <v>593</v>
      </c>
      <c r="X71" s="1">
        <v>2472</v>
      </c>
      <c r="Y71" s="1">
        <v>2796.5</v>
      </c>
      <c r="Z71" s="1">
        <v>1398.5</v>
      </c>
      <c r="AA71" s="1">
        <v>135</v>
      </c>
      <c r="AB71" s="1">
        <v>308</v>
      </c>
      <c r="AC71" s="48">
        <f t="shared" si="1"/>
        <v>0.75327100120655444</v>
      </c>
    </row>
    <row r="72" spans="1:29" x14ac:dyDescent="0.35">
      <c r="A72" s="23"/>
      <c r="B72" s="32" t="s">
        <v>159</v>
      </c>
      <c r="C72" s="1">
        <v>1169.5</v>
      </c>
      <c r="D72" s="1">
        <v>147</v>
      </c>
      <c r="E72" s="1">
        <v>458</v>
      </c>
      <c r="F72" s="1">
        <v>105</v>
      </c>
      <c r="G72" s="1">
        <v>783.5</v>
      </c>
      <c r="H72" s="1">
        <v>1295.5</v>
      </c>
      <c r="I72" s="1">
        <v>318.5</v>
      </c>
      <c r="J72" s="1">
        <v>66</v>
      </c>
      <c r="K72" s="1">
        <v>1603</v>
      </c>
      <c r="L72" s="1">
        <v>2161.5</v>
      </c>
      <c r="M72" s="1">
        <v>2008</v>
      </c>
      <c r="N72" s="1"/>
      <c r="O72" s="1"/>
      <c r="P72" s="1">
        <v>492</v>
      </c>
      <c r="Q72" s="1">
        <v>1240</v>
      </c>
      <c r="R72" s="1">
        <v>1468.5</v>
      </c>
      <c r="S72" s="1">
        <v>2160</v>
      </c>
      <c r="T72" s="1">
        <v>1008</v>
      </c>
      <c r="U72" s="1">
        <v>4776</v>
      </c>
      <c r="V72" s="1">
        <v>211</v>
      </c>
      <c r="W72" s="1">
        <v>766.5</v>
      </c>
      <c r="X72" s="1">
        <v>401.5</v>
      </c>
      <c r="Y72" s="1">
        <v>2413.5</v>
      </c>
      <c r="Z72" s="1">
        <v>267.5</v>
      </c>
      <c r="AA72" s="1">
        <v>1253.5</v>
      </c>
      <c r="AB72" s="1">
        <v>343</v>
      </c>
      <c r="AC72" s="48">
        <f t="shared" si="1"/>
        <v>0.40318204209286046</v>
      </c>
    </row>
    <row r="73" spans="1:29" x14ac:dyDescent="0.35">
      <c r="A73" s="23" t="s">
        <v>4605</v>
      </c>
      <c r="B73" s="32" t="s">
        <v>159</v>
      </c>
      <c r="C73" s="1">
        <v>666.5</v>
      </c>
      <c r="D73" s="1">
        <v>294.5</v>
      </c>
      <c r="E73" s="1">
        <v>942</v>
      </c>
      <c r="F73" s="1">
        <v>127.5</v>
      </c>
      <c r="G73" s="1">
        <v>1856.5</v>
      </c>
      <c r="H73" s="1">
        <v>275.5</v>
      </c>
      <c r="I73" s="1">
        <v>187.5</v>
      </c>
      <c r="J73" s="1">
        <v>697.5</v>
      </c>
      <c r="K73" s="1">
        <v>1440</v>
      </c>
      <c r="L73" s="1">
        <v>1019.5</v>
      </c>
      <c r="M73" s="1">
        <v>1492</v>
      </c>
      <c r="N73" s="1"/>
      <c r="O73" s="1"/>
      <c r="P73" s="1">
        <v>308.5</v>
      </c>
      <c r="Q73" s="1">
        <v>664.5</v>
      </c>
      <c r="R73" s="1">
        <v>1701</v>
      </c>
      <c r="S73" s="1">
        <v>4029.5</v>
      </c>
      <c r="T73" s="1">
        <v>1876</v>
      </c>
      <c r="U73" s="1">
        <v>2490</v>
      </c>
      <c r="V73" s="1">
        <v>227</v>
      </c>
      <c r="W73" s="1">
        <v>1219</v>
      </c>
      <c r="X73" s="1">
        <v>1333</v>
      </c>
      <c r="Y73" s="1">
        <v>366.5</v>
      </c>
      <c r="Z73" s="1">
        <v>734.5</v>
      </c>
      <c r="AA73" s="1">
        <v>1436</v>
      </c>
      <c r="AB73" s="1">
        <v>406.5</v>
      </c>
      <c r="AC73" s="48">
        <f t="shared" si="1"/>
        <v>0.20668170385257933</v>
      </c>
    </row>
    <row r="74" spans="1:29" x14ac:dyDescent="0.35">
      <c r="A74" s="23"/>
      <c r="B74" s="32" t="s">
        <v>159</v>
      </c>
      <c r="C74" s="1">
        <v>1715.5</v>
      </c>
      <c r="D74" s="1">
        <v>523.5</v>
      </c>
      <c r="E74" s="1">
        <v>1562.5</v>
      </c>
      <c r="F74" s="1">
        <v>522.5</v>
      </c>
      <c r="G74" s="1">
        <v>1155.5</v>
      </c>
      <c r="H74" s="1">
        <v>286.5</v>
      </c>
      <c r="I74" s="1">
        <v>151</v>
      </c>
      <c r="J74" s="1">
        <v>738</v>
      </c>
      <c r="K74" s="1">
        <v>2976.5</v>
      </c>
      <c r="L74" s="1">
        <v>872.5</v>
      </c>
      <c r="M74" s="1">
        <v>1619.5</v>
      </c>
      <c r="N74" s="1"/>
      <c r="O74" s="1"/>
      <c r="P74" s="1">
        <v>365</v>
      </c>
      <c r="Q74" s="1">
        <v>1162.5</v>
      </c>
      <c r="R74" s="1">
        <v>634</v>
      </c>
      <c r="S74" s="1">
        <v>2795.5</v>
      </c>
      <c r="T74" s="1">
        <v>465</v>
      </c>
      <c r="U74" s="1">
        <v>575</v>
      </c>
      <c r="V74" s="1">
        <v>442.5</v>
      </c>
      <c r="W74" s="1">
        <v>203</v>
      </c>
      <c r="X74" s="1">
        <v>991.5</v>
      </c>
      <c r="Y74" s="1">
        <v>1374.5</v>
      </c>
      <c r="Z74" s="1">
        <v>312.5</v>
      </c>
      <c r="AA74" s="1">
        <v>1042.5</v>
      </c>
      <c r="AB74" s="1">
        <v>1143.5</v>
      </c>
      <c r="AC74" s="48">
        <f t="shared" si="1"/>
        <v>0.48898673305925378</v>
      </c>
    </row>
    <row r="75" spans="1:29" x14ac:dyDescent="0.35">
      <c r="A75" s="23"/>
      <c r="B75" s="32" t="s">
        <v>159</v>
      </c>
      <c r="C75" s="1">
        <v>1352</v>
      </c>
      <c r="D75" s="1">
        <v>511.5</v>
      </c>
      <c r="E75" s="1">
        <v>1353</v>
      </c>
      <c r="F75" s="1">
        <v>256</v>
      </c>
      <c r="G75" s="1">
        <v>1489</v>
      </c>
      <c r="H75" s="1">
        <v>1598</v>
      </c>
      <c r="I75" s="1">
        <v>227</v>
      </c>
      <c r="J75" s="1">
        <v>1660.5</v>
      </c>
      <c r="K75" s="1">
        <v>659</v>
      </c>
      <c r="L75" s="1">
        <v>1475.5</v>
      </c>
      <c r="M75" s="1">
        <v>1727</v>
      </c>
      <c r="N75" s="1"/>
      <c r="O75" s="1"/>
      <c r="P75" s="1">
        <v>258</v>
      </c>
      <c r="Q75" s="1">
        <v>173.5</v>
      </c>
      <c r="R75" s="1">
        <v>725.5</v>
      </c>
      <c r="S75" s="1">
        <v>1309</v>
      </c>
      <c r="T75" s="1">
        <v>734</v>
      </c>
      <c r="U75" s="1">
        <v>422.5</v>
      </c>
      <c r="V75" s="1">
        <v>1073</v>
      </c>
      <c r="W75" s="1">
        <v>1961.5</v>
      </c>
      <c r="X75" s="1">
        <v>1809</v>
      </c>
      <c r="Y75" s="1">
        <v>1224</v>
      </c>
      <c r="Z75" s="1">
        <v>590</v>
      </c>
      <c r="AA75" s="1">
        <v>1203.5</v>
      </c>
      <c r="AB75" s="1">
        <v>553</v>
      </c>
      <c r="AC75" s="48">
        <f t="shared" si="1"/>
        <v>0.41786050697427224</v>
      </c>
    </row>
    <row r="76" spans="1:29" x14ac:dyDescent="0.35">
      <c r="A76" s="23"/>
      <c r="B76" s="32" t="s">
        <v>159</v>
      </c>
      <c r="C76" s="1">
        <v>695</v>
      </c>
      <c r="D76" s="1">
        <v>383.5</v>
      </c>
      <c r="E76" s="1">
        <v>662</v>
      </c>
      <c r="F76" s="1">
        <v>1687</v>
      </c>
      <c r="G76" s="1">
        <v>922</v>
      </c>
      <c r="H76" s="1">
        <v>2835.5</v>
      </c>
      <c r="I76" s="1">
        <v>226.5</v>
      </c>
      <c r="J76" s="1">
        <v>893.5</v>
      </c>
      <c r="K76" s="1">
        <v>258.5</v>
      </c>
      <c r="L76" s="1">
        <v>1596</v>
      </c>
      <c r="M76" s="1">
        <v>1590.5</v>
      </c>
      <c r="N76" s="1"/>
      <c r="O76" s="1"/>
      <c r="P76" s="1">
        <v>353</v>
      </c>
      <c r="Q76" s="1">
        <v>876.5</v>
      </c>
      <c r="R76" s="1">
        <v>358.5</v>
      </c>
      <c r="S76" s="1">
        <v>382</v>
      </c>
      <c r="T76" s="1">
        <v>2146.5</v>
      </c>
      <c r="U76" s="1">
        <v>423.5</v>
      </c>
      <c r="V76" s="1">
        <v>1057</v>
      </c>
      <c r="W76" s="1">
        <v>3683.5</v>
      </c>
      <c r="X76" s="1">
        <v>845.5</v>
      </c>
      <c r="Y76" s="1">
        <v>259.5</v>
      </c>
      <c r="Z76" s="1">
        <v>1210</v>
      </c>
      <c r="AA76" s="1">
        <v>1097.5</v>
      </c>
      <c r="AB76" s="1">
        <v>1624</v>
      </c>
      <c r="AC76" s="48">
        <f t="shared" si="1"/>
        <v>0.92797837808202255</v>
      </c>
    </row>
    <row r="77" spans="1:29" x14ac:dyDescent="0.35">
      <c r="A77" s="23"/>
      <c r="B77" s="32" t="s">
        <v>159</v>
      </c>
      <c r="C77" s="1">
        <v>575</v>
      </c>
      <c r="D77" s="1">
        <v>461</v>
      </c>
      <c r="E77" s="1">
        <v>454</v>
      </c>
      <c r="F77" s="1">
        <v>741.5</v>
      </c>
      <c r="G77" s="1">
        <v>610.5</v>
      </c>
      <c r="H77" s="1">
        <v>1223.5</v>
      </c>
      <c r="I77" s="1">
        <v>461.5</v>
      </c>
      <c r="J77" s="1">
        <v>551</v>
      </c>
      <c r="K77" s="1">
        <v>570.5</v>
      </c>
      <c r="L77" s="1">
        <v>1870</v>
      </c>
      <c r="M77" s="1">
        <v>568.5</v>
      </c>
      <c r="N77" s="1"/>
      <c r="O77" s="1"/>
      <c r="P77" s="1">
        <v>109.5</v>
      </c>
      <c r="Q77" s="1">
        <v>2261.5</v>
      </c>
      <c r="R77" s="1">
        <v>472.5</v>
      </c>
      <c r="S77" s="1">
        <v>195</v>
      </c>
      <c r="T77" s="1">
        <v>1704</v>
      </c>
      <c r="U77" s="1">
        <v>407</v>
      </c>
      <c r="V77" s="1">
        <v>385.5</v>
      </c>
      <c r="W77" s="1">
        <v>510.5</v>
      </c>
      <c r="X77" s="1">
        <v>280.5</v>
      </c>
      <c r="Y77" s="1">
        <v>1122</v>
      </c>
      <c r="Z77" s="1">
        <v>570</v>
      </c>
      <c r="AA77" s="1">
        <v>554.5</v>
      </c>
      <c r="AB77" s="1">
        <v>964</v>
      </c>
      <c r="AC77" s="48">
        <f t="shared" si="1"/>
        <v>0.99438116655183828</v>
      </c>
    </row>
    <row r="78" spans="1:29" x14ac:dyDescent="0.35">
      <c r="A78" s="23"/>
      <c r="B78" s="32" t="s">
        <v>159</v>
      </c>
      <c r="C78" s="1">
        <v>247.5</v>
      </c>
      <c r="D78" s="1">
        <v>336</v>
      </c>
      <c r="E78" s="1">
        <v>684</v>
      </c>
      <c r="F78" s="1">
        <v>1649.5</v>
      </c>
      <c r="G78" s="1">
        <v>937.5</v>
      </c>
      <c r="H78" s="1">
        <v>722.5</v>
      </c>
      <c r="I78" s="1">
        <v>491</v>
      </c>
      <c r="J78" s="1">
        <v>757</v>
      </c>
      <c r="K78" s="1">
        <v>724.5</v>
      </c>
      <c r="L78" s="1">
        <v>1065.5</v>
      </c>
      <c r="M78" s="1">
        <v>327</v>
      </c>
      <c r="N78" s="1"/>
      <c r="O78" s="1"/>
      <c r="P78" s="1">
        <v>203</v>
      </c>
      <c r="Q78" s="1">
        <v>437.5</v>
      </c>
      <c r="R78" s="1">
        <v>3397</v>
      </c>
      <c r="S78" s="1">
        <v>314</v>
      </c>
      <c r="T78" s="1">
        <v>513.5</v>
      </c>
      <c r="U78" s="1">
        <v>317</v>
      </c>
      <c r="V78" s="1">
        <v>411</v>
      </c>
      <c r="W78" s="1">
        <v>644.5</v>
      </c>
      <c r="X78" s="1">
        <v>1350</v>
      </c>
      <c r="Y78" s="1">
        <v>2556</v>
      </c>
      <c r="Z78" s="1">
        <v>2207.5</v>
      </c>
      <c r="AA78" s="1">
        <v>246</v>
      </c>
      <c r="AB78" s="1">
        <v>370</v>
      </c>
      <c r="AC78" s="48">
        <f t="shared" si="1"/>
        <v>0.4230079244565027</v>
      </c>
    </row>
    <row r="79" spans="1:29" x14ac:dyDescent="0.35">
      <c r="A79" s="23"/>
      <c r="B79" s="32" t="s">
        <v>159</v>
      </c>
      <c r="C79" s="1">
        <v>1740.5</v>
      </c>
      <c r="D79" s="1">
        <v>512</v>
      </c>
      <c r="E79" s="1">
        <v>325.5</v>
      </c>
      <c r="F79" s="1">
        <v>1235</v>
      </c>
      <c r="G79" s="1">
        <v>374.5</v>
      </c>
      <c r="H79" s="1">
        <v>1726.5</v>
      </c>
      <c r="I79" s="1">
        <v>424.5</v>
      </c>
      <c r="J79" s="1">
        <v>453.5</v>
      </c>
      <c r="K79" s="1">
        <v>392</v>
      </c>
      <c r="L79" s="1">
        <v>1572.5</v>
      </c>
      <c r="M79" s="1">
        <v>863.5</v>
      </c>
      <c r="N79" s="1"/>
      <c r="O79" s="1"/>
      <c r="P79" s="1">
        <v>185.5</v>
      </c>
      <c r="Q79" s="1">
        <v>275.5</v>
      </c>
      <c r="R79" s="1">
        <v>1178.5</v>
      </c>
      <c r="S79" s="1">
        <v>430.5</v>
      </c>
      <c r="T79" s="1">
        <v>519.5</v>
      </c>
      <c r="U79" s="1">
        <v>286.5</v>
      </c>
      <c r="V79" s="1">
        <v>265.5</v>
      </c>
      <c r="W79" s="1">
        <v>555.5</v>
      </c>
      <c r="X79" s="1">
        <v>1569.5</v>
      </c>
      <c r="Y79" s="1">
        <v>1082</v>
      </c>
      <c r="Z79" s="1">
        <v>1595</v>
      </c>
      <c r="AA79" s="1">
        <v>101</v>
      </c>
      <c r="AB79" s="1">
        <v>846</v>
      </c>
      <c r="AC79" s="48">
        <f t="shared" si="1"/>
        <v>0.40562361156714455</v>
      </c>
    </row>
    <row r="80" spans="1:29" x14ac:dyDescent="0.35">
      <c r="A80" s="23" t="s">
        <v>4607</v>
      </c>
      <c r="B80" s="32" t="s">
        <v>159</v>
      </c>
      <c r="C80" s="1">
        <v>1036</v>
      </c>
      <c r="D80" s="1">
        <v>1630.5</v>
      </c>
      <c r="E80" s="1">
        <v>847.5</v>
      </c>
      <c r="F80" s="1">
        <v>389.5</v>
      </c>
      <c r="G80" s="1">
        <v>349.5</v>
      </c>
      <c r="H80" s="1">
        <v>2282</v>
      </c>
      <c r="I80" s="1">
        <v>1292.5</v>
      </c>
      <c r="J80" s="1">
        <v>135.5</v>
      </c>
      <c r="K80" s="1">
        <v>351.5</v>
      </c>
      <c r="L80" s="1">
        <v>511.5</v>
      </c>
      <c r="M80" s="1">
        <v>1391</v>
      </c>
      <c r="N80" s="1"/>
      <c r="O80" s="1"/>
      <c r="P80" s="1">
        <v>609.5</v>
      </c>
      <c r="Q80" s="1">
        <v>718</v>
      </c>
      <c r="R80" s="1">
        <v>489</v>
      </c>
      <c r="S80" s="1">
        <v>153.5</v>
      </c>
      <c r="T80" s="1">
        <v>355</v>
      </c>
      <c r="U80" s="1">
        <v>1499</v>
      </c>
      <c r="V80" s="1">
        <v>272.5</v>
      </c>
      <c r="W80" s="1">
        <v>525.5</v>
      </c>
      <c r="X80" s="1">
        <v>848.5</v>
      </c>
      <c r="Y80" s="1">
        <v>1076.5</v>
      </c>
      <c r="Z80" s="1">
        <v>430</v>
      </c>
      <c r="AA80" s="1">
        <v>1253.5</v>
      </c>
      <c r="AB80" s="1">
        <v>1523.5</v>
      </c>
      <c r="AC80" s="48">
        <f t="shared" si="1"/>
        <v>0.44680841281440709</v>
      </c>
    </row>
    <row r="81" spans="1:29" x14ac:dyDescent="0.35">
      <c r="A81" s="23"/>
      <c r="B81" s="32" t="s">
        <v>159</v>
      </c>
      <c r="C81" s="1">
        <v>425</v>
      </c>
      <c r="D81" s="1">
        <v>1603.5</v>
      </c>
      <c r="E81" s="1">
        <v>1091</v>
      </c>
      <c r="F81" s="1">
        <v>97.5</v>
      </c>
      <c r="G81" s="1">
        <v>740</v>
      </c>
      <c r="H81" s="1">
        <v>1748.5</v>
      </c>
      <c r="I81" s="1">
        <v>1520.5</v>
      </c>
      <c r="J81" s="1">
        <v>1332.5</v>
      </c>
      <c r="K81" s="1">
        <v>505.5</v>
      </c>
      <c r="L81" s="1">
        <v>499.5</v>
      </c>
      <c r="M81" s="1">
        <v>1805</v>
      </c>
      <c r="N81" s="1"/>
      <c r="O81" s="1"/>
      <c r="P81" s="1">
        <v>388</v>
      </c>
      <c r="Q81" s="1">
        <v>1626</v>
      </c>
      <c r="R81" s="1">
        <v>402</v>
      </c>
      <c r="S81" s="1">
        <v>424</v>
      </c>
      <c r="T81" s="1">
        <v>381.5</v>
      </c>
      <c r="U81" s="1">
        <v>2196</v>
      </c>
      <c r="V81" s="1">
        <v>865</v>
      </c>
      <c r="W81" s="1">
        <v>552</v>
      </c>
      <c r="X81" s="1">
        <v>1718.5</v>
      </c>
      <c r="Y81" s="1">
        <v>2311.5</v>
      </c>
      <c r="Z81" s="1">
        <v>96.5</v>
      </c>
      <c r="AA81" s="1">
        <v>1070</v>
      </c>
      <c r="AB81" s="1">
        <v>1463</v>
      </c>
      <c r="AC81" s="48">
        <f t="shared" si="1"/>
        <v>0.98739654727230186</v>
      </c>
    </row>
    <row r="82" spans="1:29" x14ac:dyDescent="0.35">
      <c r="A82" s="23"/>
      <c r="B82" s="32" t="s">
        <v>159</v>
      </c>
      <c r="C82" s="1">
        <v>1329</v>
      </c>
      <c r="D82" s="1">
        <v>519</v>
      </c>
      <c r="E82" s="1">
        <v>1128.5</v>
      </c>
      <c r="F82" s="1">
        <v>300.5</v>
      </c>
      <c r="G82" s="1">
        <v>1097</v>
      </c>
      <c r="H82" s="1">
        <v>1857.5</v>
      </c>
      <c r="I82" s="1">
        <v>975</v>
      </c>
      <c r="J82" s="1">
        <v>512.5</v>
      </c>
      <c r="K82" s="1">
        <v>788.5</v>
      </c>
      <c r="L82" s="1">
        <v>544.5</v>
      </c>
      <c r="M82" s="1">
        <v>1534.5</v>
      </c>
      <c r="N82" s="1"/>
      <c r="O82" s="1"/>
      <c r="P82" s="1">
        <v>299.5</v>
      </c>
      <c r="Q82" s="1">
        <v>1202</v>
      </c>
      <c r="R82" s="1">
        <v>705.5</v>
      </c>
      <c r="S82" s="1">
        <v>534</v>
      </c>
      <c r="T82" s="1">
        <v>638</v>
      </c>
      <c r="U82" s="1">
        <v>1856</v>
      </c>
      <c r="V82" s="1">
        <v>261</v>
      </c>
      <c r="W82" s="1">
        <v>788.5</v>
      </c>
      <c r="X82" s="1">
        <v>1525.5</v>
      </c>
      <c r="Y82" s="1">
        <v>1362</v>
      </c>
      <c r="Z82" s="1">
        <v>1047.5</v>
      </c>
      <c r="AA82" s="1">
        <v>304</v>
      </c>
      <c r="AB82" s="1">
        <v>1070.5</v>
      </c>
      <c r="AC82" s="48">
        <f t="shared" si="1"/>
        <v>0.73110352712644</v>
      </c>
    </row>
    <row r="83" spans="1:29" x14ac:dyDescent="0.35">
      <c r="A83" s="23"/>
      <c r="B83" s="32" t="s">
        <v>159</v>
      </c>
      <c r="C83" s="1">
        <v>1002</v>
      </c>
      <c r="D83" s="1">
        <v>277</v>
      </c>
      <c r="E83" s="1">
        <v>1302</v>
      </c>
      <c r="F83" s="1">
        <v>2093</v>
      </c>
      <c r="G83" s="1">
        <v>850.5</v>
      </c>
      <c r="H83" s="1">
        <v>1499</v>
      </c>
      <c r="I83" s="1">
        <v>392</v>
      </c>
      <c r="J83" s="1">
        <v>840.5</v>
      </c>
      <c r="K83" s="1">
        <v>2848</v>
      </c>
      <c r="L83" s="1">
        <v>2225</v>
      </c>
      <c r="M83" s="1">
        <v>2135.5</v>
      </c>
      <c r="N83" s="1"/>
      <c r="O83" s="1"/>
      <c r="P83" s="1">
        <v>2402.5</v>
      </c>
      <c r="Q83" s="1">
        <v>1000</v>
      </c>
      <c r="R83" s="1">
        <v>1834</v>
      </c>
      <c r="S83" s="1">
        <v>172</v>
      </c>
      <c r="T83" s="1">
        <v>1553.5</v>
      </c>
      <c r="U83" s="1">
        <v>1555</v>
      </c>
      <c r="V83" s="1">
        <v>1511.5</v>
      </c>
      <c r="W83" s="1">
        <v>349</v>
      </c>
      <c r="X83" s="1">
        <v>1651</v>
      </c>
      <c r="Y83" s="1">
        <v>319.5</v>
      </c>
      <c r="Z83" s="1">
        <v>363.5</v>
      </c>
      <c r="AA83" s="1">
        <v>1179</v>
      </c>
      <c r="AB83" s="1">
        <v>1046.5</v>
      </c>
      <c r="AC83" s="48">
        <f t="shared" si="1"/>
        <v>0.41544231799696929</v>
      </c>
    </row>
    <row r="84" spans="1:29" x14ac:dyDescent="0.35">
      <c r="A84" s="23"/>
      <c r="B84" s="32" t="s">
        <v>159</v>
      </c>
      <c r="C84" s="1">
        <v>602.5</v>
      </c>
      <c r="D84" s="1">
        <v>538.5</v>
      </c>
      <c r="E84" s="1">
        <v>713</v>
      </c>
      <c r="F84" s="1">
        <v>3363.5</v>
      </c>
      <c r="G84" s="1">
        <v>1373.5</v>
      </c>
      <c r="H84" s="1">
        <v>1920</v>
      </c>
      <c r="I84" s="1">
        <v>993.5</v>
      </c>
      <c r="J84" s="1">
        <v>152</v>
      </c>
      <c r="K84" s="1">
        <v>1666.5</v>
      </c>
      <c r="L84" s="1">
        <v>1137.5</v>
      </c>
      <c r="M84" s="1">
        <v>1468.5</v>
      </c>
      <c r="N84" s="1"/>
      <c r="O84" s="1"/>
      <c r="P84" s="1">
        <v>693</v>
      </c>
      <c r="Q84" s="1">
        <v>1152.5</v>
      </c>
      <c r="R84" s="1">
        <v>1551.5</v>
      </c>
      <c r="S84" s="1">
        <v>1851</v>
      </c>
      <c r="T84" s="1">
        <v>1158</v>
      </c>
      <c r="U84" s="1">
        <v>1148</v>
      </c>
      <c r="V84" s="1">
        <v>1028.5</v>
      </c>
      <c r="W84" s="1">
        <v>475</v>
      </c>
      <c r="X84" s="1">
        <v>1477.5</v>
      </c>
      <c r="Y84" s="1">
        <v>399.5</v>
      </c>
      <c r="Z84" s="1">
        <v>188.5</v>
      </c>
      <c r="AA84" s="1">
        <v>1802</v>
      </c>
      <c r="AB84" s="1">
        <v>285</v>
      </c>
      <c r="AC84" s="48">
        <f t="shared" si="1"/>
        <v>0.407802858055897</v>
      </c>
    </row>
    <row r="85" spans="1:29" x14ac:dyDescent="0.35">
      <c r="A85" s="23"/>
      <c r="B85" s="32" t="s">
        <v>159</v>
      </c>
      <c r="C85" s="1">
        <v>219</v>
      </c>
      <c r="D85" s="1">
        <v>1515</v>
      </c>
      <c r="E85" s="1">
        <v>1133.5</v>
      </c>
      <c r="F85" s="1">
        <v>1123</v>
      </c>
      <c r="G85" s="1">
        <v>778.5</v>
      </c>
      <c r="H85" s="1">
        <v>1905</v>
      </c>
      <c r="I85" s="1">
        <v>1414</v>
      </c>
      <c r="J85" s="1">
        <v>1266</v>
      </c>
      <c r="K85" s="1">
        <v>1811</v>
      </c>
      <c r="L85" s="1">
        <v>445.5</v>
      </c>
      <c r="M85" s="1">
        <v>842.5</v>
      </c>
      <c r="N85" s="1"/>
      <c r="O85" s="1"/>
      <c r="P85" s="1">
        <v>179</v>
      </c>
      <c r="Q85" s="1">
        <v>621</v>
      </c>
      <c r="R85" s="1">
        <v>1949</v>
      </c>
      <c r="S85" s="1">
        <v>1186.5</v>
      </c>
      <c r="T85" s="1">
        <v>1593.5</v>
      </c>
      <c r="U85" s="1">
        <v>492.5</v>
      </c>
      <c r="V85" s="1">
        <v>1070.5</v>
      </c>
      <c r="W85" s="1">
        <v>1979.5</v>
      </c>
      <c r="X85" s="1">
        <v>769</v>
      </c>
      <c r="Y85" s="1">
        <v>1106</v>
      </c>
      <c r="Z85" s="1">
        <v>566</v>
      </c>
      <c r="AA85" s="1">
        <v>1028.5</v>
      </c>
      <c r="AB85" s="1">
        <v>35</v>
      </c>
      <c r="AC85" s="48">
        <f t="shared" si="1"/>
        <v>0.49295701159613636</v>
      </c>
    </row>
    <row r="86" spans="1:29" x14ac:dyDescent="0.35">
      <c r="A86" s="23"/>
      <c r="B86" s="32" t="s">
        <v>159</v>
      </c>
      <c r="C86" s="1">
        <v>1176</v>
      </c>
      <c r="D86" s="1">
        <v>257.5</v>
      </c>
      <c r="E86" s="1">
        <v>262.5</v>
      </c>
      <c r="F86" s="1">
        <v>1362.5</v>
      </c>
      <c r="G86" s="1">
        <v>463.5</v>
      </c>
      <c r="H86" s="1">
        <v>3630</v>
      </c>
      <c r="I86" s="1">
        <v>143.5</v>
      </c>
      <c r="J86" s="1">
        <v>2645.5</v>
      </c>
      <c r="K86" s="1">
        <v>1356.5</v>
      </c>
      <c r="L86" s="1">
        <v>360</v>
      </c>
      <c r="M86" s="1">
        <v>2157</v>
      </c>
      <c r="N86" s="1"/>
      <c r="O86" s="1"/>
      <c r="P86" s="1">
        <v>556</v>
      </c>
      <c r="Q86" s="1">
        <v>722.5</v>
      </c>
      <c r="R86" s="1">
        <v>928</v>
      </c>
      <c r="S86" s="1">
        <v>2907.5</v>
      </c>
      <c r="T86" s="1">
        <v>640.5</v>
      </c>
      <c r="U86" s="1">
        <v>502</v>
      </c>
      <c r="V86" s="1">
        <v>183</v>
      </c>
      <c r="W86" s="1">
        <v>1167</v>
      </c>
      <c r="X86" s="1">
        <v>180.5</v>
      </c>
      <c r="Y86" s="1">
        <v>1066.5</v>
      </c>
      <c r="Z86" s="1">
        <v>631</v>
      </c>
      <c r="AA86" s="1">
        <v>216.5</v>
      </c>
      <c r="AB86" s="1">
        <v>92</v>
      </c>
      <c r="AC86" s="48">
        <f t="shared" si="1"/>
        <v>0.20614927318798418</v>
      </c>
    </row>
    <row r="87" spans="1:29" x14ac:dyDescent="0.35">
      <c r="A87" s="23" t="s">
        <v>4585</v>
      </c>
      <c r="B87" s="32" t="s">
        <v>159</v>
      </c>
      <c r="C87" s="1">
        <v>109.5</v>
      </c>
      <c r="D87" s="1">
        <v>80.5</v>
      </c>
      <c r="E87" s="1">
        <v>765.5</v>
      </c>
      <c r="F87" s="1">
        <v>983.5</v>
      </c>
      <c r="G87" s="1">
        <v>838.5</v>
      </c>
      <c r="H87" s="1">
        <v>3401.5</v>
      </c>
      <c r="I87" s="1">
        <v>26</v>
      </c>
      <c r="J87" s="1">
        <v>1768</v>
      </c>
      <c r="K87" s="1">
        <v>427</v>
      </c>
      <c r="L87" s="1">
        <v>445</v>
      </c>
      <c r="M87" s="1">
        <v>848.5</v>
      </c>
      <c r="N87" s="1"/>
      <c r="O87" s="1"/>
      <c r="P87" s="1">
        <v>444</v>
      </c>
      <c r="Q87" s="1">
        <v>1120</v>
      </c>
      <c r="R87" s="1">
        <v>319.5</v>
      </c>
      <c r="S87" s="1">
        <v>417.5</v>
      </c>
      <c r="T87" s="1">
        <v>310</v>
      </c>
      <c r="U87" s="1">
        <v>2018.5</v>
      </c>
      <c r="V87" s="1">
        <v>521</v>
      </c>
      <c r="W87" s="1">
        <v>737.5</v>
      </c>
      <c r="X87" s="1">
        <v>328</v>
      </c>
      <c r="Y87" s="1">
        <v>690.5</v>
      </c>
      <c r="Z87" s="1">
        <v>1164</v>
      </c>
      <c r="AA87" s="1">
        <v>68.5</v>
      </c>
      <c r="AB87" s="1">
        <v>439</v>
      </c>
      <c r="AC87" s="48">
        <f t="shared" si="1"/>
        <v>0.48475054920719884</v>
      </c>
    </row>
    <row r="88" spans="1:29" x14ac:dyDescent="0.35">
      <c r="B88" s="32" t="s">
        <v>159</v>
      </c>
      <c r="C88" s="1">
        <v>22.5</v>
      </c>
      <c r="D88" s="1">
        <v>77</v>
      </c>
      <c r="E88" s="1">
        <v>2508</v>
      </c>
      <c r="F88" s="1">
        <v>698</v>
      </c>
      <c r="G88" s="1">
        <v>772</v>
      </c>
      <c r="H88" s="1">
        <v>3793</v>
      </c>
      <c r="I88" s="1">
        <v>225.5</v>
      </c>
      <c r="J88" s="1">
        <v>1573</v>
      </c>
      <c r="K88" s="1">
        <v>406.5</v>
      </c>
      <c r="L88" s="1">
        <v>1578.5</v>
      </c>
      <c r="M88" s="1">
        <v>476.5</v>
      </c>
      <c r="N88" s="1"/>
      <c r="O88" s="1"/>
      <c r="P88" s="1">
        <v>1097</v>
      </c>
      <c r="Q88" s="1">
        <v>333.5</v>
      </c>
      <c r="R88" s="1">
        <v>1250</v>
      </c>
      <c r="S88" s="1">
        <v>406.5</v>
      </c>
      <c r="T88" s="1">
        <v>1906</v>
      </c>
      <c r="U88" s="1">
        <v>2680.5</v>
      </c>
      <c r="V88" s="1">
        <v>102.5</v>
      </c>
      <c r="W88" s="1">
        <v>256.5</v>
      </c>
      <c r="X88" s="1">
        <v>1639</v>
      </c>
      <c r="Y88" s="1">
        <v>69</v>
      </c>
      <c r="Z88" s="1">
        <v>1745</v>
      </c>
      <c r="AA88" s="1">
        <v>395.5</v>
      </c>
      <c r="AB88" s="1">
        <v>227.5</v>
      </c>
      <c r="AC88" s="48">
        <f t="shared" si="1"/>
        <v>0.68252415541196587</v>
      </c>
    </row>
  </sheetData>
  <phoneticPr fontId="3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BF1E-0E3A-47DE-8140-D375E515DA85}">
  <dimension ref="A1:R17"/>
  <sheetViews>
    <sheetView workbookViewId="0">
      <selection activeCell="R21" sqref="R21"/>
    </sheetView>
  </sheetViews>
  <sheetFormatPr defaultRowHeight="14.5" x14ac:dyDescent="0.35"/>
  <sheetData>
    <row r="1" spans="1:18" x14ac:dyDescent="0.35">
      <c r="A1" t="s">
        <v>4786</v>
      </c>
    </row>
    <row r="2" spans="1:18" ht="16.5" x14ac:dyDescent="0.35">
      <c r="A2" s="19" t="s">
        <v>175</v>
      </c>
      <c r="B2" s="19" t="s">
        <v>4719</v>
      </c>
      <c r="C2" s="19" t="s">
        <v>4720</v>
      </c>
      <c r="D2" s="19" t="s">
        <v>4721</v>
      </c>
      <c r="E2" s="19" t="s">
        <v>4722</v>
      </c>
      <c r="F2" s="19" t="s">
        <v>4723</v>
      </c>
      <c r="G2" s="19" t="s">
        <v>4724</v>
      </c>
      <c r="H2" s="19"/>
      <c r="I2" s="19" t="s">
        <v>4648</v>
      </c>
      <c r="J2" s="19" t="s">
        <v>4725</v>
      </c>
      <c r="K2" s="19" t="s">
        <v>4726</v>
      </c>
      <c r="L2" s="19" t="s">
        <v>4727</v>
      </c>
      <c r="M2" s="19" t="s">
        <v>4728</v>
      </c>
      <c r="N2" s="19" t="s">
        <v>4729</v>
      </c>
      <c r="O2" s="19" t="s">
        <v>4730</v>
      </c>
      <c r="P2" s="19" t="s">
        <v>4731</v>
      </c>
      <c r="R2" t="s">
        <v>4811</v>
      </c>
    </row>
    <row r="3" spans="1:18" x14ac:dyDescent="0.35">
      <c r="A3" s="19">
        <v>0</v>
      </c>
      <c r="B3" s="25">
        <v>57</v>
      </c>
      <c r="C3" s="25">
        <v>48.5</v>
      </c>
      <c r="D3" s="25">
        <v>48.6</v>
      </c>
      <c r="E3" s="25">
        <v>47</v>
      </c>
      <c r="F3" s="25">
        <v>43.9</v>
      </c>
      <c r="G3" s="25">
        <v>40.700000000000003</v>
      </c>
      <c r="H3" s="25"/>
      <c r="I3" s="25">
        <v>52.9</v>
      </c>
      <c r="J3" s="25">
        <v>51.7</v>
      </c>
      <c r="K3" s="25">
        <v>44.1</v>
      </c>
      <c r="L3" s="25">
        <v>47.6</v>
      </c>
      <c r="M3" s="25">
        <v>44.2</v>
      </c>
      <c r="N3" s="25">
        <v>49.8</v>
      </c>
      <c r="O3" s="25">
        <v>47.6</v>
      </c>
      <c r="P3" s="25">
        <v>46</v>
      </c>
      <c r="R3">
        <f>_xlfn.T.TEST(B3:G3,I3:P3,2,2)</f>
        <v>0.87711032598981675</v>
      </c>
    </row>
    <row r="4" spans="1:18" x14ac:dyDescent="0.35">
      <c r="A4" s="19">
        <v>4</v>
      </c>
      <c r="B4" s="25">
        <v>48.6</v>
      </c>
      <c r="C4" s="25">
        <v>45.1</v>
      </c>
      <c r="D4" s="25">
        <v>41.2</v>
      </c>
      <c r="E4" s="25">
        <v>45.6</v>
      </c>
      <c r="F4" s="25">
        <v>38.799999999999997</v>
      </c>
      <c r="G4" s="25">
        <v>36.700000000000003</v>
      </c>
      <c r="H4" s="25"/>
      <c r="I4" s="25">
        <v>47.7</v>
      </c>
      <c r="J4" s="25">
        <v>46.2</v>
      </c>
      <c r="K4" s="25">
        <v>39</v>
      </c>
      <c r="L4" s="25">
        <v>45.6</v>
      </c>
      <c r="M4" s="25">
        <v>44</v>
      </c>
      <c r="N4" s="25">
        <v>44.7</v>
      </c>
      <c r="O4" s="25">
        <v>43.7</v>
      </c>
      <c r="P4" s="25">
        <v>44.6</v>
      </c>
      <c r="R4" s="48">
        <f t="shared" ref="R4:R17" si="0">_xlfn.T.TEST(B4:G4,I4:P4,2,2)</f>
        <v>0.36877435626836463</v>
      </c>
    </row>
    <row r="5" spans="1:18" x14ac:dyDescent="0.35">
      <c r="A5" s="19">
        <v>8</v>
      </c>
      <c r="B5" s="25">
        <v>48.7</v>
      </c>
      <c r="C5" s="25">
        <v>44.5</v>
      </c>
      <c r="D5" s="25">
        <v>40.4</v>
      </c>
      <c r="E5" s="25">
        <v>41</v>
      </c>
      <c r="F5" s="25">
        <v>40.5</v>
      </c>
      <c r="G5" s="25">
        <v>37.1</v>
      </c>
      <c r="H5" s="25"/>
      <c r="I5" s="25">
        <v>46.2</v>
      </c>
      <c r="J5" s="25">
        <v>43.6</v>
      </c>
      <c r="K5" s="25">
        <v>40.5</v>
      </c>
      <c r="L5" s="25">
        <v>43.5</v>
      </c>
      <c r="M5" s="25">
        <v>40.9</v>
      </c>
      <c r="N5" s="25">
        <v>43.5</v>
      </c>
      <c r="O5" s="25">
        <v>42</v>
      </c>
      <c r="P5" s="25">
        <v>41</v>
      </c>
      <c r="R5" s="48">
        <f t="shared" si="0"/>
        <v>0.70851413419035791</v>
      </c>
    </row>
    <row r="6" spans="1:18" x14ac:dyDescent="0.35">
      <c r="A6" s="19">
        <v>12</v>
      </c>
      <c r="B6" s="25">
        <v>50.1</v>
      </c>
      <c r="C6" s="25">
        <v>47.5</v>
      </c>
      <c r="D6" s="25">
        <v>36.5</v>
      </c>
      <c r="E6" s="25">
        <v>38.5</v>
      </c>
      <c r="F6" s="25">
        <v>40.700000000000003</v>
      </c>
      <c r="G6" s="25">
        <v>36.299999999999997</v>
      </c>
      <c r="H6" s="25"/>
      <c r="I6" s="25">
        <v>43.9</v>
      </c>
      <c r="J6" s="25">
        <v>40</v>
      </c>
      <c r="K6" s="25">
        <v>41.3</v>
      </c>
      <c r="L6" s="25">
        <v>45.7</v>
      </c>
      <c r="M6" s="25">
        <v>38.200000000000003</v>
      </c>
      <c r="N6" s="25">
        <v>41.3</v>
      </c>
      <c r="O6" s="25">
        <v>42.2</v>
      </c>
      <c r="P6" s="25">
        <v>41.3</v>
      </c>
      <c r="R6" s="48">
        <f t="shared" si="0"/>
        <v>0.95227594472069588</v>
      </c>
    </row>
    <row r="7" spans="1:18" x14ac:dyDescent="0.35">
      <c r="A7" s="19">
        <v>16</v>
      </c>
      <c r="B7" s="25">
        <v>41.2</v>
      </c>
      <c r="C7" s="25">
        <v>46.8</v>
      </c>
      <c r="D7" s="25">
        <v>37.799999999999997</v>
      </c>
      <c r="E7" s="25">
        <v>42.1</v>
      </c>
      <c r="F7" s="25">
        <v>41.1</v>
      </c>
      <c r="G7" s="25">
        <v>38.4</v>
      </c>
      <c r="H7" s="25"/>
      <c r="I7" s="25">
        <v>45</v>
      </c>
      <c r="J7" s="25">
        <v>37.700000000000003</v>
      </c>
      <c r="K7" s="25">
        <v>39.9</v>
      </c>
      <c r="L7" s="25">
        <v>43.9</v>
      </c>
      <c r="M7" s="25">
        <v>42.9</v>
      </c>
      <c r="N7" s="25">
        <v>43</v>
      </c>
      <c r="O7" s="25">
        <v>41.4</v>
      </c>
      <c r="P7" s="25">
        <v>41.2</v>
      </c>
      <c r="R7" s="48">
        <f t="shared" si="0"/>
        <v>0.67170266141539281</v>
      </c>
    </row>
    <row r="8" spans="1:18" x14ac:dyDescent="0.35">
      <c r="A8" s="19">
        <v>20</v>
      </c>
      <c r="B8" s="25">
        <v>48</v>
      </c>
      <c r="C8" s="25">
        <v>45.7</v>
      </c>
      <c r="D8" s="25">
        <v>40.9</v>
      </c>
      <c r="E8" s="25">
        <v>43.1</v>
      </c>
      <c r="F8" s="25">
        <v>39.799999999999997</v>
      </c>
      <c r="G8" s="25">
        <v>35.700000000000003</v>
      </c>
      <c r="H8" s="25"/>
      <c r="I8" s="25">
        <v>44.6</v>
      </c>
      <c r="J8" s="25">
        <v>44.3</v>
      </c>
      <c r="K8" s="25">
        <v>44.1</v>
      </c>
      <c r="L8" s="25">
        <v>46.1</v>
      </c>
      <c r="M8" s="25">
        <v>43.7</v>
      </c>
      <c r="N8" s="25">
        <v>46</v>
      </c>
      <c r="O8" s="25">
        <v>41.7</v>
      </c>
      <c r="P8" s="25">
        <v>44.7</v>
      </c>
      <c r="R8" s="48">
        <f t="shared" si="0"/>
        <v>0.20307850665207708</v>
      </c>
    </row>
    <row r="9" spans="1:18" x14ac:dyDescent="0.35">
      <c r="A9" s="19">
        <v>24</v>
      </c>
      <c r="B9" s="25">
        <v>52.3</v>
      </c>
      <c r="C9" s="25">
        <v>48</v>
      </c>
      <c r="D9" s="25">
        <v>44.1</v>
      </c>
      <c r="E9" s="25">
        <v>39.799999999999997</v>
      </c>
      <c r="F9" s="25">
        <v>41.6</v>
      </c>
      <c r="G9" s="25">
        <v>35.1</v>
      </c>
      <c r="H9" s="25"/>
      <c r="I9" s="25">
        <v>45.7</v>
      </c>
      <c r="J9" s="25">
        <v>47.6</v>
      </c>
      <c r="K9" s="25">
        <v>43.8</v>
      </c>
      <c r="L9" s="25">
        <v>44.8</v>
      </c>
      <c r="M9" s="25">
        <v>45.3</v>
      </c>
      <c r="N9" s="25">
        <v>46.3</v>
      </c>
      <c r="O9" s="25">
        <v>43.9</v>
      </c>
      <c r="P9" s="25">
        <v>41.2</v>
      </c>
      <c r="R9" s="48">
        <f t="shared" si="0"/>
        <v>0.56529439066347731</v>
      </c>
    </row>
    <row r="10" spans="1:18" x14ac:dyDescent="0.35">
      <c r="A10" s="19">
        <v>28</v>
      </c>
      <c r="B10" s="25">
        <v>54.9</v>
      </c>
      <c r="C10" s="25">
        <v>50.1</v>
      </c>
      <c r="D10" s="25">
        <v>42.3</v>
      </c>
      <c r="E10" s="25">
        <v>42.6</v>
      </c>
      <c r="F10" s="25">
        <v>43</v>
      </c>
      <c r="G10" s="25">
        <v>36.299999999999997</v>
      </c>
      <c r="H10" s="25"/>
      <c r="I10" s="25">
        <v>48.8</v>
      </c>
      <c r="J10" s="25">
        <v>50</v>
      </c>
      <c r="K10" s="25">
        <v>44.3</v>
      </c>
      <c r="L10" s="25">
        <v>44.3</v>
      </c>
      <c r="M10" s="25">
        <v>44.8</v>
      </c>
      <c r="N10" s="25">
        <v>45.6</v>
      </c>
      <c r="O10" s="25">
        <v>46</v>
      </c>
      <c r="P10" s="25">
        <v>43.8</v>
      </c>
      <c r="R10" s="48">
        <f t="shared" si="0"/>
        <v>0.66977872214825784</v>
      </c>
    </row>
    <row r="11" spans="1:18" x14ac:dyDescent="0.35">
      <c r="A11" s="19">
        <v>32</v>
      </c>
      <c r="B11" s="25">
        <v>55.4</v>
      </c>
      <c r="C11" s="25">
        <v>49</v>
      </c>
      <c r="D11" s="25">
        <v>44</v>
      </c>
      <c r="E11" s="25">
        <v>43.7</v>
      </c>
      <c r="F11" s="25">
        <v>42.7</v>
      </c>
      <c r="G11" s="25">
        <v>35.6</v>
      </c>
      <c r="H11" s="25"/>
      <c r="I11" s="25">
        <v>49.7</v>
      </c>
      <c r="J11" s="25">
        <v>49.6</v>
      </c>
      <c r="K11" s="25">
        <v>44.7</v>
      </c>
      <c r="L11" s="25">
        <v>45</v>
      </c>
      <c r="M11" s="25">
        <v>46.6</v>
      </c>
      <c r="N11" s="25">
        <v>45.4</v>
      </c>
      <c r="O11" s="25">
        <v>45.5</v>
      </c>
      <c r="P11" s="25">
        <v>43.3</v>
      </c>
      <c r="R11" s="48">
        <f t="shared" si="0"/>
        <v>0.651745461391948</v>
      </c>
    </row>
    <row r="12" spans="1:18" x14ac:dyDescent="0.35">
      <c r="A12" s="19">
        <v>36</v>
      </c>
      <c r="B12" s="25">
        <v>55.4</v>
      </c>
      <c r="C12" s="25">
        <v>47.6</v>
      </c>
      <c r="D12" s="25">
        <v>46</v>
      </c>
      <c r="E12" s="25">
        <v>44.5</v>
      </c>
      <c r="F12" s="25">
        <v>44.6</v>
      </c>
      <c r="G12" s="25">
        <v>36.4</v>
      </c>
      <c r="H12" s="25"/>
      <c r="I12" s="25">
        <v>51.3</v>
      </c>
      <c r="J12" s="25">
        <v>50.4</v>
      </c>
      <c r="K12" s="25">
        <v>46.1</v>
      </c>
      <c r="L12" s="25">
        <v>47.2</v>
      </c>
      <c r="M12" s="25">
        <v>46.8</v>
      </c>
      <c r="N12" s="25">
        <v>42.2</v>
      </c>
      <c r="O12" s="25">
        <v>46</v>
      </c>
      <c r="P12" s="25">
        <v>45.5</v>
      </c>
      <c r="R12" s="48">
        <f t="shared" si="0"/>
        <v>0.63468075910640809</v>
      </c>
    </row>
    <row r="13" spans="1:18" x14ac:dyDescent="0.35">
      <c r="A13" s="19">
        <v>40</v>
      </c>
      <c r="B13" s="25">
        <v>52.6</v>
      </c>
      <c r="C13" s="25">
        <v>46.8</v>
      </c>
      <c r="D13" s="25">
        <v>47</v>
      </c>
      <c r="E13" s="25">
        <v>45</v>
      </c>
      <c r="F13" s="25">
        <v>44.3</v>
      </c>
      <c r="G13" s="25">
        <v>38.799999999999997</v>
      </c>
      <c r="H13" s="25"/>
      <c r="I13" s="25">
        <v>52.6</v>
      </c>
      <c r="J13" s="25">
        <v>50</v>
      </c>
      <c r="K13" s="25">
        <v>45.3</v>
      </c>
      <c r="L13" s="25">
        <v>44.8</v>
      </c>
      <c r="M13" s="25">
        <v>46.6</v>
      </c>
      <c r="N13" s="25">
        <v>42.9</v>
      </c>
      <c r="O13" s="25">
        <v>46.4</v>
      </c>
      <c r="P13" s="25">
        <v>46.8</v>
      </c>
      <c r="R13" s="48">
        <f t="shared" si="0"/>
        <v>0.56937193825431287</v>
      </c>
    </row>
    <row r="14" spans="1:18" x14ac:dyDescent="0.35">
      <c r="A14" s="19">
        <v>44</v>
      </c>
      <c r="B14" s="25">
        <v>55.1</v>
      </c>
      <c r="C14" s="25">
        <v>46.8</v>
      </c>
      <c r="D14" s="25">
        <v>48.4</v>
      </c>
      <c r="E14" s="25">
        <v>46</v>
      </c>
      <c r="F14" s="25">
        <v>45.2</v>
      </c>
      <c r="G14" s="25">
        <v>38.799999999999997</v>
      </c>
      <c r="H14" s="25"/>
      <c r="I14" s="25">
        <v>51.6</v>
      </c>
      <c r="J14" s="25">
        <v>52.5</v>
      </c>
      <c r="K14" s="25">
        <v>45.6</v>
      </c>
      <c r="L14" s="25">
        <v>44.9</v>
      </c>
      <c r="M14" s="25">
        <v>49.1</v>
      </c>
      <c r="N14" s="25">
        <v>44.1</v>
      </c>
      <c r="O14" s="25">
        <v>47.3</v>
      </c>
      <c r="P14" s="25">
        <v>49.3</v>
      </c>
      <c r="R14" s="48">
        <f t="shared" si="0"/>
        <v>0.56211541849995883</v>
      </c>
    </row>
    <row r="15" spans="1:18" x14ac:dyDescent="0.35">
      <c r="A15" s="19">
        <v>48</v>
      </c>
      <c r="B15" s="25">
        <v>57</v>
      </c>
      <c r="C15" s="25">
        <v>46.8</v>
      </c>
      <c r="D15" s="25">
        <v>47.4</v>
      </c>
      <c r="E15" s="25">
        <v>45.6</v>
      </c>
      <c r="F15" s="25">
        <v>46</v>
      </c>
      <c r="G15" s="25">
        <v>38.299999999999997</v>
      </c>
      <c r="H15" s="25"/>
      <c r="I15" s="25">
        <v>52.5</v>
      </c>
      <c r="J15" s="25">
        <v>50.9</v>
      </c>
      <c r="K15" s="25">
        <v>45.6</v>
      </c>
      <c r="L15" s="25">
        <v>44.9</v>
      </c>
      <c r="M15" s="25">
        <v>48.4</v>
      </c>
      <c r="N15" s="25">
        <v>43.9</v>
      </c>
      <c r="O15" s="25">
        <v>48.3</v>
      </c>
      <c r="P15" s="25">
        <v>46.7</v>
      </c>
      <c r="R15" s="48">
        <f t="shared" si="0"/>
        <v>0.74644363249235157</v>
      </c>
    </row>
    <row r="16" spans="1:18" x14ac:dyDescent="0.35">
      <c r="A16" s="19">
        <v>42</v>
      </c>
      <c r="B16" s="25">
        <v>55.2</v>
      </c>
      <c r="C16" s="25">
        <v>46.6</v>
      </c>
      <c r="D16" s="25">
        <v>48.6</v>
      </c>
      <c r="E16" s="25">
        <v>47.2</v>
      </c>
      <c r="F16" s="25">
        <v>46</v>
      </c>
      <c r="G16" s="25">
        <v>39.799999999999997</v>
      </c>
      <c r="H16" s="25"/>
      <c r="I16" s="25">
        <v>51.9</v>
      </c>
      <c r="J16" s="25">
        <v>52.1</v>
      </c>
      <c r="K16" s="25">
        <v>46.6</v>
      </c>
      <c r="L16" s="25">
        <v>45.9</v>
      </c>
      <c r="M16" s="25">
        <v>49.3</v>
      </c>
      <c r="N16" s="25">
        <v>42.9</v>
      </c>
      <c r="O16" s="25">
        <v>45.6</v>
      </c>
      <c r="P16" s="25">
        <v>46.5</v>
      </c>
      <c r="R16" s="48">
        <f t="shared" si="0"/>
        <v>0.86916658100719679</v>
      </c>
    </row>
    <row r="17" spans="1:18" x14ac:dyDescent="0.35">
      <c r="A17" s="19">
        <v>56</v>
      </c>
      <c r="B17" s="25">
        <v>58.2</v>
      </c>
      <c r="C17" s="25">
        <v>47</v>
      </c>
      <c r="D17" s="25">
        <v>50.4</v>
      </c>
      <c r="E17" s="25">
        <v>46</v>
      </c>
      <c r="F17" s="25">
        <v>46.1</v>
      </c>
      <c r="G17" s="25">
        <v>40.1</v>
      </c>
      <c r="H17" s="25"/>
      <c r="I17" s="25">
        <v>52.3</v>
      </c>
      <c r="J17" s="25">
        <v>50.1</v>
      </c>
      <c r="K17" s="25">
        <v>46.1</v>
      </c>
      <c r="L17" s="25">
        <v>46</v>
      </c>
      <c r="M17" s="25">
        <v>49.2</v>
      </c>
      <c r="N17" s="25">
        <v>42.9</v>
      </c>
      <c r="O17" s="25">
        <v>45.6</v>
      </c>
      <c r="P17" s="25">
        <v>46.5</v>
      </c>
      <c r="R17" s="48">
        <f t="shared" si="0"/>
        <v>0.80021918782972745</v>
      </c>
    </row>
  </sheetData>
  <phoneticPr fontId="3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79564-A63B-448C-A9CD-278911DAA612}">
  <dimension ref="A2:H16"/>
  <sheetViews>
    <sheetView workbookViewId="0">
      <selection activeCell="G39" sqref="G39"/>
    </sheetView>
  </sheetViews>
  <sheetFormatPr defaultRowHeight="14.5" x14ac:dyDescent="0.35"/>
  <sheetData>
    <row r="2" spans="1:8" x14ac:dyDescent="0.35">
      <c r="A2" s="48" t="s">
        <v>4787</v>
      </c>
      <c r="B2" s="48"/>
      <c r="C2" s="48"/>
      <c r="D2" s="48"/>
      <c r="E2" s="48"/>
      <c r="F2" s="48"/>
      <c r="H2" t="s">
        <v>4811</v>
      </c>
    </row>
    <row r="3" spans="1:8" x14ac:dyDescent="0.35">
      <c r="A3" s="19" t="s">
        <v>10</v>
      </c>
      <c r="B3" s="19" t="s">
        <v>180</v>
      </c>
      <c r="C3" s="19" t="s">
        <v>180</v>
      </c>
      <c r="D3" s="19"/>
      <c r="E3" s="19" t="s">
        <v>181</v>
      </c>
      <c r="F3" s="19" t="s">
        <v>181</v>
      </c>
    </row>
    <row r="4" spans="1:8" x14ac:dyDescent="0.35">
      <c r="A4" s="24">
        <v>0</v>
      </c>
      <c r="B4" s="25">
        <v>-3.8866200000000002</v>
      </c>
      <c r="C4" s="25">
        <v>3.8866200000000002</v>
      </c>
      <c r="D4" s="25"/>
      <c r="E4" s="25">
        <v>2.5910799999999998</v>
      </c>
      <c r="F4" s="25">
        <v>-2.5910799999999998</v>
      </c>
      <c r="H4">
        <f>_xlfn.T.TEST(B4:C4,E4:F4,2,2)</f>
        <v>1</v>
      </c>
    </row>
    <row r="5" spans="1:8" x14ac:dyDescent="0.35">
      <c r="A5" s="24">
        <v>5</v>
      </c>
      <c r="B5" s="25">
        <v>262.99459999999999</v>
      </c>
      <c r="C5" s="25">
        <v>260.40350000000001</v>
      </c>
      <c r="D5" s="25"/>
      <c r="E5" s="25">
        <v>15.546480000000001</v>
      </c>
      <c r="F5" s="25">
        <v>20.728639999999999</v>
      </c>
      <c r="H5" s="48">
        <f t="shared" ref="H5:H16" si="0">_xlfn.T.TEST(B5:C5,E5:F5,2,2)</f>
        <v>1.4143718628161053E-4</v>
      </c>
    </row>
    <row r="6" spans="1:8" x14ac:dyDescent="0.35">
      <c r="A6" s="24">
        <v>15</v>
      </c>
      <c r="B6" s="25">
        <v>620.56370000000004</v>
      </c>
      <c r="C6" s="25">
        <v>607.60829999999999</v>
      </c>
      <c r="D6" s="25"/>
      <c r="E6" s="25">
        <v>44.048360000000002</v>
      </c>
      <c r="F6" s="25">
        <v>46.63944</v>
      </c>
      <c r="H6" s="48">
        <f t="shared" si="0"/>
        <v>1.3488273740304719E-4</v>
      </c>
    </row>
    <row r="7" spans="1:8" x14ac:dyDescent="0.35">
      <c r="A7" s="24">
        <v>30</v>
      </c>
      <c r="B7" s="25">
        <v>553.19560000000001</v>
      </c>
      <c r="C7" s="25">
        <v>542.83130000000006</v>
      </c>
      <c r="D7" s="25"/>
      <c r="E7" s="25">
        <v>93.278880000000001</v>
      </c>
      <c r="F7" s="25">
        <v>103.64319999999999</v>
      </c>
      <c r="H7" s="48">
        <f t="shared" si="0"/>
        <v>2.656544208290155E-4</v>
      </c>
    </row>
    <row r="8" spans="1:8" x14ac:dyDescent="0.35">
      <c r="A8" s="24">
        <v>60</v>
      </c>
      <c r="B8" s="25">
        <v>423.64159999999998</v>
      </c>
      <c r="C8" s="25">
        <v>467.68990000000002</v>
      </c>
      <c r="D8" s="25"/>
      <c r="E8" s="25">
        <v>145.10050000000001</v>
      </c>
      <c r="F8" s="25">
        <v>147.69159999999999</v>
      </c>
      <c r="H8" s="48">
        <f t="shared" si="0"/>
        <v>5.3907618376834981E-3</v>
      </c>
    </row>
    <row r="9" spans="1:8" x14ac:dyDescent="0.35">
      <c r="A9" s="24"/>
      <c r="B9" s="25">
        <v>413.27730000000003</v>
      </c>
      <c r="C9" s="25">
        <v>418.45940000000002</v>
      </c>
      <c r="D9" s="25"/>
      <c r="E9" s="25">
        <v>165.82910000000001</v>
      </c>
      <c r="F9" s="25">
        <v>158.05590000000001</v>
      </c>
      <c r="H9" s="48">
        <f t="shared" si="0"/>
        <v>3.3822414674655185E-4</v>
      </c>
    </row>
    <row r="10" spans="1:8" x14ac:dyDescent="0.35">
      <c r="A10" s="24">
        <v>120</v>
      </c>
      <c r="B10" s="25">
        <v>296.67869999999999</v>
      </c>
      <c r="C10" s="25">
        <v>301.86079999999998</v>
      </c>
      <c r="D10" s="25"/>
      <c r="E10" s="25">
        <v>189.14879999999999</v>
      </c>
      <c r="F10" s="25">
        <v>176.1934</v>
      </c>
      <c r="H10" s="48">
        <f t="shared" si="0"/>
        <v>3.5611193265981753E-3</v>
      </c>
    </row>
    <row r="11" spans="1:8" x14ac:dyDescent="0.35">
      <c r="A11" s="24"/>
      <c r="B11" s="25">
        <v>288.90539999999999</v>
      </c>
      <c r="C11" s="25">
        <v>283.72329999999999</v>
      </c>
      <c r="D11" s="25"/>
      <c r="E11" s="25">
        <v>215.05959999999999</v>
      </c>
      <c r="F11" s="25">
        <v>212.46860000000001</v>
      </c>
      <c r="H11" s="48">
        <f t="shared" si="0"/>
        <v>1.5905353216676093E-3</v>
      </c>
    </row>
    <row r="12" spans="1:8" x14ac:dyDescent="0.35">
      <c r="A12" s="24">
        <v>180</v>
      </c>
      <c r="B12" s="25">
        <v>288.90539999999999</v>
      </c>
      <c r="C12" s="25">
        <v>288.90539999999999</v>
      </c>
      <c r="D12" s="25"/>
      <c r="E12" s="25">
        <v>191.73990000000001</v>
      </c>
      <c r="F12" s="25">
        <v>194.33099999999999</v>
      </c>
      <c r="H12" s="48">
        <f t="shared" si="0"/>
        <v>1.8256789599375406E-4</v>
      </c>
    </row>
    <row r="13" spans="1:8" x14ac:dyDescent="0.35">
      <c r="A13" s="24"/>
      <c r="B13" s="25">
        <v>244.8571</v>
      </c>
      <c r="C13" s="25">
        <v>239.67490000000001</v>
      </c>
      <c r="D13" s="25"/>
      <c r="E13" s="25">
        <v>222.8329</v>
      </c>
      <c r="F13" s="25">
        <v>196.9221</v>
      </c>
      <c r="H13" s="48">
        <f t="shared" si="0"/>
        <v>0.13380140336752433</v>
      </c>
    </row>
    <row r="14" spans="1:8" x14ac:dyDescent="0.35">
      <c r="A14" s="24">
        <v>240</v>
      </c>
      <c r="B14" s="25">
        <v>239.67490000000001</v>
      </c>
      <c r="C14" s="25">
        <v>234.49270000000001</v>
      </c>
      <c r="D14" s="25"/>
      <c r="E14" s="25">
        <v>204.6953</v>
      </c>
      <c r="F14" s="25">
        <v>191.73990000000001</v>
      </c>
      <c r="H14" s="48">
        <f>_xlfn.T.TEST(B14:C14,E14:F14,2,2)</f>
        <v>3.0744057849224224E-2</v>
      </c>
    </row>
    <row r="15" spans="1:8" x14ac:dyDescent="0.35">
      <c r="A15" s="24"/>
      <c r="B15" s="25">
        <v>239.67490000000001</v>
      </c>
      <c r="C15" s="25">
        <v>190.4444</v>
      </c>
      <c r="D15" s="25"/>
      <c r="E15" s="25">
        <v>199.51320000000001</v>
      </c>
      <c r="F15" s="25">
        <v>202.10419999999999</v>
      </c>
      <c r="H15" s="48">
        <f t="shared" si="0"/>
        <v>0.62158810959819089</v>
      </c>
    </row>
    <row r="16" spans="1:8" x14ac:dyDescent="0.35">
      <c r="A16" s="24">
        <v>360</v>
      </c>
      <c r="B16" s="25">
        <v>198.2176</v>
      </c>
      <c r="C16" s="25">
        <v>195.62649999999999</v>
      </c>
      <c r="D16" s="25"/>
      <c r="E16" s="25">
        <v>181.37559999999999</v>
      </c>
      <c r="F16" s="25">
        <v>181.37559999999999</v>
      </c>
      <c r="H16" s="48">
        <f t="shared" si="0"/>
        <v>6.8730649406620169E-3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4895A-546A-4D3A-BD1D-38F11B224843}">
  <dimension ref="A2:P26"/>
  <sheetViews>
    <sheetView workbookViewId="0">
      <selection activeCell="O48" sqref="O48"/>
    </sheetView>
  </sheetViews>
  <sheetFormatPr defaultRowHeight="14.5" x14ac:dyDescent="0.35"/>
  <cols>
    <col min="1" max="1" width="17.1796875" customWidth="1"/>
    <col min="2" max="2" width="14.81640625" customWidth="1"/>
  </cols>
  <sheetData>
    <row r="2" spans="1:16" ht="15.5" x14ac:dyDescent="0.35">
      <c r="A2" s="67" t="s">
        <v>4988</v>
      </c>
    </row>
    <row r="3" spans="1:16" ht="16.5" x14ac:dyDescent="0.35">
      <c r="A3" t="s">
        <v>4989</v>
      </c>
      <c r="C3" t="s">
        <v>4982</v>
      </c>
      <c r="D3" s="48" t="s">
        <v>4983</v>
      </c>
      <c r="E3" s="48" t="s">
        <v>4984</v>
      </c>
      <c r="F3" s="48" t="s">
        <v>4985</v>
      </c>
      <c r="G3" s="48" t="s">
        <v>4986</v>
      </c>
      <c r="H3" s="48" t="s">
        <v>4987</v>
      </c>
      <c r="J3" t="s">
        <v>1</v>
      </c>
      <c r="K3" s="48" t="s">
        <v>2</v>
      </c>
      <c r="L3" s="48" t="s">
        <v>3</v>
      </c>
      <c r="M3" s="48" t="s">
        <v>4</v>
      </c>
      <c r="N3" s="48" t="s">
        <v>5</v>
      </c>
      <c r="O3" s="48" t="s">
        <v>6</v>
      </c>
      <c r="P3" t="s">
        <v>4811</v>
      </c>
    </row>
    <row r="4" spans="1:16" x14ac:dyDescent="0.35">
      <c r="A4" t="s">
        <v>4981</v>
      </c>
      <c r="B4" t="s">
        <v>4980</v>
      </c>
      <c r="C4">
        <v>100000</v>
      </c>
      <c r="D4" s="48">
        <v>100000</v>
      </c>
      <c r="E4" s="48">
        <v>100000</v>
      </c>
      <c r="F4" s="48">
        <v>100000</v>
      </c>
      <c r="G4" s="48">
        <v>100000</v>
      </c>
      <c r="H4" s="48">
        <v>100000</v>
      </c>
      <c r="J4">
        <v>100000</v>
      </c>
      <c r="K4" s="48">
        <v>100001</v>
      </c>
      <c r="L4" s="48">
        <v>100002</v>
      </c>
      <c r="M4" s="48">
        <v>100003</v>
      </c>
      <c r="N4" s="48">
        <v>100004</v>
      </c>
      <c r="O4" s="48">
        <v>100005</v>
      </c>
    </row>
    <row r="5" spans="1:16" x14ac:dyDescent="0.35">
      <c r="A5" s="48" t="s">
        <v>4971</v>
      </c>
      <c r="B5" t="s">
        <v>4964</v>
      </c>
      <c r="C5">
        <v>4098</v>
      </c>
      <c r="D5">
        <v>5812</v>
      </c>
      <c r="E5">
        <v>4676</v>
      </c>
      <c r="F5">
        <v>4662</v>
      </c>
      <c r="G5">
        <v>4318</v>
      </c>
      <c r="H5">
        <v>5450</v>
      </c>
      <c r="J5">
        <v>4727</v>
      </c>
      <c r="K5">
        <v>4132</v>
      </c>
      <c r="L5">
        <v>4847</v>
      </c>
      <c r="M5">
        <v>5573</v>
      </c>
      <c r="N5">
        <v>4353</v>
      </c>
      <c r="O5">
        <v>4640</v>
      </c>
      <c r="P5">
        <f>_xlfn.T.TEST(C5:H5,J5:O5,2,2)</f>
        <v>0.72141596062877678</v>
      </c>
    </row>
    <row r="6" spans="1:16" x14ac:dyDescent="0.35">
      <c r="A6" t="s">
        <v>4970</v>
      </c>
      <c r="B6" s="48" t="s">
        <v>4965</v>
      </c>
      <c r="C6">
        <v>3174</v>
      </c>
      <c r="D6">
        <v>3385</v>
      </c>
      <c r="E6">
        <v>3034</v>
      </c>
      <c r="F6">
        <v>2832</v>
      </c>
      <c r="G6">
        <v>3112</v>
      </c>
      <c r="H6">
        <v>3126</v>
      </c>
      <c r="J6">
        <v>2780</v>
      </c>
      <c r="K6">
        <v>2583</v>
      </c>
      <c r="L6">
        <v>3023</v>
      </c>
      <c r="M6">
        <v>3576</v>
      </c>
      <c r="N6">
        <v>2197</v>
      </c>
      <c r="O6">
        <v>2732</v>
      </c>
      <c r="P6" s="48">
        <f t="shared" ref="P6:P13" si="0">_xlfn.T.TEST(C6:H6,J6:O6,2,2)</f>
        <v>0.17525788824495883</v>
      </c>
    </row>
    <row r="7" spans="1:16" x14ac:dyDescent="0.35">
      <c r="A7" t="s">
        <v>4969</v>
      </c>
      <c r="B7" t="s">
        <v>4966</v>
      </c>
      <c r="C7">
        <v>49294</v>
      </c>
      <c r="D7">
        <v>50949</v>
      </c>
      <c r="E7">
        <v>53108</v>
      </c>
      <c r="F7">
        <v>52210</v>
      </c>
      <c r="G7">
        <v>59603</v>
      </c>
      <c r="H7">
        <v>56115</v>
      </c>
      <c r="J7">
        <v>58274</v>
      </c>
      <c r="K7">
        <v>57950</v>
      </c>
      <c r="L7">
        <v>54857</v>
      </c>
      <c r="M7">
        <v>54118</v>
      </c>
      <c r="N7">
        <v>59184</v>
      </c>
      <c r="O7">
        <v>54914</v>
      </c>
      <c r="P7" s="48">
        <f t="shared" si="0"/>
        <v>0.11962401162795411</v>
      </c>
    </row>
    <row r="8" spans="1:16" x14ac:dyDescent="0.35">
      <c r="A8" t="s">
        <v>4968</v>
      </c>
      <c r="B8" t="s">
        <v>4967</v>
      </c>
      <c r="C8">
        <v>12726</v>
      </c>
      <c r="D8">
        <v>10513</v>
      </c>
      <c r="E8">
        <v>12081</v>
      </c>
      <c r="F8">
        <v>8246</v>
      </c>
      <c r="G8">
        <v>8271</v>
      </c>
      <c r="H8">
        <v>13266</v>
      </c>
      <c r="J8">
        <v>12047</v>
      </c>
      <c r="K8">
        <v>10264</v>
      </c>
      <c r="L8">
        <v>10866</v>
      </c>
      <c r="M8">
        <v>12864</v>
      </c>
      <c r="N8">
        <v>11525</v>
      </c>
      <c r="O8">
        <v>11153</v>
      </c>
      <c r="P8" s="48">
        <f t="shared" si="0"/>
        <v>0.55097077975444186</v>
      </c>
    </row>
    <row r="9" spans="1:16" x14ac:dyDescent="0.35">
      <c r="A9" t="s">
        <v>4972</v>
      </c>
      <c r="B9" t="s">
        <v>4976</v>
      </c>
      <c r="C9">
        <v>9695</v>
      </c>
      <c r="D9">
        <v>7461</v>
      </c>
      <c r="E9">
        <v>8890</v>
      </c>
      <c r="F9">
        <v>8433</v>
      </c>
      <c r="G9">
        <v>7348</v>
      </c>
      <c r="H9">
        <v>9238</v>
      </c>
      <c r="J9">
        <v>8745</v>
      </c>
      <c r="K9">
        <v>3541</v>
      </c>
      <c r="L9">
        <v>11611</v>
      </c>
      <c r="M9">
        <v>10895</v>
      </c>
      <c r="N9">
        <v>9845</v>
      </c>
      <c r="O9">
        <v>11411</v>
      </c>
      <c r="P9" s="48">
        <f t="shared" si="0"/>
        <v>0.53703221190699835</v>
      </c>
    </row>
    <row r="10" spans="1:16" x14ac:dyDescent="0.35">
      <c r="A10" t="s">
        <v>4973</v>
      </c>
      <c r="B10" t="s">
        <v>4975</v>
      </c>
      <c r="C10">
        <v>3797</v>
      </c>
      <c r="D10">
        <v>3961</v>
      </c>
      <c r="E10">
        <v>4519</v>
      </c>
      <c r="F10">
        <v>4151</v>
      </c>
      <c r="G10">
        <v>3637</v>
      </c>
      <c r="H10">
        <v>4267</v>
      </c>
      <c r="J10">
        <v>4774</v>
      </c>
      <c r="K10">
        <v>4398</v>
      </c>
      <c r="L10">
        <v>4206</v>
      </c>
      <c r="M10">
        <v>2991</v>
      </c>
      <c r="N10">
        <v>5606</v>
      </c>
      <c r="O10">
        <v>3464</v>
      </c>
      <c r="P10" s="48">
        <f t="shared" si="0"/>
        <v>0.65643663744156777</v>
      </c>
    </row>
    <row r="11" spans="1:16" x14ac:dyDescent="0.35">
      <c r="A11" t="s">
        <v>4977</v>
      </c>
      <c r="B11" t="s">
        <v>4974</v>
      </c>
      <c r="C11">
        <v>7786</v>
      </c>
      <c r="D11">
        <v>766</v>
      </c>
      <c r="E11">
        <v>8549</v>
      </c>
      <c r="F11">
        <v>9157</v>
      </c>
      <c r="G11">
        <v>12622</v>
      </c>
      <c r="H11">
        <v>11784</v>
      </c>
      <c r="J11">
        <v>8281</v>
      </c>
      <c r="K11">
        <v>6610</v>
      </c>
      <c r="L11">
        <v>7809</v>
      </c>
      <c r="M11">
        <v>8914</v>
      </c>
      <c r="N11">
        <v>7106</v>
      </c>
      <c r="O11">
        <v>8831</v>
      </c>
      <c r="P11" s="48">
        <f t="shared" si="0"/>
        <v>0.77409558985683402</v>
      </c>
    </row>
    <row r="12" spans="1:16" x14ac:dyDescent="0.35">
      <c r="A12" s="48" t="s">
        <v>4977</v>
      </c>
      <c r="B12" s="48" t="s">
        <v>4978</v>
      </c>
      <c r="C12">
        <v>12440</v>
      </c>
      <c r="D12">
        <v>9709</v>
      </c>
      <c r="E12">
        <v>7782</v>
      </c>
      <c r="F12">
        <v>9699</v>
      </c>
      <c r="G12">
        <v>6978</v>
      </c>
      <c r="H12">
        <v>6142</v>
      </c>
      <c r="J12">
        <v>6966</v>
      </c>
      <c r="K12">
        <v>7054</v>
      </c>
      <c r="L12">
        <v>7760</v>
      </c>
      <c r="M12">
        <v>7419</v>
      </c>
      <c r="N12">
        <v>8104</v>
      </c>
      <c r="O12">
        <v>9332</v>
      </c>
      <c r="P12" s="48">
        <f t="shared" si="0"/>
        <v>0.33320688734088266</v>
      </c>
    </row>
    <row r="13" spans="1:16" x14ac:dyDescent="0.35">
      <c r="A13" s="48" t="s">
        <v>4977</v>
      </c>
      <c r="B13" s="48" t="s">
        <v>4979</v>
      </c>
      <c r="C13">
        <v>15223</v>
      </c>
      <c r="D13">
        <v>16090</v>
      </c>
      <c r="E13">
        <v>19535</v>
      </c>
      <c r="F13">
        <v>18355</v>
      </c>
      <c r="G13">
        <v>24013</v>
      </c>
      <c r="H13">
        <v>25758</v>
      </c>
      <c r="J13">
        <v>15894</v>
      </c>
      <c r="K13">
        <v>15951</v>
      </c>
      <c r="L13">
        <v>16937</v>
      </c>
      <c r="M13">
        <v>18274</v>
      </c>
      <c r="N13">
        <v>15509</v>
      </c>
      <c r="O13">
        <v>17185</v>
      </c>
      <c r="P13" s="48">
        <f t="shared" si="0"/>
        <v>0.10272190037626804</v>
      </c>
    </row>
    <row r="16" spans="1:16" ht="16.5" x14ac:dyDescent="0.35">
      <c r="A16" s="48" t="s">
        <v>4990</v>
      </c>
      <c r="B16" s="48"/>
      <c r="C16" s="48" t="s">
        <v>4982</v>
      </c>
      <c r="D16" s="48" t="s">
        <v>4983</v>
      </c>
      <c r="E16" s="48" t="s">
        <v>4984</v>
      </c>
      <c r="F16" s="48" t="s">
        <v>4985</v>
      </c>
      <c r="G16" s="48" t="s">
        <v>4986</v>
      </c>
      <c r="H16" s="48" t="s">
        <v>4987</v>
      </c>
      <c r="I16" s="48"/>
      <c r="J16" s="48" t="s">
        <v>1</v>
      </c>
      <c r="K16" s="48" t="s">
        <v>2</v>
      </c>
      <c r="L16" s="48" t="s">
        <v>3</v>
      </c>
      <c r="M16" s="48" t="s">
        <v>4</v>
      </c>
      <c r="N16" s="48" t="s">
        <v>5</v>
      </c>
      <c r="O16" s="48" t="s">
        <v>6</v>
      </c>
      <c r="P16" s="48" t="s">
        <v>4811</v>
      </c>
    </row>
    <row r="17" spans="1:16" x14ac:dyDescent="0.35">
      <c r="A17" s="48" t="s">
        <v>4981</v>
      </c>
      <c r="B17" s="48" t="s">
        <v>4980</v>
      </c>
      <c r="C17" s="48">
        <v>100000</v>
      </c>
      <c r="D17" s="48">
        <v>100000</v>
      </c>
      <c r="E17" s="48">
        <v>100000</v>
      </c>
      <c r="F17" s="48">
        <v>100000</v>
      </c>
      <c r="G17" s="48">
        <v>100000</v>
      </c>
      <c r="H17" s="48">
        <v>100000</v>
      </c>
      <c r="I17" s="48"/>
      <c r="J17" s="48">
        <v>100000</v>
      </c>
      <c r="K17" s="48">
        <v>100001</v>
      </c>
      <c r="L17" s="48">
        <v>100002</v>
      </c>
      <c r="M17" s="48">
        <v>100003</v>
      </c>
      <c r="N17" s="48">
        <v>100004</v>
      </c>
      <c r="O17" s="48">
        <v>100005</v>
      </c>
      <c r="P17" s="48"/>
    </row>
    <row r="18" spans="1:16" x14ac:dyDescent="0.35">
      <c r="A18" s="48" t="s">
        <v>4971</v>
      </c>
      <c r="B18" s="48" t="s">
        <v>4964</v>
      </c>
      <c r="C18" s="48">
        <f>C5/C4*100</f>
        <v>4.0979999999999999</v>
      </c>
      <c r="D18" s="48">
        <f t="shared" ref="D18:O18" si="1">D5/D4*100</f>
        <v>5.8119999999999994</v>
      </c>
      <c r="E18" s="48">
        <f t="shared" si="1"/>
        <v>4.6760000000000002</v>
      </c>
      <c r="F18" s="48">
        <f t="shared" si="1"/>
        <v>4.6619999999999999</v>
      </c>
      <c r="G18" s="48">
        <f t="shared" si="1"/>
        <v>4.3180000000000005</v>
      </c>
      <c r="H18" s="48">
        <f t="shared" si="1"/>
        <v>5.45</v>
      </c>
      <c r="I18" s="48"/>
      <c r="J18" s="48">
        <f t="shared" si="1"/>
        <v>4.7270000000000003</v>
      </c>
      <c r="K18" s="48">
        <f t="shared" si="1"/>
        <v>4.131958680413196</v>
      </c>
      <c r="L18" s="48">
        <f t="shared" si="1"/>
        <v>4.846903061938761</v>
      </c>
      <c r="M18" s="48">
        <f t="shared" si="1"/>
        <v>5.5728328150155493</v>
      </c>
      <c r="N18" s="48">
        <f t="shared" si="1"/>
        <v>4.3528258869645216</v>
      </c>
      <c r="O18" s="48">
        <f t="shared" si="1"/>
        <v>4.6397680115994193</v>
      </c>
      <c r="P18" s="48">
        <f>_xlfn.T.TEST(C18:H18,J18:O18,2,2)</f>
        <v>0.72115816396978705</v>
      </c>
    </row>
    <row r="19" spans="1:16" x14ac:dyDescent="0.35">
      <c r="A19" s="48" t="s">
        <v>4970</v>
      </c>
      <c r="B19" s="48" t="s">
        <v>4965</v>
      </c>
      <c r="C19" s="48">
        <f>C6/100000*100</f>
        <v>3.1739999999999999</v>
      </c>
      <c r="D19" s="48">
        <f t="shared" ref="D19:O19" si="2">D6/100000*100</f>
        <v>3.3849999999999998</v>
      </c>
      <c r="E19" s="48">
        <f t="shared" si="2"/>
        <v>3.0339999999999998</v>
      </c>
      <c r="F19" s="48">
        <f t="shared" si="2"/>
        <v>2.8320000000000003</v>
      </c>
      <c r="G19" s="48">
        <f t="shared" si="2"/>
        <v>3.1119999999999997</v>
      </c>
      <c r="H19" s="48">
        <f t="shared" si="2"/>
        <v>3.1260000000000003</v>
      </c>
      <c r="I19" s="48"/>
      <c r="J19" s="48">
        <f t="shared" si="2"/>
        <v>2.78</v>
      </c>
      <c r="K19" s="48">
        <f t="shared" si="2"/>
        <v>2.5829999999999997</v>
      </c>
      <c r="L19" s="48">
        <f t="shared" si="2"/>
        <v>3.0230000000000001</v>
      </c>
      <c r="M19" s="48">
        <f t="shared" si="2"/>
        <v>3.5760000000000001</v>
      </c>
      <c r="N19" s="48">
        <f t="shared" si="2"/>
        <v>2.1970000000000001</v>
      </c>
      <c r="O19" s="48">
        <f t="shared" si="2"/>
        <v>2.7320000000000002</v>
      </c>
      <c r="P19" s="48">
        <f t="shared" ref="P19:P26" si="3">_xlfn.T.TEST(C19:H19,J19:O19,2,2)</f>
        <v>0.1752578882449585</v>
      </c>
    </row>
    <row r="20" spans="1:16" x14ac:dyDescent="0.35">
      <c r="A20" s="48" t="s">
        <v>4969</v>
      </c>
      <c r="B20" s="48" t="s">
        <v>4966</v>
      </c>
      <c r="C20" s="48">
        <f t="shared" ref="C20:H20" si="4">C7/100000*100</f>
        <v>49.293999999999997</v>
      </c>
      <c r="D20" s="48">
        <f t="shared" si="4"/>
        <v>50.948999999999998</v>
      </c>
      <c r="E20" s="48">
        <f t="shared" si="4"/>
        <v>53.107999999999997</v>
      </c>
      <c r="F20" s="48">
        <f t="shared" si="4"/>
        <v>52.21</v>
      </c>
      <c r="G20" s="48">
        <f t="shared" si="4"/>
        <v>59.602999999999994</v>
      </c>
      <c r="H20" s="48">
        <f t="shared" si="4"/>
        <v>56.115000000000002</v>
      </c>
      <c r="I20" s="48"/>
      <c r="J20" s="48">
        <f t="shared" ref="J20:O20" si="5">J7/100000*100</f>
        <v>58.274000000000001</v>
      </c>
      <c r="K20" s="48">
        <f t="shared" si="5"/>
        <v>57.95</v>
      </c>
      <c r="L20" s="48">
        <f t="shared" si="5"/>
        <v>54.856999999999999</v>
      </c>
      <c r="M20" s="48">
        <f t="shared" si="5"/>
        <v>54.118000000000002</v>
      </c>
      <c r="N20" s="48">
        <f t="shared" si="5"/>
        <v>59.184000000000005</v>
      </c>
      <c r="O20" s="48">
        <f t="shared" si="5"/>
        <v>54.913999999999994</v>
      </c>
      <c r="P20" s="48">
        <f t="shared" si="3"/>
        <v>0.11962401162795411</v>
      </c>
    </row>
    <row r="21" spans="1:16" x14ac:dyDescent="0.35">
      <c r="A21" s="48" t="s">
        <v>4968</v>
      </c>
      <c r="B21" s="48" t="s">
        <v>4967</v>
      </c>
      <c r="C21" s="48">
        <f t="shared" ref="C21:H21" si="6">C8/100000*100</f>
        <v>12.726000000000001</v>
      </c>
      <c r="D21" s="48">
        <f t="shared" si="6"/>
        <v>10.513</v>
      </c>
      <c r="E21" s="48">
        <f t="shared" si="6"/>
        <v>12.081</v>
      </c>
      <c r="F21" s="48">
        <f t="shared" si="6"/>
        <v>8.2460000000000004</v>
      </c>
      <c r="G21" s="48">
        <f t="shared" si="6"/>
        <v>8.2710000000000008</v>
      </c>
      <c r="H21" s="48">
        <f t="shared" si="6"/>
        <v>13.266</v>
      </c>
      <c r="I21" s="48"/>
      <c r="J21" s="48">
        <f t="shared" ref="J21:O21" si="7">J8/100000*100</f>
        <v>12.046999999999999</v>
      </c>
      <c r="K21" s="48">
        <f t="shared" si="7"/>
        <v>10.263999999999999</v>
      </c>
      <c r="L21" s="48">
        <f t="shared" si="7"/>
        <v>10.866000000000001</v>
      </c>
      <c r="M21" s="48">
        <f t="shared" si="7"/>
        <v>12.864000000000001</v>
      </c>
      <c r="N21" s="48">
        <f t="shared" si="7"/>
        <v>11.525</v>
      </c>
      <c r="O21" s="48">
        <f t="shared" si="7"/>
        <v>11.153</v>
      </c>
      <c r="P21" s="48">
        <f t="shared" si="3"/>
        <v>0.55097077975444386</v>
      </c>
    </row>
    <row r="22" spans="1:16" x14ac:dyDescent="0.35">
      <c r="A22" s="48" t="s">
        <v>4972</v>
      </c>
      <c r="B22" s="48" t="s">
        <v>4976</v>
      </c>
      <c r="C22" s="48">
        <f t="shared" ref="C22:H22" si="8">C9/100000*100</f>
        <v>9.6950000000000003</v>
      </c>
      <c r="D22" s="48">
        <f t="shared" si="8"/>
        <v>7.4609999999999994</v>
      </c>
      <c r="E22" s="48">
        <f t="shared" si="8"/>
        <v>8.89</v>
      </c>
      <c r="F22" s="48">
        <f t="shared" si="8"/>
        <v>8.4329999999999998</v>
      </c>
      <c r="G22" s="48">
        <f t="shared" si="8"/>
        <v>7.3480000000000008</v>
      </c>
      <c r="H22" s="48">
        <f t="shared" si="8"/>
        <v>9.2379999999999995</v>
      </c>
      <c r="I22" s="48"/>
      <c r="J22" s="48">
        <f t="shared" ref="J22:O22" si="9">J9/100000*100</f>
        <v>8.7449999999999992</v>
      </c>
      <c r="K22" s="48">
        <f t="shared" si="9"/>
        <v>3.5409999999999995</v>
      </c>
      <c r="L22" s="48">
        <f t="shared" si="9"/>
        <v>11.611000000000001</v>
      </c>
      <c r="M22" s="48">
        <f t="shared" si="9"/>
        <v>10.895000000000001</v>
      </c>
      <c r="N22" s="48">
        <f t="shared" si="9"/>
        <v>9.8449999999999989</v>
      </c>
      <c r="O22" s="48">
        <f t="shared" si="9"/>
        <v>11.411</v>
      </c>
      <c r="P22" s="48">
        <f t="shared" si="3"/>
        <v>0.53703221190699768</v>
      </c>
    </row>
    <row r="23" spans="1:16" x14ac:dyDescent="0.35">
      <c r="A23" s="48" t="s">
        <v>4973</v>
      </c>
      <c r="B23" s="48" t="s">
        <v>4975</v>
      </c>
      <c r="C23" s="48">
        <f t="shared" ref="C23:H23" si="10">C10/100000*100</f>
        <v>3.7969999999999997</v>
      </c>
      <c r="D23" s="48">
        <f t="shared" si="10"/>
        <v>3.9609999999999999</v>
      </c>
      <c r="E23" s="48">
        <f t="shared" si="10"/>
        <v>4.5190000000000001</v>
      </c>
      <c r="F23" s="48">
        <f t="shared" si="10"/>
        <v>4.1509999999999998</v>
      </c>
      <c r="G23" s="48">
        <f t="shared" si="10"/>
        <v>3.637</v>
      </c>
      <c r="H23" s="48">
        <f t="shared" si="10"/>
        <v>4.2670000000000003</v>
      </c>
      <c r="I23" s="48"/>
      <c r="J23" s="48">
        <f t="shared" ref="J23:O23" si="11">J10/100000*100</f>
        <v>4.774</v>
      </c>
      <c r="K23" s="48">
        <f t="shared" si="11"/>
        <v>4.3979999999999997</v>
      </c>
      <c r="L23" s="48">
        <f t="shared" si="11"/>
        <v>4.2060000000000004</v>
      </c>
      <c r="M23" s="48">
        <f t="shared" si="11"/>
        <v>2.9910000000000001</v>
      </c>
      <c r="N23" s="48">
        <f t="shared" si="11"/>
        <v>5.6059999999999999</v>
      </c>
      <c r="O23" s="48">
        <f t="shared" si="11"/>
        <v>3.4639999999999995</v>
      </c>
      <c r="P23" s="48">
        <f t="shared" si="3"/>
        <v>0.65643663744156511</v>
      </c>
    </row>
    <row r="24" spans="1:16" x14ac:dyDescent="0.35">
      <c r="A24" s="48" t="s">
        <v>4977</v>
      </c>
      <c r="B24" s="48" t="s">
        <v>4974</v>
      </c>
      <c r="C24" s="48">
        <f t="shared" ref="C24:H24" si="12">C11/100000*100</f>
        <v>7.7859999999999996</v>
      </c>
      <c r="D24" s="48">
        <f t="shared" si="12"/>
        <v>0.76600000000000001</v>
      </c>
      <c r="E24" s="48">
        <f t="shared" si="12"/>
        <v>8.5489999999999995</v>
      </c>
      <c r="F24" s="48">
        <f t="shared" si="12"/>
        <v>9.157</v>
      </c>
      <c r="G24" s="48">
        <f t="shared" si="12"/>
        <v>12.622</v>
      </c>
      <c r="H24" s="48">
        <f t="shared" si="12"/>
        <v>11.784000000000001</v>
      </c>
      <c r="I24" s="48"/>
      <c r="J24" s="48">
        <f t="shared" ref="J24:O24" si="13">J11/100000*100</f>
        <v>8.2809999999999988</v>
      </c>
      <c r="K24" s="48">
        <f t="shared" si="13"/>
        <v>6.61</v>
      </c>
      <c r="L24" s="48">
        <f t="shared" si="13"/>
        <v>7.8090000000000011</v>
      </c>
      <c r="M24" s="48">
        <f t="shared" si="13"/>
        <v>8.9139999999999997</v>
      </c>
      <c r="N24" s="48">
        <f t="shared" si="13"/>
        <v>7.1059999999999999</v>
      </c>
      <c r="O24" s="48">
        <f t="shared" si="13"/>
        <v>8.8309999999999995</v>
      </c>
      <c r="P24" s="48">
        <f t="shared" si="3"/>
        <v>0.77409558985683402</v>
      </c>
    </row>
    <row r="25" spans="1:16" x14ac:dyDescent="0.35">
      <c r="A25" s="48" t="s">
        <v>4977</v>
      </c>
      <c r="B25" s="48" t="s">
        <v>4978</v>
      </c>
      <c r="C25" s="48">
        <f t="shared" ref="C25:H25" si="14">C12/100000*100</f>
        <v>12.44</v>
      </c>
      <c r="D25" s="48">
        <f t="shared" si="14"/>
        <v>9.7089999999999996</v>
      </c>
      <c r="E25" s="48">
        <f t="shared" si="14"/>
        <v>7.782</v>
      </c>
      <c r="F25" s="48">
        <f t="shared" si="14"/>
        <v>9.6989999999999998</v>
      </c>
      <c r="G25" s="48">
        <f t="shared" si="14"/>
        <v>6.9779999999999998</v>
      </c>
      <c r="H25" s="48">
        <f t="shared" si="14"/>
        <v>6.1420000000000003</v>
      </c>
      <c r="I25" s="48"/>
      <c r="J25" s="48">
        <f t="shared" ref="J25:O25" si="15">J12/100000*100</f>
        <v>6.9660000000000002</v>
      </c>
      <c r="K25" s="48">
        <f t="shared" si="15"/>
        <v>7.0540000000000003</v>
      </c>
      <c r="L25" s="48">
        <f t="shared" si="15"/>
        <v>7.76</v>
      </c>
      <c r="M25" s="48">
        <f t="shared" si="15"/>
        <v>7.4190000000000005</v>
      </c>
      <c r="N25" s="48">
        <f t="shared" si="15"/>
        <v>8.1039999999999992</v>
      </c>
      <c r="O25" s="48">
        <f t="shared" si="15"/>
        <v>9.3320000000000007</v>
      </c>
      <c r="P25" s="48">
        <f t="shared" si="3"/>
        <v>0.33320688734088177</v>
      </c>
    </row>
    <row r="26" spans="1:16" x14ac:dyDescent="0.35">
      <c r="A26" s="48" t="s">
        <v>4977</v>
      </c>
      <c r="B26" s="48" t="s">
        <v>4979</v>
      </c>
      <c r="C26" s="48">
        <f t="shared" ref="C26:H26" si="16">C13/100000*100</f>
        <v>15.223000000000001</v>
      </c>
      <c r="D26" s="48">
        <f t="shared" si="16"/>
        <v>16.09</v>
      </c>
      <c r="E26" s="48">
        <f t="shared" si="16"/>
        <v>19.535</v>
      </c>
      <c r="F26" s="48">
        <f t="shared" si="16"/>
        <v>18.355</v>
      </c>
      <c r="G26" s="48">
        <f t="shared" si="16"/>
        <v>24.013000000000002</v>
      </c>
      <c r="H26" s="48">
        <f t="shared" si="16"/>
        <v>25.757999999999999</v>
      </c>
      <c r="I26" s="48"/>
      <c r="J26" s="48">
        <f t="shared" ref="J26:O26" si="17">J13/100000*100</f>
        <v>15.894</v>
      </c>
      <c r="K26" s="48">
        <f t="shared" si="17"/>
        <v>15.951000000000001</v>
      </c>
      <c r="L26" s="48">
        <f t="shared" si="17"/>
        <v>16.936999999999998</v>
      </c>
      <c r="M26" s="48">
        <f t="shared" si="17"/>
        <v>18.274000000000001</v>
      </c>
      <c r="N26" s="48">
        <f t="shared" si="17"/>
        <v>15.509</v>
      </c>
      <c r="O26" s="48">
        <f t="shared" si="17"/>
        <v>17.184999999999999</v>
      </c>
      <c r="P26" s="48">
        <f t="shared" si="3"/>
        <v>0.10272190037626792</v>
      </c>
    </row>
  </sheetData>
  <phoneticPr fontId="3" type="noConversion"/>
  <pageMargins left="0.7" right="0.7" top="0.75" bottom="0.75" header="0.3" footer="0.3"/>
  <pageSetup orientation="portrait" horizontalDpi="300" verticalDpi="30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5F4A7-AE47-446D-AEF2-29402DB891C8}">
  <dimension ref="A1:I13"/>
  <sheetViews>
    <sheetView workbookViewId="0">
      <selection activeCell="F16" sqref="F16"/>
    </sheetView>
  </sheetViews>
  <sheetFormatPr defaultRowHeight="14.5" x14ac:dyDescent="0.35"/>
  <sheetData>
    <row r="1" spans="1:9" ht="16.5" x14ac:dyDescent="0.35">
      <c r="A1" t="s">
        <v>4788</v>
      </c>
    </row>
    <row r="2" spans="1:9" ht="16.5" x14ac:dyDescent="0.35">
      <c r="B2" s="19" t="s">
        <v>4715</v>
      </c>
      <c r="C2" s="20" t="s">
        <v>23</v>
      </c>
      <c r="E2" t="s">
        <v>4811</v>
      </c>
    </row>
    <row r="3" spans="1:9" x14ac:dyDescent="0.35">
      <c r="A3" t="s">
        <v>4816</v>
      </c>
      <c r="B3" s="17">
        <v>1695.748</v>
      </c>
      <c r="C3" s="17">
        <v>1775.816</v>
      </c>
      <c r="E3">
        <f>_xlfn.T.TEST(B3:B5,C3:C5,2,2)</f>
        <v>0.70593741281208833</v>
      </c>
    </row>
    <row r="4" spans="1:9" x14ac:dyDescent="0.35">
      <c r="A4" s="48" t="s">
        <v>4817</v>
      </c>
      <c r="B4" s="17">
        <v>1839.1030000000001</v>
      </c>
      <c r="C4" s="17">
        <v>1626.9770000000001</v>
      </c>
    </row>
    <row r="5" spans="1:9" x14ac:dyDescent="0.35">
      <c r="A5" s="48" t="s">
        <v>4818</v>
      </c>
      <c r="B5" s="17">
        <v>1612.472</v>
      </c>
      <c r="C5" s="17">
        <v>1645.9690000000001</v>
      </c>
    </row>
    <row r="7" spans="1:9" x14ac:dyDescent="0.35">
      <c r="A7" t="s">
        <v>4789</v>
      </c>
    </row>
    <row r="8" spans="1:9" ht="16.5" x14ac:dyDescent="0.35">
      <c r="B8" s="19"/>
      <c r="C8" s="19" t="s">
        <v>4614</v>
      </c>
      <c r="D8" s="19" t="s">
        <v>4708</v>
      </c>
      <c r="E8" s="19" t="s">
        <v>4709</v>
      </c>
      <c r="F8" s="19" t="s">
        <v>1</v>
      </c>
      <c r="G8" s="19" t="s">
        <v>2</v>
      </c>
      <c r="H8" s="19" t="s">
        <v>3</v>
      </c>
      <c r="I8" s="48" t="s">
        <v>4811</v>
      </c>
    </row>
    <row r="9" spans="1:9" x14ac:dyDescent="0.35">
      <c r="B9" s="16" t="s">
        <v>178</v>
      </c>
      <c r="C9" s="17">
        <v>37.947369999999999</v>
      </c>
      <c r="D9" s="17">
        <v>34.733260000000001</v>
      </c>
      <c r="E9" s="17">
        <v>35.611159999999998</v>
      </c>
      <c r="F9" s="17">
        <v>40.666670000000003</v>
      </c>
      <c r="G9" s="17">
        <v>37.340490000000003</v>
      </c>
      <c r="H9" s="17">
        <v>42.937849999999997</v>
      </c>
      <c r="I9" s="48">
        <f>_xlfn.T.TEST(C9:E9,F9:H9,2,2)</f>
        <v>8.9129461472373855E-2</v>
      </c>
    </row>
    <row r="10" spans="1:9" x14ac:dyDescent="0.35">
      <c r="B10" s="16" t="s">
        <v>4991</v>
      </c>
      <c r="C10" s="17">
        <v>52.236840000000001</v>
      </c>
      <c r="D10" s="17">
        <v>54.937570000000001</v>
      </c>
      <c r="E10" s="17">
        <v>56.592880000000001</v>
      </c>
      <c r="F10" s="17">
        <v>56</v>
      </c>
      <c r="G10" s="17">
        <v>55.22175</v>
      </c>
      <c r="H10" s="17">
        <v>49.152540000000002</v>
      </c>
      <c r="I10" s="48">
        <f t="shared" ref="I10:I12" si="0">_xlfn.T.TEST(C10:E10,F10:H10,2,2)</f>
        <v>0.67553995197809569</v>
      </c>
    </row>
    <row r="11" spans="1:9" x14ac:dyDescent="0.35">
      <c r="B11" s="16" t="s">
        <v>179</v>
      </c>
      <c r="C11" s="17">
        <v>9.6052630000000008</v>
      </c>
      <c r="D11" s="17">
        <v>8.6265610000000006</v>
      </c>
      <c r="E11" s="17">
        <v>6.4485080000000004</v>
      </c>
      <c r="F11" s="17">
        <v>2.3333330000000001</v>
      </c>
      <c r="G11" s="17">
        <v>4.2904150000000003</v>
      </c>
      <c r="H11" s="17">
        <v>7.909605</v>
      </c>
      <c r="I11" s="48">
        <f t="shared" si="0"/>
        <v>0.1465613923836605</v>
      </c>
    </row>
    <row r="12" spans="1:9" x14ac:dyDescent="0.35">
      <c r="B12" s="16" t="s">
        <v>4992</v>
      </c>
      <c r="C12" s="17">
        <v>1.210526</v>
      </c>
      <c r="D12" s="17">
        <v>1.7026110000000001</v>
      </c>
      <c r="E12" s="17">
        <v>1.3474489999999999</v>
      </c>
      <c r="F12" s="17">
        <v>1</v>
      </c>
      <c r="G12" s="17">
        <v>3.1473529999999998</v>
      </c>
      <c r="H12" s="17">
        <v>0</v>
      </c>
      <c r="I12" s="48">
        <f t="shared" si="0"/>
        <v>0.9698941869765737</v>
      </c>
    </row>
    <row r="13" spans="1:9" x14ac:dyDescent="0.35">
      <c r="D13" s="48"/>
      <c r="E13" s="48"/>
      <c r="F13" s="48"/>
      <c r="G13" s="48"/>
      <c r="H13" s="48"/>
    </row>
  </sheetData>
  <phoneticPr fontId="3" type="noConversion"/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42325-D4B4-4F72-A03D-000713AE88EF}">
  <dimension ref="A2:I22"/>
  <sheetViews>
    <sheetView workbookViewId="0">
      <selection activeCell="B11" sqref="B11:B15"/>
    </sheetView>
  </sheetViews>
  <sheetFormatPr defaultRowHeight="14.5" x14ac:dyDescent="0.35"/>
  <sheetData>
    <row r="2" spans="1:9" ht="16.5" x14ac:dyDescent="0.35">
      <c r="A2" s="48" t="s">
        <v>4790</v>
      </c>
      <c r="B2" s="48"/>
      <c r="C2" s="48"/>
      <c r="D2" s="48"/>
      <c r="E2" s="48"/>
      <c r="F2" s="48"/>
      <c r="G2" s="48"/>
      <c r="H2" s="48"/>
    </row>
    <row r="3" spans="1:9" ht="16.5" x14ac:dyDescent="0.35">
      <c r="A3" s="48"/>
      <c r="B3" s="19" t="s">
        <v>4715</v>
      </c>
      <c r="C3" s="20" t="s">
        <v>23</v>
      </c>
      <c r="D3" s="48" t="s">
        <v>4863</v>
      </c>
      <c r="E3" s="48"/>
      <c r="F3" s="48"/>
      <c r="G3" s="48"/>
      <c r="H3" s="48"/>
    </row>
    <row r="4" spans="1:9" x14ac:dyDescent="0.35">
      <c r="A4" s="48"/>
      <c r="B4" s="17">
        <v>1592.86</v>
      </c>
      <c r="C4" s="17">
        <v>1815</v>
      </c>
      <c r="D4" s="48"/>
      <c r="E4" s="48"/>
      <c r="F4" s="48"/>
      <c r="G4" s="48"/>
      <c r="H4" s="48"/>
    </row>
    <row r="5" spans="1:9" x14ac:dyDescent="0.35">
      <c r="A5" s="48"/>
      <c r="B5" s="17">
        <v>1225.81</v>
      </c>
      <c r="C5" s="17">
        <v>1610</v>
      </c>
      <c r="D5" s="48"/>
      <c r="E5" s="48"/>
      <c r="F5" s="48"/>
      <c r="G5" s="48"/>
      <c r="H5" s="48"/>
    </row>
    <row r="6" spans="1:9" x14ac:dyDescent="0.35">
      <c r="A6" s="48"/>
      <c r="B6" s="17">
        <v>1987.62</v>
      </c>
      <c r="C6" s="17">
        <v>1771.5</v>
      </c>
      <c r="D6" s="48"/>
      <c r="E6" s="48"/>
      <c r="F6" s="48"/>
      <c r="G6" s="48"/>
      <c r="H6" s="48"/>
    </row>
    <row r="7" spans="1:9" x14ac:dyDescent="0.35">
      <c r="A7" s="48"/>
      <c r="B7" s="48"/>
      <c r="C7" s="48"/>
      <c r="D7" s="48">
        <f>_xlfn.T.TEST(B4:B6,C4:C6,2,2)</f>
        <v>0.59984324709463499</v>
      </c>
      <c r="E7" s="48"/>
      <c r="F7" s="48"/>
      <c r="G7" s="48"/>
      <c r="H7" s="48"/>
    </row>
    <row r="8" spans="1:9" x14ac:dyDescent="0.35">
      <c r="A8" s="48" t="s">
        <v>4791</v>
      </c>
      <c r="B8" s="48"/>
      <c r="C8" s="48"/>
      <c r="D8" s="48"/>
      <c r="E8" s="48"/>
      <c r="F8" s="48"/>
      <c r="G8" s="48"/>
      <c r="H8" s="48"/>
    </row>
    <row r="9" spans="1:9" x14ac:dyDescent="0.35">
      <c r="A9" s="48"/>
      <c r="B9" s="48"/>
      <c r="C9" s="48"/>
      <c r="D9" s="48"/>
      <c r="E9" s="48"/>
      <c r="F9" s="48"/>
      <c r="G9" s="48"/>
      <c r="H9" s="48"/>
    </row>
    <row r="10" spans="1:9" ht="16.5" x14ac:dyDescent="0.35">
      <c r="A10" s="19"/>
      <c r="B10" s="19"/>
      <c r="C10" s="19" t="s">
        <v>4614</v>
      </c>
      <c r="D10" s="19" t="s">
        <v>4615</v>
      </c>
      <c r="E10" s="19" t="s">
        <v>4616</v>
      </c>
      <c r="F10" s="19" t="s">
        <v>1</v>
      </c>
      <c r="G10" s="19" t="s">
        <v>2</v>
      </c>
      <c r="H10" s="19" t="s">
        <v>3</v>
      </c>
      <c r="I10" s="60" t="s">
        <v>4811</v>
      </c>
    </row>
    <row r="11" spans="1:9" x14ac:dyDescent="0.35">
      <c r="A11" s="19" t="s">
        <v>4733</v>
      </c>
      <c r="B11" s="24" t="s">
        <v>4991</v>
      </c>
      <c r="C11" s="25">
        <v>0.288184</v>
      </c>
      <c r="D11" s="25">
        <v>0.41322300000000001</v>
      </c>
      <c r="E11" s="25">
        <v>0.95389500000000005</v>
      </c>
      <c r="F11" s="25"/>
      <c r="G11" s="25">
        <v>1.192504</v>
      </c>
      <c r="H11" s="25">
        <v>5.4507339999999997</v>
      </c>
      <c r="I11">
        <f>_xlfn.T.TEST(C11:E11,G11:H11,2,2)</f>
        <v>0.183588531066329</v>
      </c>
    </row>
    <row r="12" spans="1:9" x14ac:dyDescent="0.35">
      <c r="A12" s="19"/>
      <c r="B12" s="24" t="s">
        <v>4992</v>
      </c>
      <c r="C12" s="25">
        <v>82.997119999999995</v>
      </c>
      <c r="D12" s="25">
        <v>57.851239999999997</v>
      </c>
      <c r="E12" s="25">
        <v>74.721779999999995</v>
      </c>
      <c r="F12" s="25">
        <v>81.602369999999993</v>
      </c>
      <c r="G12" s="25">
        <v>69.16525</v>
      </c>
      <c r="H12" s="25">
        <v>73.584909999999994</v>
      </c>
      <c r="I12" s="48">
        <f>_xlfn.T.TEST(C12:E12,F12:H12,2,2)</f>
        <v>0.74050244170127488</v>
      </c>
    </row>
    <row r="13" spans="1:9" x14ac:dyDescent="0.35">
      <c r="A13" s="19"/>
      <c r="B13" s="24" t="s">
        <v>179</v>
      </c>
      <c r="C13" s="25">
        <v>16.714700000000001</v>
      </c>
      <c r="D13" s="25">
        <v>40.495869999999996</v>
      </c>
      <c r="E13" s="25">
        <v>22.734500000000001</v>
      </c>
      <c r="F13" s="25">
        <v>18.397629999999999</v>
      </c>
      <c r="G13" s="25">
        <v>27.427600000000002</v>
      </c>
      <c r="H13" s="25">
        <v>18.238990000000001</v>
      </c>
      <c r="I13" s="48">
        <f t="shared" ref="I13:I15" si="0">_xlfn.T.TEST(C13:E13,F13:H13,2,2)</f>
        <v>0.53246792489991301</v>
      </c>
    </row>
    <row r="14" spans="1:9" x14ac:dyDescent="0.35">
      <c r="A14" s="19"/>
      <c r="B14" s="24" t="s">
        <v>178</v>
      </c>
      <c r="C14" s="25">
        <v>0</v>
      </c>
      <c r="D14" s="25">
        <v>1.2396689999999999</v>
      </c>
      <c r="E14" s="25">
        <v>0</v>
      </c>
      <c r="F14" s="25">
        <v>0</v>
      </c>
      <c r="G14" s="25">
        <v>0</v>
      </c>
      <c r="H14" s="25">
        <v>0.62893100000000002</v>
      </c>
      <c r="I14" s="48">
        <f t="shared" si="0"/>
        <v>0.68309796795130973</v>
      </c>
    </row>
    <row r="15" spans="1:9" x14ac:dyDescent="0.35">
      <c r="A15" s="19"/>
      <c r="B15" s="24" t="s">
        <v>4732</v>
      </c>
      <c r="C15" s="25">
        <v>0</v>
      </c>
      <c r="D15" s="25">
        <v>0</v>
      </c>
      <c r="E15" s="25">
        <v>1.589825</v>
      </c>
      <c r="F15" s="25">
        <v>0</v>
      </c>
      <c r="G15" s="25">
        <v>2.2146509999999999</v>
      </c>
      <c r="H15" s="25">
        <v>2.0964360000000002</v>
      </c>
      <c r="I15" s="48">
        <f t="shared" si="0"/>
        <v>0.36740126916040672</v>
      </c>
    </row>
    <row r="16" spans="1:9" x14ac:dyDescent="0.35">
      <c r="A16" s="48"/>
      <c r="B16" s="48"/>
      <c r="C16" s="48"/>
      <c r="D16" s="48"/>
      <c r="E16" s="48"/>
      <c r="F16" s="48"/>
      <c r="G16" s="48"/>
      <c r="H16" s="48"/>
    </row>
    <row r="17" spans="1:9" ht="16.5" x14ac:dyDescent="0.35">
      <c r="A17" s="19"/>
      <c r="B17" s="24"/>
      <c r="C17" s="19" t="s">
        <v>4614</v>
      </c>
      <c r="D17" s="19" t="s">
        <v>4615</v>
      </c>
      <c r="E17" s="19" t="s">
        <v>4616</v>
      </c>
      <c r="F17" s="19" t="s">
        <v>1</v>
      </c>
      <c r="G17" s="19" t="s">
        <v>2</v>
      </c>
      <c r="H17" s="19" t="s">
        <v>3</v>
      </c>
    </row>
    <row r="18" spans="1:9" x14ac:dyDescent="0.35">
      <c r="A18" s="19" t="s">
        <v>4734</v>
      </c>
      <c r="B18" s="24" t="s">
        <v>4991</v>
      </c>
      <c r="C18" s="25">
        <v>27.241379999999999</v>
      </c>
      <c r="D18" s="25">
        <v>19.210529999999999</v>
      </c>
      <c r="E18" s="25">
        <v>18.2285</v>
      </c>
      <c r="F18" s="25">
        <v>9.0909089999999999</v>
      </c>
      <c r="G18" s="25">
        <v>17.22054</v>
      </c>
      <c r="H18" s="25">
        <v>35.254240000000003</v>
      </c>
      <c r="I18" s="48">
        <f>_xlfn.T.TEST(C18:E18,G18:H18,2,2)</f>
        <v>0.5848370295705636</v>
      </c>
    </row>
    <row r="19" spans="1:9" x14ac:dyDescent="0.35">
      <c r="A19" s="19"/>
      <c r="B19" s="24" t="s">
        <v>4992</v>
      </c>
      <c r="C19" s="25">
        <v>34.827590000000001</v>
      </c>
      <c r="D19" s="25">
        <v>25.526319999999998</v>
      </c>
      <c r="E19" s="25">
        <v>30.166879999999999</v>
      </c>
      <c r="F19" s="25">
        <v>46.503500000000003</v>
      </c>
      <c r="G19" s="25">
        <v>33.23263</v>
      </c>
      <c r="H19" s="25">
        <v>23.898309999999999</v>
      </c>
      <c r="I19" s="48">
        <f>_xlfn.T.TEST(C19:E19,F19:H19,2,2)</f>
        <v>0.57073589034468319</v>
      </c>
    </row>
    <row r="20" spans="1:9" x14ac:dyDescent="0.35">
      <c r="A20" s="19"/>
      <c r="B20" s="24" t="s">
        <v>179</v>
      </c>
      <c r="C20" s="25">
        <v>37.586210000000001</v>
      </c>
      <c r="D20" s="25">
        <v>53.421050000000001</v>
      </c>
      <c r="E20" s="25">
        <v>41.720149999999997</v>
      </c>
      <c r="F20" s="25">
        <v>40.559440000000002</v>
      </c>
      <c r="G20" s="25">
        <v>46.525680000000001</v>
      </c>
      <c r="H20" s="25">
        <v>29.322030000000002</v>
      </c>
      <c r="I20" s="48">
        <f t="shared" ref="I20:I22" si="1">_xlfn.T.TEST(C20:E20,F20:H20,2,2)</f>
        <v>0.47589280453042171</v>
      </c>
    </row>
    <row r="21" spans="1:9" x14ac:dyDescent="0.35">
      <c r="A21" s="19"/>
      <c r="B21" s="24" t="s">
        <v>178</v>
      </c>
      <c r="C21" s="25">
        <v>0.34482800000000002</v>
      </c>
      <c r="D21" s="25">
        <v>1.8421050000000001</v>
      </c>
      <c r="E21" s="25">
        <v>0.641849</v>
      </c>
      <c r="F21" s="25">
        <v>0.34965000000000002</v>
      </c>
      <c r="G21" s="25">
        <v>0.75528700000000004</v>
      </c>
      <c r="H21" s="25">
        <v>2.542373</v>
      </c>
      <c r="I21" s="48">
        <f t="shared" si="1"/>
        <v>0.75442524660610377</v>
      </c>
    </row>
    <row r="22" spans="1:9" x14ac:dyDescent="0.35">
      <c r="A22" s="19"/>
      <c r="B22" s="24" t="s">
        <v>4732</v>
      </c>
      <c r="C22" s="25">
        <v>0</v>
      </c>
      <c r="D22" s="25">
        <v>0</v>
      </c>
      <c r="E22" s="25">
        <v>9.2426189999999995</v>
      </c>
      <c r="F22" s="25">
        <v>3.4965030000000001</v>
      </c>
      <c r="G22" s="25">
        <v>2.2658610000000001</v>
      </c>
      <c r="H22" s="25">
        <v>8.9830509999999997</v>
      </c>
      <c r="I22" s="48">
        <f t="shared" si="1"/>
        <v>0.64683186677274218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FC762-F361-4B0D-A0DE-0DC03927BC12}">
  <dimension ref="A2:K20"/>
  <sheetViews>
    <sheetView workbookViewId="0">
      <selection activeCell="F29" sqref="F29"/>
    </sheetView>
  </sheetViews>
  <sheetFormatPr defaultRowHeight="14.5" x14ac:dyDescent="0.35"/>
  <sheetData>
    <row r="2" spans="1:11" ht="16.5" x14ac:dyDescent="0.35">
      <c r="A2" s="48" t="s">
        <v>4792</v>
      </c>
      <c r="B2" s="48"/>
      <c r="C2" s="48"/>
      <c r="D2" s="48"/>
      <c r="E2" s="48"/>
      <c r="F2" s="48"/>
      <c r="G2" s="48"/>
      <c r="H2" s="48"/>
      <c r="I2" s="48"/>
      <c r="J2" s="48"/>
    </row>
    <row r="3" spans="1:11" ht="16.5" x14ac:dyDescent="0.35">
      <c r="A3" s="48"/>
      <c r="B3" s="19" t="s">
        <v>4715</v>
      </c>
      <c r="C3" s="20" t="s">
        <v>23</v>
      </c>
      <c r="D3" s="48"/>
      <c r="E3" s="48"/>
      <c r="F3" s="48"/>
      <c r="G3" s="48"/>
      <c r="H3" s="48"/>
      <c r="I3" s="48"/>
      <c r="J3" s="48"/>
    </row>
    <row r="4" spans="1:11" x14ac:dyDescent="0.35">
      <c r="A4" s="48" t="s">
        <v>4816</v>
      </c>
      <c r="B4" s="17">
        <v>1687.55</v>
      </c>
      <c r="C4" s="17">
        <v>1504.16</v>
      </c>
      <c r="D4" s="48"/>
      <c r="E4" s="48"/>
      <c r="F4" s="48"/>
      <c r="G4" s="48"/>
      <c r="H4" s="48"/>
      <c r="I4" s="48"/>
      <c r="J4" s="48"/>
    </row>
    <row r="5" spans="1:11" x14ac:dyDescent="0.35">
      <c r="A5" s="48" t="s">
        <v>4817</v>
      </c>
      <c r="B5" s="17">
        <v>1226.44</v>
      </c>
      <c r="C5" s="17">
        <v>1605.05</v>
      </c>
      <c r="D5" s="48"/>
      <c r="E5" s="48"/>
      <c r="F5" s="48"/>
      <c r="G5" s="48"/>
      <c r="H5" s="48"/>
      <c r="I5" s="48"/>
      <c r="J5" s="48"/>
    </row>
    <row r="6" spans="1:11" x14ac:dyDescent="0.35">
      <c r="A6" s="48" t="s">
        <v>4818</v>
      </c>
      <c r="B6" s="17">
        <v>1264.82</v>
      </c>
      <c r="C6" s="17">
        <v>1523.35</v>
      </c>
      <c r="D6" s="48"/>
      <c r="E6" s="48"/>
      <c r="F6" s="48"/>
      <c r="G6" s="48"/>
      <c r="H6" s="48"/>
      <c r="I6" s="48"/>
      <c r="J6" s="48"/>
    </row>
    <row r="7" spans="1:11" x14ac:dyDescent="0.35">
      <c r="A7" s="48" t="s">
        <v>4819</v>
      </c>
      <c r="B7" s="17">
        <v>1618.75</v>
      </c>
      <c r="C7" s="17">
        <v>1711.46</v>
      </c>
      <c r="D7" s="48">
        <f>_xlfn.T.TEST(B4:B7,C4:C7,2,2)</f>
        <v>0.3260843303451626</v>
      </c>
      <c r="E7" s="48"/>
      <c r="F7" s="48"/>
      <c r="G7" s="48"/>
      <c r="H7" s="48"/>
      <c r="I7" s="48"/>
      <c r="J7" s="48"/>
    </row>
    <row r="8" spans="1:11" x14ac:dyDescent="0.35">
      <c r="A8" s="48" t="s">
        <v>4793</v>
      </c>
      <c r="B8" s="48"/>
      <c r="C8" s="48"/>
      <c r="D8" s="48"/>
      <c r="E8" s="48"/>
      <c r="F8" s="48"/>
      <c r="G8" s="48"/>
      <c r="H8" s="48"/>
      <c r="I8" s="48"/>
      <c r="J8" s="48"/>
    </row>
    <row r="9" spans="1:11" ht="16.5" x14ac:dyDescent="0.35">
      <c r="A9" s="19"/>
      <c r="B9" s="19"/>
      <c r="C9" s="19" t="s">
        <v>4614</v>
      </c>
      <c r="D9" s="19" t="s">
        <v>4615</v>
      </c>
      <c r="E9" s="19" t="s">
        <v>4616</v>
      </c>
      <c r="F9" s="19"/>
      <c r="G9" s="19" t="s">
        <v>1</v>
      </c>
      <c r="H9" s="19" t="s">
        <v>2</v>
      </c>
      <c r="I9" s="19" t="s">
        <v>3</v>
      </c>
      <c r="J9" s="19" t="s">
        <v>4</v>
      </c>
    </row>
    <row r="10" spans="1:11" x14ac:dyDescent="0.35">
      <c r="A10" s="19" t="s">
        <v>4733</v>
      </c>
      <c r="B10" s="24" t="s">
        <v>4991</v>
      </c>
      <c r="C10" s="25">
        <v>0</v>
      </c>
      <c r="D10" s="25">
        <v>6.8822999999999995E-2</v>
      </c>
      <c r="E10" s="25">
        <v>0</v>
      </c>
      <c r="F10" s="19"/>
      <c r="G10" s="25">
        <v>1.2500000000000001E-2</v>
      </c>
      <c r="H10" s="25">
        <v>0.379027</v>
      </c>
      <c r="I10" s="25">
        <v>0.47961599999999999</v>
      </c>
      <c r="J10" s="25">
        <v>1.66113</v>
      </c>
      <c r="K10">
        <f>_xlfn.T.TEST(C10:E10,G10:J10,2,2)</f>
        <v>0.2087230106216284</v>
      </c>
    </row>
    <row r="11" spans="1:11" x14ac:dyDescent="0.35">
      <c r="A11" s="19"/>
      <c r="B11" s="24" t="s">
        <v>4992</v>
      </c>
      <c r="C11" s="25">
        <v>97.516930000000002</v>
      </c>
      <c r="D11" s="25">
        <v>99.174120000000002</v>
      </c>
      <c r="E11" s="25">
        <v>100</v>
      </c>
      <c r="F11" s="19"/>
      <c r="G11" s="25">
        <v>99.987499999999997</v>
      </c>
      <c r="H11" s="25">
        <v>97.030950000000004</v>
      </c>
      <c r="I11" s="25">
        <v>94.244600000000005</v>
      </c>
      <c r="J11" s="25">
        <v>97.009969999999996</v>
      </c>
      <c r="K11" s="48">
        <f t="shared" ref="K11:K14" si="0">_xlfn.T.TEST(C11:E11,G11:J11,2,2)</f>
        <v>0.28164135478690777</v>
      </c>
    </row>
    <row r="12" spans="1:11" x14ac:dyDescent="0.35">
      <c r="A12" s="19"/>
      <c r="B12" s="24" t="s">
        <v>179</v>
      </c>
      <c r="C12" s="25">
        <v>2.4830700000000001</v>
      </c>
      <c r="D12" s="25">
        <v>0.757054</v>
      </c>
      <c r="E12" s="25">
        <v>0</v>
      </c>
      <c r="F12" s="19"/>
      <c r="G12" s="25">
        <v>0</v>
      </c>
      <c r="H12" s="25">
        <v>2.5900189999999998</v>
      </c>
      <c r="I12" s="25">
        <v>2.6378900000000001</v>
      </c>
      <c r="J12" s="25">
        <v>1.1627909999999999</v>
      </c>
      <c r="K12" s="48">
        <f t="shared" si="0"/>
        <v>0.61608580309026584</v>
      </c>
    </row>
    <row r="13" spans="1:11" x14ac:dyDescent="0.35">
      <c r="A13" s="19"/>
      <c r="B13" s="24" t="s">
        <v>178</v>
      </c>
      <c r="C13" s="25">
        <v>0</v>
      </c>
      <c r="D13" s="25">
        <v>0</v>
      </c>
      <c r="E13" s="25">
        <v>0</v>
      </c>
      <c r="F13" s="19"/>
      <c r="G13" s="25">
        <v>0</v>
      </c>
      <c r="H13" s="25">
        <v>0</v>
      </c>
      <c r="I13" s="25">
        <v>2.5179860000000001</v>
      </c>
      <c r="J13" s="25">
        <v>0</v>
      </c>
      <c r="K13" s="48">
        <f t="shared" si="0"/>
        <v>0.43658806102038195</v>
      </c>
    </row>
    <row r="14" spans="1:11" x14ac:dyDescent="0.35">
      <c r="A14" s="19"/>
      <c r="B14" s="24" t="s">
        <v>4732</v>
      </c>
      <c r="C14" s="25">
        <v>0</v>
      </c>
      <c r="D14" s="25">
        <v>0</v>
      </c>
      <c r="E14" s="25">
        <v>0</v>
      </c>
      <c r="F14" s="19"/>
      <c r="G14" s="25">
        <v>0</v>
      </c>
      <c r="H14" s="25">
        <v>0</v>
      </c>
      <c r="I14" s="25">
        <v>0.119904</v>
      </c>
      <c r="J14" s="25">
        <v>0.16611300000000001</v>
      </c>
      <c r="K14" s="48">
        <f t="shared" si="0"/>
        <v>0.21290639107170864</v>
      </c>
    </row>
    <row r="15" spans="1:11" x14ac:dyDescent="0.35">
      <c r="A15" s="19"/>
      <c r="B15" s="19"/>
      <c r="C15" s="25"/>
      <c r="D15" s="25"/>
      <c r="E15" s="25"/>
      <c r="F15" s="19"/>
      <c r="G15" s="25"/>
      <c r="H15" s="25"/>
      <c r="I15" s="25"/>
      <c r="J15" s="25"/>
      <c r="K15" s="48"/>
    </row>
    <row r="16" spans="1:11" x14ac:dyDescent="0.35">
      <c r="A16" s="19" t="s">
        <v>4734</v>
      </c>
      <c r="B16" s="24" t="s">
        <v>4991</v>
      </c>
      <c r="C16" s="25">
        <v>43.914470000000001</v>
      </c>
      <c r="D16" s="25">
        <v>31.946200000000001</v>
      </c>
      <c r="E16" s="25">
        <v>17.21612</v>
      </c>
      <c r="F16" s="19"/>
      <c r="G16" s="25">
        <v>31.76193</v>
      </c>
      <c r="H16" s="25">
        <v>26.65935</v>
      </c>
      <c r="I16" s="25">
        <v>27.608070000000001</v>
      </c>
      <c r="J16" s="25">
        <v>25.24851</v>
      </c>
      <c r="K16" s="48">
        <f>_xlfn.T.TEST(C16:E16,G16:J16,2,2)</f>
        <v>0.65099016822516964</v>
      </c>
    </row>
    <row r="17" spans="1:11" x14ac:dyDescent="0.35">
      <c r="A17" s="19"/>
      <c r="B17" s="24" t="s">
        <v>4992</v>
      </c>
      <c r="C17" s="25">
        <v>38.404609999999998</v>
      </c>
      <c r="D17" s="25">
        <v>41.61412</v>
      </c>
      <c r="E17" s="25">
        <v>71.062269999999998</v>
      </c>
      <c r="F17" s="19"/>
      <c r="G17" s="25">
        <v>40.601059999999997</v>
      </c>
      <c r="H17" s="25">
        <v>52.221609999999998</v>
      </c>
      <c r="I17" s="25">
        <v>50.144089999999998</v>
      </c>
      <c r="J17" s="25">
        <v>62.823059999999998</v>
      </c>
      <c r="K17" s="48">
        <f t="shared" ref="K17:K20" si="1">_xlfn.T.TEST(C17:E17,G17:J17,2,2)</f>
        <v>0.91951627130697089</v>
      </c>
    </row>
    <row r="18" spans="1:11" x14ac:dyDescent="0.35">
      <c r="A18" s="19"/>
      <c r="B18" s="24" t="s">
        <v>179</v>
      </c>
      <c r="C18" s="25">
        <v>13.56908</v>
      </c>
      <c r="D18" s="25">
        <v>16.60361</v>
      </c>
      <c r="E18" s="25">
        <v>10.62271</v>
      </c>
      <c r="F18" s="19"/>
      <c r="G18" s="25">
        <v>14.26046</v>
      </c>
      <c r="H18" s="25">
        <v>15.359299999999999</v>
      </c>
      <c r="I18" s="25">
        <v>20.749279999999999</v>
      </c>
      <c r="J18" s="25">
        <v>7.5546720000000001</v>
      </c>
      <c r="K18" s="48">
        <f t="shared" si="1"/>
        <v>0.81182290204582264</v>
      </c>
    </row>
    <row r="19" spans="1:11" x14ac:dyDescent="0.35">
      <c r="A19" s="19"/>
      <c r="B19" s="24" t="s">
        <v>178</v>
      </c>
      <c r="C19" s="25">
        <v>2.4671050000000001</v>
      </c>
      <c r="D19" s="25">
        <v>7.398066</v>
      </c>
      <c r="E19" s="25">
        <v>0.18315000000000001</v>
      </c>
      <c r="F19" s="19"/>
      <c r="G19" s="25">
        <v>8.6623450000000002</v>
      </c>
      <c r="H19" s="25">
        <v>4.9917720000000001</v>
      </c>
      <c r="I19" s="25">
        <v>0</v>
      </c>
      <c r="J19" s="25">
        <v>2.9821070000000001</v>
      </c>
      <c r="K19" s="48">
        <f t="shared" si="1"/>
        <v>0.78352915125152622</v>
      </c>
    </row>
    <row r="20" spans="1:11" x14ac:dyDescent="0.35">
      <c r="A20" s="19"/>
      <c r="B20" s="24" t="s">
        <v>4732</v>
      </c>
      <c r="C20" s="25">
        <v>1.6447369999999999</v>
      </c>
      <c r="D20" s="25">
        <v>2.437999</v>
      </c>
      <c r="E20" s="25">
        <v>0.91575099999999998</v>
      </c>
      <c r="F20" s="25"/>
      <c r="G20" s="25">
        <v>4.7142020000000002</v>
      </c>
      <c r="H20" s="25">
        <v>0.76796500000000001</v>
      </c>
      <c r="I20" s="25">
        <v>1.498559</v>
      </c>
      <c r="J20" s="25">
        <v>1.3916500000000001</v>
      </c>
      <c r="K20" s="48">
        <f t="shared" si="1"/>
        <v>0.71721648473194766</v>
      </c>
    </row>
  </sheetData>
  <phoneticPr fontId="3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48F1F-2E0F-4C92-B858-D3A719474F25}">
  <dimension ref="A1:C7"/>
  <sheetViews>
    <sheetView workbookViewId="0">
      <selection activeCell="D52" sqref="D52"/>
    </sheetView>
  </sheetViews>
  <sheetFormatPr defaultRowHeight="14.5" x14ac:dyDescent="0.35"/>
  <cols>
    <col min="2" max="2" width="12.7265625" customWidth="1"/>
    <col min="3" max="3" width="13.1796875" customWidth="1"/>
    <col min="4" max="4" width="17.453125" customWidth="1"/>
    <col min="5" max="5" width="13.54296875" customWidth="1"/>
  </cols>
  <sheetData>
    <row r="1" spans="1:3" x14ac:dyDescent="0.35">
      <c r="A1" t="s">
        <v>4794</v>
      </c>
    </row>
    <row r="2" spans="1:3" ht="16.5" x14ac:dyDescent="0.35">
      <c r="B2" s="19" t="s">
        <v>4715</v>
      </c>
      <c r="C2" s="20" t="s">
        <v>23</v>
      </c>
    </row>
    <row r="3" spans="1:3" x14ac:dyDescent="0.35">
      <c r="A3" t="s">
        <v>4816</v>
      </c>
      <c r="B3" s="17">
        <v>3.694</v>
      </c>
      <c r="C3" s="17">
        <v>3.4472499999999999</v>
      </c>
    </row>
    <row r="4" spans="1:3" x14ac:dyDescent="0.35">
      <c r="A4" s="48" t="s">
        <v>4817</v>
      </c>
      <c r="B4" s="17">
        <v>3.9390000000000001</v>
      </c>
      <c r="C4" s="17">
        <v>4.1494999999999997</v>
      </c>
    </row>
    <row r="5" spans="1:3" x14ac:dyDescent="0.35">
      <c r="A5" s="48" t="s">
        <v>4818</v>
      </c>
      <c r="B5" s="17">
        <v>4.0943329999999998</v>
      </c>
      <c r="C5" s="17">
        <v>4.4779999999999998</v>
      </c>
    </row>
    <row r="7" spans="1:3" x14ac:dyDescent="0.35">
      <c r="A7" t="s">
        <v>4811</v>
      </c>
      <c r="B7">
        <f>_xlfn.T.TEST(B3:B5,C3:C5,2,2)</f>
        <v>0.74003061402948189</v>
      </c>
    </row>
  </sheetData>
  <phoneticPr fontId="3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03424-0664-45F9-A046-2692AE102E47}">
  <dimension ref="A1:E9"/>
  <sheetViews>
    <sheetView workbookViewId="0">
      <selection activeCell="F15" sqref="F15"/>
    </sheetView>
  </sheetViews>
  <sheetFormatPr defaultRowHeight="14.5" x14ac:dyDescent="0.35"/>
  <sheetData>
    <row r="1" spans="1:5" x14ac:dyDescent="0.35">
      <c r="A1" s="48" t="s">
        <v>4795</v>
      </c>
      <c r="B1" s="48"/>
      <c r="C1" s="48"/>
      <c r="D1" s="48"/>
      <c r="E1" s="48"/>
    </row>
    <row r="2" spans="1:5" ht="16.5" x14ac:dyDescent="0.35">
      <c r="A2" s="48"/>
      <c r="B2" s="19" t="s">
        <v>4715</v>
      </c>
      <c r="C2" s="20" t="s">
        <v>23</v>
      </c>
      <c r="D2" s="48"/>
      <c r="E2" s="48"/>
    </row>
    <row r="3" spans="1:5" x14ac:dyDescent="0.35">
      <c r="A3" s="48" t="s">
        <v>4816</v>
      </c>
      <c r="B3" s="17">
        <v>2.6739999999999999</v>
      </c>
      <c r="C3" s="17">
        <v>2.9620000000000002</v>
      </c>
      <c r="D3" s="48"/>
      <c r="E3" s="48"/>
    </row>
    <row r="4" spans="1:5" x14ac:dyDescent="0.35">
      <c r="A4" s="48" t="s">
        <v>4817</v>
      </c>
      <c r="B4" s="17">
        <v>3.3479999999999999</v>
      </c>
      <c r="C4" s="17">
        <v>3.0840000000000001</v>
      </c>
      <c r="D4" s="48"/>
      <c r="E4" s="48"/>
    </row>
    <row r="5" spans="1:5" x14ac:dyDescent="0.35">
      <c r="A5" s="48" t="s">
        <v>4818</v>
      </c>
      <c r="B5" s="17">
        <v>3.2970000000000002</v>
      </c>
      <c r="C5" s="17">
        <v>3.0030000000000001</v>
      </c>
      <c r="D5" s="48"/>
      <c r="E5" s="48"/>
    </row>
    <row r="6" spans="1:5" x14ac:dyDescent="0.35">
      <c r="A6" s="48" t="s">
        <v>4819</v>
      </c>
      <c r="B6" s="17">
        <v>3.2330000000000001</v>
      </c>
      <c r="C6" s="17">
        <v>2.9969999999999999</v>
      </c>
      <c r="D6" s="48"/>
      <c r="E6" s="48"/>
    </row>
    <row r="7" spans="1:5" x14ac:dyDescent="0.35">
      <c r="A7" s="48" t="s">
        <v>4820</v>
      </c>
      <c r="B7" s="17">
        <v>2.7519999999999998</v>
      </c>
      <c r="C7" s="17">
        <v>2.899</v>
      </c>
      <c r="D7" s="48"/>
      <c r="E7" s="48"/>
    </row>
    <row r="8" spans="1:5" x14ac:dyDescent="0.35">
      <c r="A8" s="48" t="s">
        <v>4821</v>
      </c>
      <c r="B8" s="17">
        <v>3.641</v>
      </c>
      <c r="C8" s="19"/>
      <c r="D8" s="48"/>
      <c r="E8" s="48"/>
    </row>
    <row r="9" spans="1:5" x14ac:dyDescent="0.35">
      <c r="A9" s="48" t="s">
        <v>4811</v>
      </c>
      <c r="B9" s="48">
        <f>_xlfn.T.TEST(B3:B8,C3:C7,2,2)</f>
        <v>0.34819941797852794</v>
      </c>
      <c r="C9" s="48"/>
      <c r="D9" s="48"/>
      <c r="E9" s="48"/>
    </row>
  </sheetData>
  <phoneticPr fontId="3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245AA-E61F-473D-8764-54B3E66D012E}">
  <dimension ref="A1:E11"/>
  <sheetViews>
    <sheetView workbookViewId="0">
      <selection activeCell="C17" sqref="C17"/>
    </sheetView>
  </sheetViews>
  <sheetFormatPr defaultRowHeight="14.5" x14ac:dyDescent="0.35"/>
  <cols>
    <col min="2" max="2" width="14.54296875" customWidth="1"/>
    <col min="3" max="3" width="13.7265625" customWidth="1"/>
    <col min="4" max="4" width="14.36328125" customWidth="1"/>
    <col min="5" max="5" width="13.36328125" customWidth="1"/>
  </cols>
  <sheetData>
    <row r="1" spans="1:5" x14ac:dyDescent="0.35">
      <c r="A1" s="48" t="s">
        <v>4796</v>
      </c>
      <c r="B1" s="48"/>
      <c r="C1" s="48"/>
      <c r="D1" s="48"/>
      <c r="E1" s="48"/>
    </row>
    <row r="2" spans="1:5" ht="15.5" x14ac:dyDescent="0.35">
      <c r="A2" s="48"/>
      <c r="B2" s="29" t="s">
        <v>4735</v>
      </c>
      <c r="C2" s="20" t="s">
        <v>176</v>
      </c>
      <c r="D2" s="29" t="s">
        <v>4736</v>
      </c>
      <c r="E2" s="20" t="s">
        <v>177</v>
      </c>
    </row>
    <row r="3" spans="1:5" x14ac:dyDescent="0.35">
      <c r="A3" s="48" t="s">
        <v>4816</v>
      </c>
      <c r="B3" s="17">
        <v>1.2190000000000001</v>
      </c>
      <c r="C3" s="17">
        <v>0.96899999999999997</v>
      </c>
      <c r="D3" s="17">
        <v>2.6840000000000002</v>
      </c>
      <c r="E3" s="17">
        <v>3.7850000000000001</v>
      </c>
    </row>
    <row r="4" spans="1:5" x14ac:dyDescent="0.35">
      <c r="A4" s="48" t="s">
        <v>4817</v>
      </c>
      <c r="B4" s="17">
        <v>1.232</v>
      </c>
      <c r="C4" s="17">
        <v>1.86</v>
      </c>
      <c r="D4" s="17">
        <v>3.1480000000000001</v>
      </c>
      <c r="E4" s="17">
        <v>2.423</v>
      </c>
    </row>
    <row r="5" spans="1:5" x14ac:dyDescent="0.35">
      <c r="A5" s="48" t="s">
        <v>4818</v>
      </c>
      <c r="B5" s="17">
        <v>1.1990000000000001</v>
      </c>
      <c r="C5" s="17">
        <v>1.2110000000000001</v>
      </c>
      <c r="D5" s="17">
        <v>3.5569999999999999</v>
      </c>
      <c r="E5" s="17">
        <v>2.38</v>
      </c>
    </row>
    <row r="6" spans="1:5" x14ac:dyDescent="0.35">
      <c r="A6" s="48" t="s">
        <v>4819</v>
      </c>
      <c r="B6" s="17">
        <v>1.2709999999999999</v>
      </c>
      <c r="C6" s="17">
        <v>1.137</v>
      </c>
      <c r="D6" s="17">
        <v>2.694</v>
      </c>
      <c r="E6" s="17">
        <v>2.5539999999999998</v>
      </c>
    </row>
    <row r="7" spans="1:5" x14ac:dyDescent="0.35">
      <c r="A7" s="48" t="s">
        <v>4820</v>
      </c>
      <c r="B7" s="17">
        <v>1.4379999999999999</v>
      </c>
      <c r="C7" s="17">
        <v>1.2430000000000001</v>
      </c>
      <c r="D7" s="17">
        <v>2.677</v>
      </c>
      <c r="E7" s="17">
        <v>3.9129999999999998</v>
      </c>
    </row>
    <row r="8" spans="1:5" x14ac:dyDescent="0.35">
      <c r="A8" s="48" t="s">
        <v>4821</v>
      </c>
      <c r="B8" s="17">
        <v>1.2230000000000001</v>
      </c>
      <c r="C8" s="17">
        <v>1.2170000000000001</v>
      </c>
      <c r="D8" s="17">
        <v>3.1019999999999999</v>
      </c>
      <c r="E8" s="17">
        <v>2.8490000000000002</v>
      </c>
    </row>
    <row r="9" spans="1:5" x14ac:dyDescent="0.35">
      <c r="A9" s="48" t="s">
        <v>4822</v>
      </c>
      <c r="B9" s="17">
        <v>1.1659999999999999</v>
      </c>
      <c r="C9" s="17">
        <v>1.2529999999999999</v>
      </c>
      <c r="D9" s="17">
        <v>3.794</v>
      </c>
      <c r="E9" s="17">
        <v>3.5659999999999998</v>
      </c>
    </row>
    <row r="11" spans="1:5" x14ac:dyDescent="0.35">
      <c r="A11" t="s">
        <v>4811</v>
      </c>
      <c r="B11">
        <f>_xlfn.T.TEST(B3:B9,C3:C9,2,2)</f>
        <v>0.85717663680534706</v>
      </c>
      <c r="D11" s="48">
        <f>_xlfn.T.TEST(D3:D9,E3:E9,2,2)</f>
        <v>0.93183860478004532</v>
      </c>
    </row>
  </sheetData>
  <phoneticPr fontId="3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A2977-0A51-4B51-8183-8C0ADF86B70A}">
  <dimension ref="B1:E32"/>
  <sheetViews>
    <sheetView workbookViewId="0">
      <selection activeCell="J12" sqref="J12"/>
    </sheetView>
  </sheetViews>
  <sheetFormatPr defaultRowHeight="14.5" x14ac:dyDescent="0.35"/>
  <cols>
    <col min="3" max="3" width="21.54296875" customWidth="1"/>
  </cols>
  <sheetData>
    <row r="1" spans="2:5" s="48" customFormat="1" x14ac:dyDescent="0.35"/>
    <row r="2" spans="2:5" ht="15.5" x14ac:dyDescent="0.35">
      <c r="B2" t="s">
        <v>4797</v>
      </c>
      <c r="D2" s="66" t="s">
        <v>4957</v>
      </c>
    </row>
    <row r="3" spans="2:5" x14ac:dyDescent="0.35">
      <c r="B3" s="2" t="s">
        <v>4419</v>
      </c>
      <c r="C3" s="1"/>
      <c r="D3" s="1">
        <v>9</v>
      </c>
      <c r="E3" s="1">
        <v>7.84</v>
      </c>
    </row>
    <row r="4" spans="2:5" x14ac:dyDescent="0.35">
      <c r="B4" s="2" t="s">
        <v>4451</v>
      </c>
      <c r="C4" s="1"/>
      <c r="D4" s="1">
        <v>9</v>
      </c>
      <c r="E4" s="1">
        <v>7.72</v>
      </c>
    </row>
    <row r="5" spans="2:5" x14ac:dyDescent="0.35">
      <c r="B5" s="2" t="s">
        <v>4452</v>
      </c>
      <c r="C5" s="1"/>
      <c r="D5" s="1">
        <v>5</v>
      </c>
      <c r="E5" s="1">
        <v>5.61</v>
      </c>
    </row>
    <row r="6" spans="2:5" x14ac:dyDescent="0.35">
      <c r="B6" s="2" t="s">
        <v>4453</v>
      </c>
      <c r="C6" s="1"/>
      <c r="D6" s="1">
        <v>4</v>
      </c>
      <c r="E6" s="1">
        <v>5.07</v>
      </c>
    </row>
    <row r="7" spans="2:5" x14ac:dyDescent="0.35">
      <c r="B7" s="2" t="s">
        <v>4410</v>
      </c>
      <c r="C7" s="1"/>
      <c r="D7" s="1">
        <v>6</v>
      </c>
      <c r="E7" s="1">
        <v>4.8099999999999996</v>
      </c>
    </row>
    <row r="8" spans="2:5" x14ac:dyDescent="0.35">
      <c r="B8" s="2" t="s">
        <v>4454</v>
      </c>
      <c r="C8" s="1"/>
      <c r="D8" s="1">
        <v>3</v>
      </c>
      <c r="E8" s="1">
        <v>3.6</v>
      </c>
    </row>
    <row r="9" spans="2:5" x14ac:dyDescent="0.35">
      <c r="B9" s="2" t="s">
        <v>4455</v>
      </c>
      <c r="C9" s="1"/>
      <c r="D9" s="1">
        <v>3</v>
      </c>
      <c r="E9" s="1">
        <v>3.56</v>
      </c>
    </row>
    <row r="10" spans="2:5" x14ac:dyDescent="0.35">
      <c r="B10" s="2" t="s">
        <v>4456</v>
      </c>
      <c r="C10" s="1"/>
      <c r="D10" s="1">
        <v>2</v>
      </c>
      <c r="E10" s="1">
        <v>3.36</v>
      </c>
    </row>
    <row r="11" spans="2:5" x14ac:dyDescent="0.35">
      <c r="B11" s="2" t="s">
        <v>4409</v>
      </c>
      <c r="C11" s="1"/>
      <c r="D11" s="1">
        <v>5</v>
      </c>
      <c r="E11" s="1">
        <v>3.1</v>
      </c>
    </row>
    <row r="12" spans="2:5" x14ac:dyDescent="0.35">
      <c r="B12" s="2" t="s">
        <v>4457</v>
      </c>
      <c r="C12" s="1"/>
      <c r="D12" s="1">
        <v>2</v>
      </c>
      <c r="E12" s="1">
        <v>2.46</v>
      </c>
    </row>
    <row r="13" spans="2:5" x14ac:dyDescent="0.35">
      <c r="B13" s="2" t="s">
        <v>4412</v>
      </c>
      <c r="C13" s="1"/>
      <c r="D13" s="1">
        <v>2</v>
      </c>
      <c r="E13" s="1">
        <v>2.42</v>
      </c>
    </row>
    <row r="14" spans="2:5" x14ac:dyDescent="0.35">
      <c r="B14" s="2" t="s">
        <v>4458</v>
      </c>
      <c r="C14" s="1"/>
      <c r="D14" s="1">
        <v>5</v>
      </c>
      <c r="E14" s="1">
        <v>2.38</v>
      </c>
    </row>
    <row r="15" spans="2:5" x14ac:dyDescent="0.35">
      <c r="B15" s="2" t="s">
        <v>4408</v>
      </c>
      <c r="C15" s="1"/>
      <c r="D15" s="1">
        <v>4</v>
      </c>
      <c r="E15" s="1">
        <v>2.3199999999999998</v>
      </c>
    </row>
    <row r="16" spans="2:5" x14ac:dyDescent="0.35">
      <c r="B16" s="2" t="s">
        <v>4417</v>
      </c>
      <c r="C16" s="1"/>
      <c r="D16" s="1">
        <v>6</v>
      </c>
      <c r="E16" s="1">
        <v>2.2400000000000002</v>
      </c>
    </row>
    <row r="17" spans="2:5" x14ac:dyDescent="0.35">
      <c r="B17" s="2" t="s">
        <v>4459</v>
      </c>
      <c r="C17" s="1"/>
      <c r="D17" s="1">
        <v>3</v>
      </c>
      <c r="E17" s="1">
        <v>2.23</v>
      </c>
    </row>
    <row r="18" spans="2:5" x14ac:dyDescent="0.35">
      <c r="B18" s="2" t="s">
        <v>4460</v>
      </c>
      <c r="C18" s="1"/>
      <c r="D18" s="1">
        <v>4</v>
      </c>
      <c r="E18" s="1">
        <v>2.13</v>
      </c>
    </row>
    <row r="19" spans="2:5" x14ac:dyDescent="0.35">
      <c r="B19" s="2" t="s">
        <v>4461</v>
      </c>
      <c r="C19" s="1"/>
      <c r="D19" s="1">
        <v>3</v>
      </c>
      <c r="E19" s="1">
        <v>2.1</v>
      </c>
    </row>
    <row r="20" spans="2:5" x14ac:dyDescent="0.35">
      <c r="B20" s="2" t="s">
        <v>4414</v>
      </c>
      <c r="C20" s="1"/>
      <c r="D20" s="1">
        <v>2</v>
      </c>
      <c r="E20" s="1">
        <v>2.08</v>
      </c>
    </row>
    <row r="21" spans="2:5" x14ac:dyDescent="0.35">
      <c r="B21" s="2" t="s">
        <v>4415</v>
      </c>
      <c r="C21" s="1"/>
      <c r="D21" s="1">
        <v>3</v>
      </c>
      <c r="E21" s="1">
        <v>2.0699999999999998</v>
      </c>
    </row>
    <row r="22" spans="2:5" x14ac:dyDescent="0.35">
      <c r="B22" s="2" t="s">
        <v>4416</v>
      </c>
      <c r="C22" s="1"/>
      <c r="D22" s="1">
        <v>3</v>
      </c>
      <c r="E22" s="1">
        <v>2.0499999999999998</v>
      </c>
    </row>
    <row r="23" spans="2:5" x14ac:dyDescent="0.35">
      <c r="B23" s="2" t="s">
        <v>4418</v>
      </c>
      <c r="C23" s="1"/>
      <c r="D23" s="1">
        <v>3</v>
      </c>
      <c r="E23" s="1">
        <v>2</v>
      </c>
    </row>
    <row r="24" spans="2:5" x14ac:dyDescent="0.35">
      <c r="B24" s="2" t="s">
        <v>4462</v>
      </c>
      <c r="C24" s="1"/>
      <c r="D24" s="1">
        <v>2</v>
      </c>
      <c r="E24" s="1">
        <v>2</v>
      </c>
    </row>
    <row r="25" spans="2:5" x14ac:dyDescent="0.35">
      <c r="B25" s="2" t="s">
        <v>4463</v>
      </c>
      <c r="C25" s="1"/>
      <c r="D25" s="1">
        <v>3</v>
      </c>
      <c r="E25" s="1">
        <v>1.99</v>
      </c>
    </row>
    <row r="26" spans="2:5" x14ac:dyDescent="0.35">
      <c r="B26" s="2" t="s">
        <v>4413</v>
      </c>
      <c r="C26" s="1"/>
      <c r="D26" s="1">
        <v>5</v>
      </c>
      <c r="E26" s="1">
        <v>1.98</v>
      </c>
    </row>
    <row r="27" spans="2:5" x14ac:dyDescent="0.35">
      <c r="B27" s="2" t="s">
        <v>4407</v>
      </c>
      <c r="C27" s="1"/>
      <c r="D27" s="1">
        <v>3</v>
      </c>
      <c r="E27" s="1">
        <v>1.8</v>
      </c>
    </row>
    <row r="28" spans="2:5" x14ac:dyDescent="0.35">
      <c r="B28" s="2" t="s">
        <v>4464</v>
      </c>
      <c r="C28" s="1"/>
      <c r="D28" s="1">
        <v>2</v>
      </c>
      <c r="E28" s="1">
        <v>1.68</v>
      </c>
    </row>
    <row r="29" spans="2:5" x14ac:dyDescent="0.35">
      <c r="B29" s="2" t="s">
        <v>4411</v>
      </c>
      <c r="C29" s="1"/>
      <c r="D29" s="1">
        <v>3</v>
      </c>
      <c r="E29" s="1">
        <v>1.64</v>
      </c>
    </row>
    <row r="30" spans="2:5" x14ac:dyDescent="0.35">
      <c r="B30" s="2" t="s">
        <v>4465</v>
      </c>
      <c r="C30" s="1"/>
      <c r="D30" s="1">
        <v>2</v>
      </c>
      <c r="E30" s="1">
        <v>1.59</v>
      </c>
    </row>
    <row r="31" spans="2:5" x14ac:dyDescent="0.35">
      <c r="B31" s="2" t="s">
        <v>4420</v>
      </c>
      <c r="C31" s="1"/>
      <c r="D31" s="1">
        <v>3</v>
      </c>
      <c r="E31" s="1">
        <v>1.57</v>
      </c>
    </row>
    <row r="32" spans="2:5" x14ac:dyDescent="0.35">
      <c r="B32" s="2" t="s">
        <v>4466</v>
      </c>
      <c r="C32" s="1"/>
      <c r="D32" s="1">
        <v>2</v>
      </c>
      <c r="E32" s="1">
        <v>1.49</v>
      </c>
    </row>
  </sheetData>
  <pageMargins left="0.7" right="0.7" top="0.75" bottom="0.75" header="0.3" footer="0.3"/>
  <pageSetup orientation="portrait" horizontalDpi="300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ED394-50A6-4D31-97DC-80B89DA7FE60}">
  <dimension ref="A1:E31"/>
  <sheetViews>
    <sheetView workbookViewId="0">
      <selection activeCell="U48" sqref="U48"/>
    </sheetView>
  </sheetViews>
  <sheetFormatPr defaultRowHeight="14.5" x14ac:dyDescent="0.35"/>
  <cols>
    <col min="3" max="3" width="18.7265625" customWidth="1"/>
  </cols>
  <sheetData>
    <row r="1" spans="1:5" ht="15.5" x14ac:dyDescent="0.35">
      <c r="A1" t="s">
        <v>4798</v>
      </c>
      <c r="C1" s="66" t="s">
        <v>4958</v>
      </c>
    </row>
    <row r="2" spans="1:5" x14ac:dyDescent="0.35">
      <c r="B2" s="2" t="s">
        <v>4421</v>
      </c>
      <c r="C2" s="1"/>
      <c r="D2" s="1">
        <v>51</v>
      </c>
      <c r="E2" s="1">
        <v>37.543939999999999</v>
      </c>
    </row>
    <row r="3" spans="1:5" x14ac:dyDescent="0.35">
      <c r="B3" s="2" t="s">
        <v>4422</v>
      </c>
      <c r="C3" s="1"/>
      <c r="D3" s="1">
        <v>63</v>
      </c>
      <c r="E3" s="1">
        <v>33.122480000000003</v>
      </c>
    </row>
    <row r="4" spans="1:5" x14ac:dyDescent="0.35">
      <c r="B4" s="2" t="s">
        <v>4423</v>
      </c>
      <c r="C4" s="1"/>
      <c r="D4" s="1">
        <v>40</v>
      </c>
      <c r="E4" s="1">
        <v>31.889279999999999</v>
      </c>
    </row>
    <row r="5" spans="1:5" x14ac:dyDescent="0.35">
      <c r="B5" s="2" t="s">
        <v>4424</v>
      </c>
      <c r="C5" s="1"/>
      <c r="D5" s="1">
        <v>43</v>
      </c>
      <c r="E5" s="1">
        <v>30.87068</v>
      </c>
    </row>
    <row r="6" spans="1:5" x14ac:dyDescent="0.35">
      <c r="B6" s="2" t="s">
        <v>4425</v>
      </c>
      <c r="C6" s="1"/>
      <c r="D6" s="1">
        <v>40</v>
      </c>
      <c r="E6" s="1">
        <v>28.431529999999999</v>
      </c>
    </row>
    <row r="7" spans="1:5" x14ac:dyDescent="0.35">
      <c r="B7" s="2" t="s">
        <v>4426</v>
      </c>
      <c r="C7" s="1"/>
      <c r="D7" s="1">
        <v>46</v>
      </c>
      <c r="E7" s="1">
        <v>22.464189999999999</v>
      </c>
    </row>
    <row r="8" spans="1:5" x14ac:dyDescent="0.35">
      <c r="B8" s="2" t="s">
        <v>4427</v>
      </c>
      <c r="C8" s="1"/>
      <c r="D8" s="1">
        <v>25</v>
      </c>
      <c r="E8" s="1">
        <v>18.763750000000002</v>
      </c>
    </row>
    <row r="9" spans="1:5" x14ac:dyDescent="0.35">
      <c r="B9" s="2" t="s">
        <v>4428</v>
      </c>
      <c r="C9" s="1"/>
      <c r="D9" s="1">
        <v>29</v>
      </c>
      <c r="E9" s="1">
        <v>18.749130000000001</v>
      </c>
    </row>
    <row r="10" spans="1:5" x14ac:dyDescent="0.35">
      <c r="B10" s="2" t="s">
        <v>4429</v>
      </c>
      <c r="C10" s="1"/>
      <c r="D10" s="1">
        <v>23</v>
      </c>
      <c r="E10" s="1">
        <v>18.65577</v>
      </c>
    </row>
    <row r="11" spans="1:5" x14ac:dyDescent="0.35">
      <c r="B11" s="2" t="s">
        <v>4430</v>
      </c>
      <c r="C11" s="1"/>
      <c r="D11" s="1">
        <v>44</v>
      </c>
      <c r="E11" s="1">
        <v>17.77253</v>
      </c>
    </row>
    <row r="12" spans="1:5" x14ac:dyDescent="0.35">
      <c r="B12" s="2" t="s">
        <v>4431</v>
      </c>
      <c r="C12" s="1"/>
      <c r="D12" s="1">
        <v>350</v>
      </c>
      <c r="E12" s="1">
        <v>137.08959999999999</v>
      </c>
    </row>
    <row r="13" spans="1:5" x14ac:dyDescent="0.35">
      <c r="B13" s="2" t="s">
        <v>4432</v>
      </c>
      <c r="C13" s="1"/>
      <c r="D13" s="1">
        <v>292</v>
      </c>
      <c r="E13" s="1">
        <v>69.249399999999994</v>
      </c>
    </row>
    <row r="14" spans="1:5" x14ac:dyDescent="0.35">
      <c r="B14" s="2" t="s">
        <v>4433</v>
      </c>
      <c r="C14" s="1"/>
      <c r="D14" s="1">
        <v>199</v>
      </c>
      <c r="E14" s="1">
        <v>44.182580000000002</v>
      </c>
    </row>
    <row r="15" spans="1:5" x14ac:dyDescent="0.35">
      <c r="B15" s="2" t="s">
        <v>4434</v>
      </c>
      <c r="C15" s="1"/>
      <c r="D15" s="1">
        <v>78</v>
      </c>
      <c r="E15" s="1">
        <v>38.158320000000003</v>
      </c>
    </row>
    <row r="16" spans="1:5" x14ac:dyDescent="0.35">
      <c r="B16" s="2" t="s">
        <v>4435</v>
      </c>
      <c r="C16" s="1"/>
      <c r="D16" s="1">
        <v>71</v>
      </c>
      <c r="E16" s="1">
        <v>37.482570000000003</v>
      </c>
    </row>
    <row r="17" spans="2:5" x14ac:dyDescent="0.35">
      <c r="B17" s="2" t="s">
        <v>4436</v>
      </c>
      <c r="C17" s="1"/>
      <c r="D17" s="1">
        <v>64</v>
      </c>
      <c r="E17" s="1">
        <v>33.21546</v>
      </c>
    </row>
    <row r="18" spans="2:5" x14ac:dyDescent="0.35">
      <c r="B18" s="2" t="s">
        <v>4437</v>
      </c>
      <c r="C18" s="1"/>
      <c r="D18" s="1">
        <v>303</v>
      </c>
      <c r="E18" s="1">
        <v>32.020519999999998</v>
      </c>
    </row>
    <row r="19" spans="2:5" x14ac:dyDescent="0.35">
      <c r="B19" s="2" t="s">
        <v>4438</v>
      </c>
      <c r="C19" s="1"/>
      <c r="D19" s="1">
        <v>41</v>
      </c>
      <c r="E19" s="1">
        <v>26.93017</v>
      </c>
    </row>
    <row r="20" spans="2:5" x14ac:dyDescent="0.35">
      <c r="B20" s="2" t="s">
        <v>4439</v>
      </c>
      <c r="C20" s="1"/>
      <c r="D20" s="1">
        <v>38</v>
      </c>
      <c r="E20" s="1">
        <v>20.34947</v>
      </c>
    </row>
    <row r="21" spans="2:5" x14ac:dyDescent="0.35">
      <c r="B21" s="2" t="s">
        <v>4440</v>
      </c>
      <c r="C21" s="1"/>
      <c r="D21" s="1">
        <v>24</v>
      </c>
      <c r="E21" s="1">
        <v>18.670020000000001</v>
      </c>
    </row>
    <row r="22" spans="2:5" x14ac:dyDescent="0.35">
      <c r="B22" s="2" t="s">
        <v>4441</v>
      </c>
      <c r="C22" s="1"/>
      <c r="D22" s="1">
        <v>162</v>
      </c>
      <c r="E22" s="1">
        <v>58.223759999999999</v>
      </c>
    </row>
    <row r="23" spans="2:5" x14ac:dyDescent="0.35">
      <c r="B23" s="2" t="s">
        <v>4442</v>
      </c>
      <c r="C23" s="1"/>
      <c r="D23" s="1">
        <v>70</v>
      </c>
      <c r="E23" s="1">
        <v>38.16845</v>
      </c>
    </row>
    <row r="24" spans="2:5" x14ac:dyDescent="0.35">
      <c r="B24" s="2" t="s">
        <v>4443</v>
      </c>
      <c r="C24" s="1"/>
      <c r="D24" s="1">
        <v>428</v>
      </c>
      <c r="E24" s="1">
        <v>28.217839999999999</v>
      </c>
    </row>
    <row r="25" spans="2:5" x14ac:dyDescent="0.35">
      <c r="B25" s="2" t="s">
        <v>4444</v>
      </c>
      <c r="C25" s="1"/>
      <c r="D25" s="1">
        <v>64</v>
      </c>
      <c r="E25" s="1">
        <v>16.96095</v>
      </c>
    </row>
    <row r="26" spans="2:5" x14ac:dyDescent="0.35">
      <c r="B26" s="2" t="s">
        <v>4445</v>
      </c>
      <c r="C26" s="1"/>
      <c r="D26" s="1">
        <v>40</v>
      </c>
      <c r="E26" s="1">
        <v>16.723030000000001</v>
      </c>
    </row>
    <row r="27" spans="2:5" x14ac:dyDescent="0.35">
      <c r="B27" s="2" t="s">
        <v>4446</v>
      </c>
      <c r="C27" s="1"/>
      <c r="D27" s="1">
        <v>58</v>
      </c>
      <c r="E27" s="1">
        <v>7.9638689999999999</v>
      </c>
    </row>
    <row r="28" spans="2:5" x14ac:dyDescent="0.35">
      <c r="B28" s="2" t="s">
        <v>4447</v>
      </c>
      <c r="C28" s="1"/>
      <c r="D28" s="1">
        <v>9</v>
      </c>
      <c r="E28" s="1">
        <v>6.6246780000000003</v>
      </c>
    </row>
    <row r="29" spans="2:5" x14ac:dyDescent="0.35">
      <c r="B29" s="2" t="s">
        <v>4448</v>
      </c>
      <c r="C29" s="1"/>
      <c r="D29" s="1">
        <v>6</v>
      </c>
      <c r="E29" s="1">
        <v>6.5802149999999999</v>
      </c>
    </row>
    <row r="30" spans="2:5" x14ac:dyDescent="0.35">
      <c r="B30" s="2" t="s">
        <v>4449</v>
      </c>
      <c r="C30" s="1"/>
      <c r="D30" s="1">
        <v>16</v>
      </c>
      <c r="E30" s="1">
        <v>5.3222379999999996</v>
      </c>
    </row>
    <row r="31" spans="2:5" x14ac:dyDescent="0.35">
      <c r="B31" s="2" t="s">
        <v>4450</v>
      </c>
      <c r="C31" s="1"/>
      <c r="D31" s="1">
        <v>12</v>
      </c>
      <c r="E31" s="1">
        <v>5.3099160000000003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2048F-9983-4BB4-990B-D7B96FF57C66}">
  <dimension ref="A1:C8"/>
  <sheetViews>
    <sheetView workbookViewId="0">
      <selection activeCell="E15" sqref="E15"/>
    </sheetView>
  </sheetViews>
  <sheetFormatPr defaultRowHeight="14.5" x14ac:dyDescent="0.35"/>
  <sheetData>
    <row r="1" spans="1:3" x14ac:dyDescent="0.35">
      <c r="A1" t="s">
        <v>4799</v>
      </c>
    </row>
    <row r="2" spans="1:3" x14ac:dyDescent="0.35">
      <c r="B2" t="s">
        <v>4738</v>
      </c>
    </row>
    <row r="3" spans="1:3" x14ac:dyDescent="0.35">
      <c r="B3" s="29" t="s">
        <v>86</v>
      </c>
      <c r="C3" s="29" t="s">
        <v>4737</v>
      </c>
    </row>
    <row r="4" spans="1:3" x14ac:dyDescent="0.35">
      <c r="A4" t="s">
        <v>4816</v>
      </c>
      <c r="B4" s="25">
        <v>0.848333</v>
      </c>
      <c r="C4" s="25">
        <v>1.915529</v>
      </c>
    </row>
    <row r="5" spans="1:3" x14ac:dyDescent="0.35">
      <c r="A5" s="48" t="s">
        <v>4817</v>
      </c>
      <c r="B5" s="25">
        <v>1.1858340000000001</v>
      </c>
      <c r="C5" s="25">
        <v>2.226207</v>
      </c>
    </row>
    <row r="6" spans="1:3" x14ac:dyDescent="0.35">
      <c r="A6" s="48" t="s">
        <v>4818</v>
      </c>
      <c r="B6" s="25">
        <v>0.96583200000000002</v>
      </c>
      <c r="C6" s="25">
        <v>1.7897670000000001</v>
      </c>
    </row>
    <row r="8" spans="1:3" x14ac:dyDescent="0.35">
      <c r="A8" t="s">
        <v>4811</v>
      </c>
      <c r="B8">
        <f>_xlfn.T.TEST(B4:B6,C4:C6,2,2)</f>
        <v>3.9049469241131639E-3</v>
      </c>
    </row>
  </sheetData>
  <phoneticPr fontId="3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6A5D3-078A-4F16-B2DE-D7DF58D2383C}">
  <dimension ref="A3:E12"/>
  <sheetViews>
    <sheetView workbookViewId="0">
      <selection activeCell="E13" sqref="E13"/>
    </sheetView>
  </sheetViews>
  <sheetFormatPr defaultRowHeight="14.5" x14ac:dyDescent="0.35"/>
  <sheetData>
    <row r="3" spans="1:5" x14ac:dyDescent="0.35">
      <c r="A3" s="48"/>
      <c r="B3" s="48"/>
      <c r="C3" s="48"/>
      <c r="D3" s="48"/>
      <c r="E3" s="48"/>
    </row>
    <row r="4" spans="1:5" x14ac:dyDescent="0.35">
      <c r="A4" s="48" t="s">
        <v>4800</v>
      </c>
      <c r="B4" s="48"/>
      <c r="C4" s="48"/>
      <c r="D4" s="48"/>
      <c r="E4" s="48"/>
    </row>
    <row r="5" spans="1:5" x14ac:dyDescent="0.35">
      <c r="A5" s="48"/>
      <c r="B5" s="48" t="s">
        <v>4739</v>
      </c>
      <c r="C5" s="48"/>
      <c r="D5" s="48"/>
      <c r="E5" s="48"/>
    </row>
    <row r="6" spans="1:5" x14ac:dyDescent="0.35">
      <c r="A6" s="48"/>
      <c r="B6" s="29" t="s">
        <v>86</v>
      </c>
      <c r="C6" s="29" t="s">
        <v>4737</v>
      </c>
      <c r="D6" s="48"/>
      <c r="E6" s="48"/>
    </row>
    <row r="7" spans="1:5" x14ac:dyDescent="0.35">
      <c r="A7" s="48" t="s">
        <v>4816</v>
      </c>
      <c r="B7" s="25">
        <v>0.45845000000000002</v>
      </c>
      <c r="C7" s="25">
        <v>0.79662999999999995</v>
      </c>
      <c r="D7" s="48"/>
      <c r="E7" s="48"/>
    </row>
    <row r="8" spans="1:5" x14ac:dyDescent="0.35">
      <c r="A8" s="48" t="s">
        <v>4817</v>
      </c>
      <c r="B8" s="25">
        <v>0.88263000000000003</v>
      </c>
      <c r="C8" s="25">
        <v>0.61553999999999998</v>
      </c>
      <c r="D8" s="48"/>
      <c r="E8" s="48"/>
    </row>
    <row r="9" spans="1:5" x14ac:dyDescent="0.35">
      <c r="A9" s="48" t="s">
        <v>4818</v>
      </c>
      <c r="B9" s="25">
        <v>0.91064999999999996</v>
      </c>
      <c r="C9" s="25">
        <v>0.63509000000000004</v>
      </c>
      <c r="D9" s="48"/>
      <c r="E9" s="48"/>
    </row>
    <row r="10" spans="1:5" x14ac:dyDescent="0.35">
      <c r="A10" s="48" t="s">
        <v>4819</v>
      </c>
      <c r="B10" s="25"/>
      <c r="C10" s="25">
        <v>0.82193000000000005</v>
      </c>
      <c r="D10" s="48"/>
      <c r="E10" s="48"/>
    </row>
    <row r="11" spans="1:5" x14ac:dyDescent="0.35">
      <c r="A11" s="48"/>
      <c r="B11" s="48"/>
      <c r="C11" s="48"/>
      <c r="D11" s="48"/>
      <c r="E11" s="48"/>
    </row>
    <row r="12" spans="1:5" x14ac:dyDescent="0.35">
      <c r="A12" t="s">
        <v>4811</v>
      </c>
      <c r="B12">
        <f>_xlfn.T.TEST(B7:B9,C7:C10,2,2)</f>
        <v>0.81875246245422928</v>
      </c>
    </row>
  </sheetData>
  <phoneticPr fontId="3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1AFF3-B836-45FD-B0FA-2EFC06676558}">
  <dimension ref="A1:Z7"/>
  <sheetViews>
    <sheetView zoomScaleNormal="100" workbookViewId="0">
      <selection activeCell="Z10" sqref="Z10"/>
    </sheetView>
  </sheetViews>
  <sheetFormatPr defaultRowHeight="14.5" x14ac:dyDescent="0.35"/>
  <cols>
    <col min="2" max="2" width="13.7265625" customWidth="1"/>
    <col min="21" max="21" width="15.36328125" customWidth="1"/>
  </cols>
  <sheetData>
    <row r="1" spans="1:26" ht="15.5" x14ac:dyDescent="0.35">
      <c r="A1" t="s">
        <v>4801</v>
      </c>
      <c r="C1" s="66" t="s">
        <v>4959</v>
      </c>
    </row>
    <row r="2" spans="1:26" x14ac:dyDescent="0.35">
      <c r="B2" s="19"/>
      <c r="C2" s="19" t="s">
        <v>4998</v>
      </c>
      <c r="D2" s="19" t="s">
        <v>4999</v>
      </c>
      <c r="E2" s="19" t="s">
        <v>5000</v>
      </c>
      <c r="F2" s="19" t="s">
        <v>5001</v>
      </c>
      <c r="G2" s="19" t="s">
        <v>5002</v>
      </c>
      <c r="H2" s="19" t="s">
        <v>5003</v>
      </c>
      <c r="I2" s="19" t="s">
        <v>4993</v>
      </c>
      <c r="J2" s="19" t="s">
        <v>4994</v>
      </c>
      <c r="K2" s="19" t="s">
        <v>4995</v>
      </c>
      <c r="L2" s="19" t="s">
        <v>4996</v>
      </c>
      <c r="M2" s="19" t="s">
        <v>4997</v>
      </c>
      <c r="N2" s="19"/>
      <c r="O2" s="19" t="s">
        <v>5004</v>
      </c>
      <c r="P2" s="19" t="s">
        <v>5005</v>
      </c>
      <c r="Q2" s="19" t="s">
        <v>5006</v>
      </c>
      <c r="R2" s="19" t="s">
        <v>5007</v>
      </c>
      <c r="S2" s="19" t="s">
        <v>5008</v>
      </c>
      <c r="T2" s="19" t="s">
        <v>5009</v>
      </c>
      <c r="U2" s="19" t="s">
        <v>5010</v>
      </c>
      <c r="V2" s="19" t="s">
        <v>5011</v>
      </c>
      <c r="W2" s="19" t="s">
        <v>5012</v>
      </c>
      <c r="X2" s="19" t="s">
        <v>5013</v>
      </c>
      <c r="Y2" s="19" t="s">
        <v>5014</v>
      </c>
    </row>
    <row r="3" spans="1:26" x14ac:dyDescent="0.35">
      <c r="B3" s="24" t="s">
        <v>4405</v>
      </c>
      <c r="C3" s="25">
        <v>1.0730820000000001</v>
      </c>
      <c r="D3" s="25">
        <v>1.0066269999999999</v>
      </c>
      <c r="E3" s="25">
        <v>0.92029099999999997</v>
      </c>
      <c r="F3" s="25">
        <v>0.98960000000000004</v>
      </c>
      <c r="G3" s="25">
        <v>0.89592499999999997</v>
      </c>
      <c r="H3" s="25">
        <v>1.1144750000000001</v>
      </c>
      <c r="I3" s="25">
        <v>1.5187520000000001</v>
      </c>
      <c r="J3" s="25">
        <v>1.322198</v>
      </c>
      <c r="K3" s="25">
        <v>1.1694389999999999</v>
      </c>
      <c r="L3" s="25">
        <v>1.027385</v>
      </c>
      <c r="M3" s="25">
        <v>1.553507</v>
      </c>
      <c r="N3" s="25"/>
      <c r="O3" s="25">
        <v>2.4230119999999999</v>
      </c>
      <c r="P3" s="25">
        <v>1.605219</v>
      </c>
      <c r="Q3" s="25">
        <v>1.512046</v>
      </c>
      <c r="R3" s="25">
        <v>1.605812</v>
      </c>
      <c r="S3" s="25">
        <v>1.605812</v>
      </c>
      <c r="T3" s="25">
        <v>2.0104030000000002</v>
      </c>
      <c r="U3" s="25">
        <v>2.4537550000000001</v>
      </c>
      <c r="V3" s="25">
        <v>2.9417239999999998</v>
      </c>
      <c r="W3" s="25">
        <v>1.8097650000000001</v>
      </c>
      <c r="X3" s="25">
        <v>1.466677</v>
      </c>
      <c r="Y3" s="25">
        <v>1.6161129999999999</v>
      </c>
      <c r="Z3" s="22"/>
    </row>
    <row r="4" spans="1:26" x14ac:dyDescent="0.35">
      <c r="B4" s="24" t="s">
        <v>4406</v>
      </c>
      <c r="C4" s="25">
        <v>1.0181309999999999</v>
      </c>
      <c r="D4" s="25">
        <v>0.87556299999999998</v>
      </c>
      <c r="E4" s="25">
        <v>1.1063050000000001</v>
      </c>
      <c r="F4" s="25">
        <v>1.206664</v>
      </c>
      <c r="G4" s="25">
        <v>0.80406500000000003</v>
      </c>
      <c r="H4" s="25">
        <v>0.98926999999999998</v>
      </c>
      <c r="I4" s="25">
        <v>1.284629</v>
      </c>
      <c r="J4" s="25">
        <v>1.466961</v>
      </c>
      <c r="K4" s="25">
        <v>1.512189</v>
      </c>
      <c r="L4" s="25">
        <v>1.262731</v>
      </c>
      <c r="M4" s="25">
        <v>1.0156240000000001</v>
      </c>
      <c r="N4" s="25"/>
      <c r="O4" s="25">
        <v>1.78148</v>
      </c>
      <c r="P4" s="25">
        <v>1.6188769999999999</v>
      </c>
      <c r="Q4" s="25">
        <v>2.2297400000000001</v>
      </c>
      <c r="R4" s="25">
        <v>1.8760559999999999</v>
      </c>
      <c r="S4" s="25">
        <v>1.639443</v>
      </c>
      <c r="T4" s="25">
        <v>1.7408360000000001</v>
      </c>
      <c r="U4" s="25">
        <v>2.8335159999999999</v>
      </c>
      <c r="V4" s="25">
        <v>2.729158</v>
      </c>
      <c r="W4" s="25">
        <v>2.8287990000000001</v>
      </c>
      <c r="X4" s="25">
        <v>1.737125</v>
      </c>
      <c r="Y4" s="25">
        <v>1.8680289999999999</v>
      </c>
      <c r="Z4" s="22"/>
    </row>
    <row r="5" spans="1:26" x14ac:dyDescent="0.35">
      <c r="E5" t="s">
        <v>4960</v>
      </c>
      <c r="F5" s="48" t="s">
        <v>4961</v>
      </c>
      <c r="G5" s="48" t="s">
        <v>4962</v>
      </c>
      <c r="I5" t="s">
        <v>4963</v>
      </c>
    </row>
    <row r="6" spans="1:26" x14ac:dyDescent="0.35">
      <c r="B6" t="s">
        <v>4811</v>
      </c>
      <c r="C6" s="24" t="s">
        <v>4405</v>
      </c>
      <c r="E6">
        <f>_xlfn.T.TEST(C3:H3,I3:M3,2,2)</f>
        <v>1.029965457754799E-2</v>
      </c>
      <c r="F6" s="48">
        <f>_xlfn.T.TEST(C3:H3,O3:T3,2,2)</f>
        <v>3.3099209988222982E-4</v>
      </c>
      <c r="G6" s="48">
        <f>_xlfn.T.TEST(I3:N3,U3:Z3,2,2)</f>
        <v>3.6826941226229197E-2</v>
      </c>
      <c r="I6" s="48">
        <f>_xlfn.T.TEST(O3:T3,U3:X3,2,2)</f>
        <v>0.27160433749520657</v>
      </c>
    </row>
    <row r="7" spans="1:26" x14ac:dyDescent="0.35">
      <c r="C7" s="24" t="s">
        <v>4406</v>
      </c>
      <c r="E7" s="48">
        <f>_xlfn.T.TEST(C4:H4,I4:M4,2,2)</f>
        <v>1.5511813780884297E-2</v>
      </c>
      <c r="F7" s="48">
        <f>_xlfn.T.TEST(C4:H4,O4:T4,2,2)</f>
        <v>2.2238450315559384E-5</v>
      </c>
      <c r="G7" s="48">
        <f>_xlfn.T.TEST(I4:N4,U4:Z4,2,2)</f>
        <v>3.0497262988861415E-3</v>
      </c>
      <c r="I7" s="48">
        <f>_xlfn.T.TEST(O4:T4,U4:X4,2,2)</f>
        <v>1.7154909074666852E-2</v>
      </c>
    </row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69</vt:i4>
      </vt:variant>
    </vt:vector>
  </HeadingPairs>
  <TitlesOfParts>
    <vt:vector size="69" baseType="lpstr">
      <vt:lpstr>Figure 1a</vt:lpstr>
      <vt:lpstr>Figure 1b</vt:lpstr>
      <vt:lpstr>Figure 1c</vt:lpstr>
      <vt:lpstr>Figure 1d</vt:lpstr>
      <vt:lpstr>Figure 1e</vt:lpstr>
      <vt:lpstr>Figure 1f</vt:lpstr>
      <vt:lpstr>Figure 1g</vt:lpstr>
      <vt:lpstr>Figure 1h RER</vt:lpstr>
      <vt:lpstr>Figure 2a HFD</vt:lpstr>
      <vt:lpstr>Figure 2b </vt:lpstr>
      <vt:lpstr>Figure 2c </vt:lpstr>
      <vt:lpstr>Figure 2d</vt:lpstr>
      <vt:lpstr>Figure 2e</vt:lpstr>
      <vt:lpstr> Figure 2f RER HFD</vt:lpstr>
      <vt:lpstr>Figure 2g HFD </vt:lpstr>
      <vt:lpstr>Figure 2h</vt:lpstr>
      <vt:lpstr> Figure 3a</vt:lpstr>
      <vt:lpstr>Figure 3b</vt:lpstr>
      <vt:lpstr>Figure 3c </vt:lpstr>
      <vt:lpstr>Figure 3d CM co culture</vt:lpstr>
      <vt:lpstr> Figure 3f CM-co cultuure</vt:lpstr>
      <vt:lpstr>Figure 4a</vt:lpstr>
      <vt:lpstr>Figure 4b</vt:lpstr>
      <vt:lpstr>Figure 4d </vt:lpstr>
      <vt:lpstr>Figure 4e</vt:lpstr>
      <vt:lpstr>Figure 4h </vt:lpstr>
      <vt:lpstr>Figure 4i</vt:lpstr>
      <vt:lpstr> Figure 4k</vt:lpstr>
      <vt:lpstr>Figure 4l</vt:lpstr>
      <vt:lpstr>Figure 4m</vt:lpstr>
      <vt:lpstr> Figure 5b </vt:lpstr>
      <vt:lpstr>Figure 5c</vt:lpstr>
      <vt:lpstr>Figure 5e</vt:lpstr>
      <vt:lpstr>Figure 5f </vt:lpstr>
      <vt:lpstr>Figure 5g ILK density</vt:lpstr>
      <vt:lpstr>Figure 5h ILK in Gasroc</vt:lpstr>
      <vt:lpstr>Figure 6a</vt:lpstr>
      <vt:lpstr>Figure 6b</vt:lpstr>
      <vt:lpstr>Figure 6d</vt:lpstr>
      <vt:lpstr>Figure 6f</vt:lpstr>
      <vt:lpstr>Figure 6g</vt:lpstr>
      <vt:lpstr>Figure 6h</vt:lpstr>
      <vt:lpstr>Figure  6j</vt:lpstr>
      <vt:lpstr>Figure 6k</vt:lpstr>
      <vt:lpstr> Supplementary Fig 1e</vt:lpstr>
      <vt:lpstr>Supplementary Fig 1g</vt:lpstr>
      <vt:lpstr>Suplementary Fig 2</vt:lpstr>
      <vt:lpstr>Supplementary Fig 3a</vt:lpstr>
      <vt:lpstr>Supplementary Fig 3b</vt:lpstr>
      <vt:lpstr> Supplemenatary Fig 4a</vt:lpstr>
      <vt:lpstr>Supplementary Fig 4b</vt:lpstr>
      <vt:lpstr>Supplementary fig 4c</vt:lpstr>
      <vt:lpstr>Supplementary fig 4d</vt:lpstr>
      <vt:lpstr>Supplementary Fig 4e</vt:lpstr>
      <vt:lpstr>supplemetary Fig 4f activity</vt:lpstr>
      <vt:lpstr>Supplementary Fig 5b </vt:lpstr>
      <vt:lpstr>Supplementary Fig 5d</vt:lpstr>
      <vt:lpstr>Supplementary Fig 6a</vt:lpstr>
      <vt:lpstr>Supplementary Fig 7a</vt:lpstr>
      <vt:lpstr>Supplementary Fig 7b</vt:lpstr>
      <vt:lpstr>Supplementary Fig 7c</vt:lpstr>
      <vt:lpstr>Supplementary Fig 8a </vt:lpstr>
      <vt:lpstr>Supplementary Fig 8b</vt:lpstr>
      <vt:lpstr>Supplementary Fig 8c</vt:lpstr>
      <vt:lpstr>Supplementary Fig 9a </vt:lpstr>
      <vt:lpstr>Supplementary Fig 9b</vt:lpstr>
      <vt:lpstr>Supplementary Fig 10a</vt:lpstr>
      <vt:lpstr>Supplementary Fig 10b</vt:lpstr>
      <vt:lpstr>Supplementary Fig 11b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Qiuxia</dc:creator>
  <cp:lastModifiedBy>Administrator</cp:lastModifiedBy>
  <dcterms:created xsi:type="dcterms:W3CDTF">2022-06-02T21:45:17Z</dcterms:created>
  <dcterms:modified xsi:type="dcterms:W3CDTF">2023-07-23T19:40:51Z</dcterms:modified>
</cp:coreProperties>
</file>